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xyllan\Desktop\working\研究生\流感meta\inequity\3.9核查内容\github上传\代码上传\"/>
    </mc:Choice>
  </mc:AlternateContent>
  <xr:revisionPtr revIDLastSave="0" documentId="13_ncr:1_{1A60348D-887D-4FD9-B72E-9E49385140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global" sheetId="6" r:id="rId1"/>
    <sheet name="country" sheetId="4" r:id="rId2"/>
    <sheet name="ve2" sheetId="5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1" hidden="1">country!$A$1:$AL$26</definedName>
    <definedName name="_xlnm._FilterDatabase" localSheetId="0" hidden="1">global!$A$1:$AL$218</definedName>
    <definedName name="_xlnm._FilterDatabase" localSheetId="2" hidden="1">'ve2'!$A$1:$AJ$56</definedName>
  </definedNames>
  <calcPr calcId="191029"/>
</workbook>
</file>

<file path=xl/calcChain.xml><?xml version="1.0" encoding="utf-8"?>
<calcChain xmlns="http://schemas.openxmlformats.org/spreadsheetml/2006/main">
  <c r="AK27" i="4" l="1"/>
  <c r="AJ27" i="4"/>
  <c r="AI27" i="4"/>
  <c r="V27" i="4"/>
  <c r="U27" i="4"/>
  <c r="P27" i="4"/>
  <c r="O27" i="4"/>
  <c r="N27" i="4"/>
  <c r="L27" i="4"/>
  <c r="K27" i="4"/>
  <c r="J27" i="4"/>
  <c r="M27" i="4" s="1"/>
  <c r="H27" i="4"/>
  <c r="G27" i="4"/>
  <c r="F27" i="4"/>
  <c r="D27" i="4"/>
  <c r="I27" i="4" l="1"/>
  <c r="D4" i="4" l="1"/>
  <c r="D8" i="4"/>
  <c r="D17" i="4"/>
  <c r="D18" i="4"/>
  <c r="D26" i="4"/>
  <c r="F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" i="6"/>
  <c r="D3" i="6"/>
  <c r="D4" i="6"/>
  <c r="D5" i="6"/>
  <c r="D6" i="6"/>
  <c r="D7" i="6"/>
  <c r="D8" i="6"/>
  <c r="D9" i="6"/>
  <c r="D2" i="4" s="1"/>
  <c r="D10" i="6"/>
  <c r="D11" i="6"/>
  <c r="D12" i="6"/>
  <c r="D3" i="4" s="1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5" i="4" s="1"/>
  <c r="D29" i="6"/>
  <c r="D30" i="6"/>
  <c r="D31" i="6"/>
  <c r="D32" i="6"/>
  <c r="D33" i="6"/>
  <c r="D34" i="6"/>
  <c r="D35" i="6"/>
  <c r="D36" i="6"/>
  <c r="D37" i="6"/>
  <c r="D6" i="4" s="1"/>
  <c r="D38" i="6"/>
  <c r="D39" i="6"/>
  <c r="D40" i="6"/>
  <c r="D41" i="6"/>
  <c r="D42" i="6"/>
  <c r="D7" i="4" s="1"/>
  <c r="D43" i="6"/>
  <c r="D44" i="6"/>
  <c r="D45" i="6"/>
  <c r="D46" i="6"/>
  <c r="D47" i="6"/>
  <c r="D48" i="6"/>
  <c r="D49" i="6"/>
  <c r="D50" i="6"/>
  <c r="D9" i="4" s="1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10" i="4" s="1"/>
  <c r="D71" i="6"/>
  <c r="D72" i="6"/>
  <c r="D73" i="6"/>
  <c r="D74" i="6"/>
  <c r="D75" i="6"/>
  <c r="D11" i="4" s="1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12" i="4" s="1"/>
  <c r="D96" i="6"/>
  <c r="D97" i="6"/>
  <c r="D98" i="6"/>
  <c r="D13" i="4" s="1"/>
  <c r="D99" i="6"/>
  <c r="D100" i="6"/>
  <c r="D101" i="6"/>
  <c r="D102" i="6"/>
  <c r="D103" i="6"/>
  <c r="D104" i="6"/>
  <c r="D105" i="6"/>
  <c r="D106" i="6"/>
  <c r="D14" i="4" s="1"/>
  <c r="D107" i="6"/>
  <c r="D108" i="6"/>
  <c r="D109" i="6"/>
  <c r="D110" i="6"/>
  <c r="D111" i="6"/>
  <c r="D112" i="6"/>
  <c r="D113" i="6"/>
  <c r="D114" i="6"/>
  <c r="D115" i="6"/>
  <c r="D116" i="6"/>
  <c r="D117" i="6"/>
  <c r="D15" i="4" s="1"/>
  <c r="D118" i="6"/>
  <c r="D119" i="6"/>
  <c r="D120" i="6"/>
  <c r="D121" i="6"/>
  <c r="D122" i="6"/>
  <c r="D123" i="6"/>
  <c r="D124" i="6"/>
  <c r="D125" i="6"/>
  <c r="D16" i="4" s="1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9" i="4" s="1"/>
  <c r="D156" i="6"/>
  <c r="D157" i="6"/>
  <c r="D158" i="6"/>
  <c r="D159" i="6"/>
  <c r="D20" i="4" s="1"/>
  <c r="D160" i="6"/>
  <c r="D161" i="6"/>
  <c r="D162" i="6"/>
  <c r="D21" i="4" s="1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22" i="4" s="1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23" i="4" s="1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4" i="4" s="1"/>
  <c r="D208" i="6"/>
  <c r="D25" i="4" s="1"/>
  <c r="D209" i="6"/>
  <c r="D210" i="6"/>
  <c r="D211" i="6"/>
  <c r="D212" i="6"/>
  <c r="D213" i="6"/>
  <c r="D214" i="6"/>
  <c r="D215" i="6"/>
  <c r="D216" i="6"/>
  <c r="D217" i="6"/>
  <c r="D218" i="6"/>
  <c r="D2" i="6"/>
  <c r="P3" i="6" l="1"/>
  <c r="P4" i="6"/>
  <c r="P5" i="6"/>
  <c r="P6" i="6"/>
  <c r="P7" i="6"/>
  <c r="P8" i="6"/>
  <c r="P9" i="6"/>
  <c r="P2" i="4" s="1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20" i="4" s="1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" i="6"/>
  <c r="O2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7" i="4" s="1"/>
  <c r="O43" i="6"/>
  <c r="O44" i="6"/>
  <c r="O45" i="6"/>
  <c r="O46" i="6"/>
  <c r="O47" i="6"/>
  <c r="O48" i="6"/>
  <c r="O49" i="6"/>
  <c r="O50" i="6"/>
  <c r="O9" i="4" s="1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7" i="4" s="1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N2" i="6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9" i="4" s="1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11" i="4" s="1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8" i="4" s="1"/>
  <c r="N144" i="6"/>
  <c r="N145" i="6"/>
  <c r="N146" i="6"/>
  <c r="N147" i="6"/>
  <c r="N148" i="6"/>
  <c r="N149" i="6"/>
  <c r="N150" i="6"/>
  <c r="N151" i="6"/>
  <c r="N152" i="6"/>
  <c r="N153" i="6"/>
  <c r="N154" i="6"/>
  <c r="N155" i="6"/>
  <c r="N19" i="4" s="1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22" i="4" s="1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C3" i="6"/>
  <c r="C4" i="6"/>
  <c r="C5" i="6"/>
  <c r="C6" i="6"/>
  <c r="C7" i="6"/>
  <c r="C8" i="6"/>
  <c r="C9" i="6"/>
  <c r="C10" i="6"/>
  <c r="C12" i="6"/>
  <c r="C13" i="6"/>
  <c r="C14" i="6"/>
  <c r="C15" i="6"/>
  <c r="C16" i="6"/>
  <c r="C17" i="6"/>
  <c r="C18" i="6"/>
  <c r="C19" i="6"/>
  <c r="C20" i="6"/>
  <c r="C21" i="6"/>
  <c r="C22" i="6"/>
  <c r="C24" i="6"/>
  <c r="C25" i="6"/>
  <c r="C26" i="6"/>
  <c r="C27" i="6"/>
  <c r="C28" i="6"/>
  <c r="C30" i="6"/>
  <c r="C31" i="6"/>
  <c r="C32" i="6"/>
  <c r="C33" i="6"/>
  <c r="C34" i="6"/>
  <c r="C35" i="6"/>
  <c r="C36" i="6"/>
  <c r="C37" i="6"/>
  <c r="C38" i="6"/>
  <c r="C39" i="6"/>
  <c r="C40" i="6"/>
  <c r="C42" i="6"/>
  <c r="C43" i="6"/>
  <c r="C44" i="6"/>
  <c r="C45" i="6"/>
  <c r="C46" i="6"/>
  <c r="C47" i="6"/>
  <c r="C48" i="6"/>
  <c r="C49" i="6"/>
  <c r="C50" i="6"/>
  <c r="C51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8" i="6"/>
  <c r="C69" i="6"/>
  <c r="C70" i="6"/>
  <c r="C71" i="6"/>
  <c r="C72" i="6"/>
  <c r="C73" i="6"/>
  <c r="C74" i="6"/>
  <c r="C75" i="6"/>
  <c r="C76" i="6"/>
  <c r="C78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7" i="6"/>
  <c r="C98" i="6"/>
  <c r="C99" i="6"/>
  <c r="C100" i="6"/>
  <c r="C101" i="6"/>
  <c r="C102" i="6"/>
  <c r="C103" i="6"/>
  <c r="C104" i="6"/>
  <c r="C105" i="6"/>
  <c r="C106" i="6"/>
  <c r="C108" i="6"/>
  <c r="C109" i="6"/>
  <c r="C110" i="6"/>
  <c r="C111" i="6"/>
  <c r="C112" i="6"/>
  <c r="C113" i="6"/>
  <c r="C114" i="6"/>
  <c r="C115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5" i="6"/>
  <c r="C176" i="6"/>
  <c r="C177" i="6"/>
  <c r="C178" i="6"/>
  <c r="C179" i="6"/>
  <c r="C180" i="6"/>
  <c r="C181" i="6"/>
  <c r="C182" i="6"/>
  <c r="C183" i="6"/>
  <c r="C184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3" i="6"/>
  <c r="C204" i="6"/>
  <c r="C205" i="6"/>
  <c r="C206" i="6"/>
  <c r="C207" i="6"/>
  <c r="C208" i="6"/>
  <c r="C209" i="6"/>
  <c r="C210" i="6"/>
  <c r="C211" i="6"/>
  <c r="C212" i="6"/>
  <c r="C213" i="6"/>
  <c r="C216" i="6"/>
  <c r="C217" i="6"/>
  <c r="C218" i="6"/>
  <c r="C2" i="6"/>
  <c r="AK218" i="6"/>
  <c r="AJ218" i="6"/>
  <c r="AI218" i="6"/>
  <c r="V218" i="6"/>
  <c r="U218" i="6"/>
  <c r="T218" i="6"/>
  <c r="S218" i="6"/>
  <c r="R218" i="6"/>
  <c r="Q218" i="6"/>
  <c r="J218" i="6"/>
  <c r="I218" i="6"/>
  <c r="H218" i="6"/>
  <c r="AK217" i="6"/>
  <c r="AJ217" i="6"/>
  <c r="AI217" i="6"/>
  <c r="V217" i="6"/>
  <c r="U217" i="6"/>
  <c r="T217" i="6"/>
  <c r="S217" i="6"/>
  <c r="R217" i="6"/>
  <c r="Q217" i="6"/>
  <c r="J217" i="6"/>
  <c r="I217" i="6"/>
  <c r="H217" i="6"/>
  <c r="AK216" i="6"/>
  <c r="AJ216" i="6"/>
  <c r="AI216" i="6"/>
  <c r="V216" i="6"/>
  <c r="U216" i="6"/>
  <c r="T216" i="6"/>
  <c r="S216" i="6"/>
  <c r="R216" i="6"/>
  <c r="Q216" i="6"/>
  <c r="J216" i="6"/>
  <c r="I216" i="6"/>
  <c r="H216" i="6"/>
  <c r="AK215" i="6"/>
  <c r="AJ215" i="6"/>
  <c r="AI215" i="6"/>
  <c r="V215" i="6"/>
  <c r="U215" i="6"/>
  <c r="T215" i="6"/>
  <c r="S215" i="6"/>
  <c r="R215" i="6"/>
  <c r="Q215" i="6"/>
  <c r="J215" i="6"/>
  <c r="I215" i="6"/>
  <c r="H215" i="6"/>
  <c r="AK214" i="6"/>
  <c r="AJ214" i="6"/>
  <c r="AI214" i="6"/>
  <c r="V214" i="6"/>
  <c r="U214" i="6"/>
  <c r="T214" i="6"/>
  <c r="S214" i="6"/>
  <c r="R214" i="6"/>
  <c r="Q214" i="6"/>
  <c r="J214" i="6"/>
  <c r="I214" i="6"/>
  <c r="H214" i="6"/>
  <c r="AK213" i="6"/>
  <c r="AJ213" i="6"/>
  <c r="AI213" i="6"/>
  <c r="V213" i="6"/>
  <c r="U213" i="6"/>
  <c r="T213" i="6"/>
  <c r="S213" i="6"/>
  <c r="R213" i="6"/>
  <c r="Q213" i="6"/>
  <c r="J213" i="6"/>
  <c r="I213" i="6"/>
  <c r="H213" i="6"/>
  <c r="AK212" i="6"/>
  <c r="AJ212" i="6"/>
  <c r="AI212" i="6"/>
  <c r="V212" i="6"/>
  <c r="U212" i="6"/>
  <c r="T212" i="6"/>
  <c r="S212" i="6"/>
  <c r="R212" i="6"/>
  <c r="Q212" i="6"/>
  <c r="J212" i="6"/>
  <c r="I212" i="6"/>
  <c r="H212" i="6"/>
  <c r="AK211" i="6"/>
  <c r="AJ211" i="6"/>
  <c r="AI211" i="6"/>
  <c r="V211" i="6"/>
  <c r="U211" i="6"/>
  <c r="T211" i="6"/>
  <c r="S211" i="6"/>
  <c r="R211" i="6"/>
  <c r="Q211" i="6"/>
  <c r="J211" i="6"/>
  <c r="I211" i="6"/>
  <c r="H211" i="6"/>
  <c r="AK210" i="6"/>
  <c r="AJ210" i="6"/>
  <c r="AI210" i="6"/>
  <c r="V210" i="6"/>
  <c r="U210" i="6"/>
  <c r="T210" i="6"/>
  <c r="S210" i="6"/>
  <c r="R210" i="6"/>
  <c r="Q210" i="6"/>
  <c r="J210" i="6"/>
  <c r="I210" i="6"/>
  <c r="H210" i="6"/>
  <c r="AK209" i="6"/>
  <c r="AJ209" i="6"/>
  <c r="AI209" i="6"/>
  <c r="V209" i="6"/>
  <c r="U209" i="6"/>
  <c r="T209" i="6"/>
  <c r="S209" i="6"/>
  <c r="R209" i="6"/>
  <c r="Q209" i="6"/>
  <c r="J209" i="6"/>
  <c r="I209" i="6"/>
  <c r="H209" i="6"/>
  <c r="AK208" i="6"/>
  <c r="AJ208" i="6"/>
  <c r="AI208" i="6"/>
  <c r="V208" i="6"/>
  <c r="U208" i="6"/>
  <c r="T208" i="6"/>
  <c r="S208" i="6"/>
  <c r="R208" i="6"/>
  <c r="Q208" i="6"/>
  <c r="J208" i="6"/>
  <c r="I208" i="6"/>
  <c r="H208" i="6"/>
  <c r="AK207" i="6"/>
  <c r="AJ207" i="6"/>
  <c r="AI207" i="6"/>
  <c r="V207" i="6"/>
  <c r="U207" i="6"/>
  <c r="T207" i="6"/>
  <c r="S207" i="6"/>
  <c r="R207" i="6"/>
  <c r="Q207" i="6"/>
  <c r="J207" i="6"/>
  <c r="I207" i="6"/>
  <c r="H207" i="6"/>
  <c r="AK206" i="6"/>
  <c r="AJ206" i="6"/>
  <c r="AI206" i="6"/>
  <c r="V206" i="6"/>
  <c r="U206" i="6"/>
  <c r="T206" i="6"/>
  <c r="S206" i="6"/>
  <c r="R206" i="6"/>
  <c r="Q206" i="6"/>
  <c r="J206" i="6"/>
  <c r="I206" i="6"/>
  <c r="H206" i="6"/>
  <c r="AK205" i="6"/>
  <c r="AJ205" i="6"/>
  <c r="AI205" i="6"/>
  <c r="V205" i="6"/>
  <c r="U205" i="6"/>
  <c r="T205" i="6"/>
  <c r="S205" i="6"/>
  <c r="R205" i="6"/>
  <c r="Q205" i="6"/>
  <c r="J205" i="6"/>
  <c r="I205" i="6"/>
  <c r="H205" i="6"/>
  <c r="AK204" i="6"/>
  <c r="AJ204" i="6"/>
  <c r="AI204" i="6"/>
  <c r="V204" i="6"/>
  <c r="U204" i="6"/>
  <c r="T204" i="6"/>
  <c r="S204" i="6"/>
  <c r="R204" i="6"/>
  <c r="Q204" i="6"/>
  <c r="J204" i="6"/>
  <c r="I204" i="6"/>
  <c r="H204" i="6"/>
  <c r="AK203" i="6"/>
  <c r="AJ203" i="6"/>
  <c r="AI203" i="6"/>
  <c r="V203" i="6"/>
  <c r="U203" i="6"/>
  <c r="T203" i="6"/>
  <c r="S203" i="6"/>
  <c r="R203" i="6"/>
  <c r="Q203" i="6"/>
  <c r="J203" i="6"/>
  <c r="I203" i="6"/>
  <c r="H203" i="6"/>
  <c r="AK202" i="6"/>
  <c r="AJ202" i="6"/>
  <c r="AI202" i="6"/>
  <c r="V202" i="6"/>
  <c r="U202" i="6"/>
  <c r="T202" i="6"/>
  <c r="S202" i="6"/>
  <c r="R202" i="6"/>
  <c r="Q202" i="6"/>
  <c r="J202" i="6"/>
  <c r="I202" i="6"/>
  <c r="H202" i="6"/>
  <c r="AK201" i="6"/>
  <c r="AJ201" i="6"/>
  <c r="AI201" i="6"/>
  <c r="V201" i="6"/>
  <c r="U201" i="6"/>
  <c r="T201" i="6"/>
  <c r="S201" i="6"/>
  <c r="R201" i="6"/>
  <c r="Q201" i="6"/>
  <c r="J201" i="6"/>
  <c r="I201" i="6"/>
  <c r="H201" i="6"/>
  <c r="AK200" i="6"/>
  <c r="AJ200" i="6"/>
  <c r="AI200" i="6"/>
  <c r="V200" i="6"/>
  <c r="U200" i="6"/>
  <c r="T200" i="6"/>
  <c r="S200" i="6"/>
  <c r="R200" i="6"/>
  <c r="Q200" i="6"/>
  <c r="J200" i="6"/>
  <c r="I200" i="6"/>
  <c r="H200" i="6"/>
  <c r="AK199" i="6"/>
  <c r="AJ199" i="6"/>
  <c r="AI199" i="6"/>
  <c r="V199" i="6"/>
  <c r="U199" i="6"/>
  <c r="T199" i="6"/>
  <c r="S199" i="6"/>
  <c r="R199" i="6"/>
  <c r="Q199" i="6"/>
  <c r="J199" i="6"/>
  <c r="I199" i="6"/>
  <c r="H199" i="6"/>
  <c r="AK198" i="6"/>
  <c r="AJ198" i="6"/>
  <c r="AI198" i="6"/>
  <c r="V198" i="6"/>
  <c r="U198" i="6"/>
  <c r="T198" i="6"/>
  <c r="S198" i="6"/>
  <c r="R198" i="6"/>
  <c r="Q198" i="6"/>
  <c r="J198" i="6"/>
  <c r="I198" i="6"/>
  <c r="H198" i="6"/>
  <c r="AK197" i="6"/>
  <c r="AJ197" i="6"/>
  <c r="AI197" i="6"/>
  <c r="V197" i="6"/>
  <c r="U197" i="6"/>
  <c r="T197" i="6"/>
  <c r="S197" i="6"/>
  <c r="R197" i="6"/>
  <c r="Q197" i="6"/>
  <c r="J197" i="6"/>
  <c r="I197" i="6"/>
  <c r="H197" i="6"/>
  <c r="AK196" i="6"/>
  <c r="AJ196" i="6"/>
  <c r="AI196" i="6"/>
  <c r="V196" i="6"/>
  <c r="U196" i="6"/>
  <c r="T196" i="6"/>
  <c r="S196" i="6"/>
  <c r="R196" i="6"/>
  <c r="Q196" i="6"/>
  <c r="J196" i="6"/>
  <c r="I196" i="6"/>
  <c r="H196" i="6"/>
  <c r="AK195" i="6"/>
  <c r="AJ195" i="6"/>
  <c r="AI195" i="6"/>
  <c r="V195" i="6"/>
  <c r="U195" i="6"/>
  <c r="T195" i="6"/>
  <c r="S195" i="6"/>
  <c r="R195" i="6"/>
  <c r="Q195" i="6"/>
  <c r="J195" i="6"/>
  <c r="I195" i="6"/>
  <c r="H195" i="6"/>
  <c r="AK194" i="6"/>
  <c r="AJ194" i="6"/>
  <c r="AI194" i="6"/>
  <c r="V194" i="6"/>
  <c r="U194" i="6"/>
  <c r="T194" i="6"/>
  <c r="S194" i="6"/>
  <c r="R194" i="6"/>
  <c r="Q194" i="6"/>
  <c r="J194" i="6"/>
  <c r="I194" i="6"/>
  <c r="H194" i="6"/>
  <c r="AK193" i="6"/>
  <c r="AJ193" i="6"/>
  <c r="AI193" i="6"/>
  <c r="V193" i="6"/>
  <c r="U193" i="6"/>
  <c r="T193" i="6"/>
  <c r="S193" i="6"/>
  <c r="R193" i="6"/>
  <c r="Q193" i="6"/>
  <c r="J193" i="6"/>
  <c r="I193" i="6"/>
  <c r="H193" i="6"/>
  <c r="AK192" i="6"/>
  <c r="AJ192" i="6"/>
  <c r="AI192" i="6"/>
  <c r="V192" i="6"/>
  <c r="U192" i="6"/>
  <c r="T192" i="6"/>
  <c r="S192" i="6"/>
  <c r="R192" i="6"/>
  <c r="Q192" i="6"/>
  <c r="J192" i="6"/>
  <c r="I192" i="6"/>
  <c r="H192" i="6"/>
  <c r="AK191" i="6"/>
  <c r="AJ191" i="6"/>
  <c r="AI191" i="6"/>
  <c r="V191" i="6"/>
  <c r="U191" i="6"/>
  <c r="T191" i="6"/>
  <c r="S191" i="6"/>
  <c r="R191" i="6"/>
  <c r="Q191" i="6"/>
  <c r="J191" i="6"/>
  <c r="I191" i="6"/>
  <c r="H191" i="6"/>
  <c r="AK190" i="6"/>
  <c r="AJ190" i="6"/>
  <c r="AI190" i="6"/>
  <c r="V190" i="6"/>
  <c r="U190" i="6"/>
  <c r="T190" i="6"/>
  <c r="S190" i="6"/>
  <c r="R190" i="6"/>
  <c r="Q190" i="6"/>
  <c r="J190" i="6"/>
  <c r="I190" i="6"/>
  <c r="H190" i="6"/>
  <c r="AK189" i="6"/>
  <c r="AJ189" i="6"/>
  <c r="AI189" i="6"/>
  <c r="V189" i="6"/>
  <c r="U189" i="6"/>
  <c r="T189" i="6"/>
  <c r="S189" i="6"/>
  <c r="R189" i="6"/>
  <c r="Q189" i="6"/>
  <c r="J189" i="6"/>
  <c r="I189" i="6"/>
  <c r="H189" i="6"/>
  <c r="AK188" i="6"/>
  <c r="AJ188" i="6"/>
  <c r="AI188" i="6"/>
  <c r="V188" i="6"/>
  <c r="U188" i="6"/>
  <c r="T188" i="6"/>
  <c r="S188" i="6"/>
  <c r="R188" i="6"/>
  <c r="Q188" i="6"/>
  <c r="J188" i="6"/>
  <c r="I188" i="6"/>
  <c r="H188" i="6"/>
  <c r="AK187" i="6"/>
  <c r="AJ187" i="6"/>
  <c r="AI187" i="6"/>
  <c r="V187" i="6"/>
  <c r="U187" i="6"/>
  <c r="T187" i="6"/>
  <c r="S187" i="6"/>
  <c r="R187" i="6"/>
  <c r="Q187" i="6"/>
  <c r="J187" i="6"/>
  <c r="I187" i="6"/>
  <c r="H187" i="6"/>
  <c r="AK186" i="6"/>
  <c r="AJ186" i="6"/>
  <c r="AI186" i="6"/>
  <c r="V186" i="6"/>
  <c r="U186" i="6"/>
  <c r="T186" i="6"/>
  <c r="S186" i="6"/>
  <c r="R186" i="6"/>
  <c r="Q186" i="6"/>
  <c r="J186" i="6"/>
  <c r="I186" i="6"/>
  <c r="H186" i="6"/>
  <c r="AK185" i="6"/>
  <c r="AJ185" i="6"/>
  <c r="AI185" i="6"/>
  <c r="V185" i="6"/>
  <c r="U185" i="6"/>
  <c r="T185" i="6"/>
  <c r="S185" i="6"/>
  <c r="R185" i="6"/>
  <c r="Q185" i="6"/>
  <c r="J185" i="6"/>
  <c r="I185" i="6"/>
  <c r="H185" i="6"/>
  <c r="AK184" i="6"/>
  <c r="AJ184" i="6"/>
  <c r="AI184" i="6"/>
  <c r="V184" i="6"/>
  <c r="U184" i="6"/>
  <c r="T184" i="6"/>
  <c r="S184" i="6"/>
  <c r="R184" i="6"/>
  <c r="Q184" i="6"/>
  <c r="J184" i="6"/>
  <c r="I184" i="6"/>
  <c r="H184" i="6"/>
  <c r="AK183" i="6"/>
  <c r="AJ183" i="6"/>
  <c r="AI183" i="6"/>
  <c r="V183" i="6"/>
  <c r="U183" i="6"/>
  <c r="T183" i="6"/>
  <c r="S183" i="6"/>
  <c r="R183" i="6"/>
  <c r="Q183" i="6"/>
  <c r="J183" i="6"/>
  <c r="I183" i="6"/>
  <c r="H183" i="6"/>
  <c r="AK182" i="6"/>
  <c r="AJ182" i="6"/>
  <c r="AI182" i="6"/>
  <c r="V182" i="6"/>
  <c r="U182" i="6"/>
  <c r="T182" i="6"/>
  <c r="S182" i="6"/>
  <c r="R182" i="6"/>
  <c r="Q182" i="6"/>
  <c r="J182" i="6"/>
  <c r="I182" i="6"/>
  <c r="H182" i="6"/>
  <c r="AK181" i="6"/>
  <c r="AJ181" i="6"/>
  <c r="AI181" i="6"/>
  <c r="V181" i="6"/>
  <c r="U181" i="6"/>
  <c r="T181" i="6"/>
  <c r="S181" i="6"/>
  <c r="R181" i="6"/>
  <c r="Q181" i="6"/>
  <c r="J181" i="6"/>
  <c r="I181" i="6"/>
  <c r="H181" i="6"/>
  <c r="J22" i="4" s="1"/>
  <c r="AK180" i="6"/>
  <c r="AJ180" i="6"/>
  <c r="AI180" i="6"/>
  <c r="V180" i="6"/>
  <c r="U180" i="6"/>
  <c r="T180" i="6"/>
  <c r="S180" i="6"/>
  <c r="R180" i="6"/>
  <c r="Q180" i="6"/>
  <c r="J180" i="6"/>
  <c r="I180" i="6"/>
  <c r="H180" i="6"/>
  <c r="AK179" i="6"/>
  <c r="AJ179" i="6"/>
  <c r="AI179" i="6"/>
  <c r="V179" i="6"/>
  <c r="U179" i="6"/>
  <c r="T179" i="6"/>
  <c r="S179" i="6"/>
  <c r="R179" i="6"/>
  <c r="Q179" i="6"/>
  <c r="J179" i="6"/>
  <c r="I179" i="6"/>
  <c r="H179" i="6"/>
  <c r="AK178" i="6"/>
  <c r="AJ178" i="6"/>
  <c r="AI178" i="6"/>
  <c r="V178" i="6"/>
  <c r="U178" i="6"/>
  <c r="T178" i="6"/>
  <c r="S178" i="6"/>
  <c r="R178" i="6"/>
  <c r="Q178" i="6"/>
  <c r="J178" i="6"/>
  <c r="I178" i="6"/>
  <c r="H178" i="6"/>
  <c r="AK177" i="6"/>
  <c r="AJ177" i="6"/>
  <c r="AI177" i="6"/>
  <c r="V177" i="6"/>
  <c r="U177" i="6"/>
  <c r="T177" i="6"/>
  <c r="S177" i="6"/>
  <c r="R177" i="6"/>
  <c r="Q177" i="6"/>
  <c r="J177" i="6"/>
  <c r="I177" i="6"/>
  <c r="H177" i="6"/>
  <c r="AK176" i="6"/>
  <c r="AJ176" i="6"/>
  <c r="AI176" i="6"/>
  <c r="V176" i="6"/>
  <c r="U176" i="6"/>
  <c r="T176" i="6"/>
  <c r="S176" i="6"/>
  <c r="R176" i="6"/>
  <c r="Q176" i="6"/>
  <c r="J176" i="6"/>
  <c r="I176" i="6"/>
  <c r="H176" i="6"/>
  <c r="AK175" i="6"/>
  <c r="AJ175" i="6"/>
  <c r="AI175" i="6"/>
  <c r="V175" i="6"/>
  <c r="U175" i="6"/>
  <c r="T175" i="6"/>
  <c r="S175" i="6"/>
  <c r="R175" i="6"/>
  <c r="Q175" i="6"/>
  <c r="J175" i="6"/>
  <c r="I175" i="6"/>
  <c r="H175" i="6"/>
  <c r="AK174" i="6"/>
  <c r="AJ174" i="6"/>
  <c r="AI174" i="6"/>
  <c r="V174" i="6"/>
  <c r="U174" i="6"/>
  <c r="T174" i="6"/>
  <c r="S174" i="6"/>
  <c r="R174" i="6"/>
  <c r="Q174" i="6"/>
  <c r="J174" i="6"/>
  <c r="I174" i="6"/>
  <c r="H174" i="6"/>
  <c r="AK173" i="6"/>
  <c r="AJ173" i="6"/>
  <c r="AI173" i="6"/>
  <c r="V173" i="6"/>
  <c r="U173" i="6"/>
  <c r="T173" i="6"/>
  <c r="S173" i="6"/>
  <c r="R173" i="6"/>
  <c r="Q173" i="6"/>
  <c r="J173" i="6"/>
  <c r="I173" i="6"/>
  <c r="H173" i="6"/>
  <c r="AK172" i="6"/>
  <c r="AJ172" i="6"/>
  <c r="AI172" i="6"/>
  <c r="V172" i="6"/>
  <c r="U172" i="6"/>
  <c r="T172" i="6"/>
  <c r="S172" i="6"/>
  <c r="R172" i="6"/>
  <c r="Q172" i="6"/>
  <c r="J172" i="6"/>
  <c r="I172" i="6"/>
  <c r="H172" i="6"/>
  <c r="AK171" i="6"/>
  <c r="AJ171" i="6"/>
  <c r="AI171" i="6"/>
  <c r="V171" i="6"/>
  <c r="U171" i="6"/>
  <c r="T171" i="6"/>
  <c r="S171" i="6"/>
  <c r="R171" i="6"/>
  <c r="Q171" i="6"/>
  <c r="J171" i="6"/>
  <c r="I171" i="6"/>
  <c r="H171" i="6"/>
  <c r="AK170" i="6"/>
  <c r="AJ170" i="6"/>
  <c r="AI170" i="6"/>
  <c r="V170" i="6"/>
  <c r="U170" i="6"/>
  <c r="T170" i="6"/>
  <c r="S170" i="6"/>
  <c r="R170" i="6"/>
  <c r="Q170" i="6"/>
  <c r="J170" i="6"/>
  <c r="I170" i="6"/>
  <c r="H170" i="6"/>
  <c r="AK169" i="6"/>
  <c r="AJ169" i="6"/>
  <c r="AI169" i="6"/>
  <c r="V169" i="6"/>
  <c r="U169" i="6"/>
  <c r="T169" i="6"/>
  <c r="S169" i="6"/>
  <c r="R169" i="6"/>
  <c r="Q169" i="6"/>
  <c r="J169" i="6"/>
  <c r="I169" i="6"/>
  <c r="H169" i="6"/>
  <c r="AK168" i="6"/>
  <c r="AJ168" i="6"/>
  <c r="AI168" i="6"/>
  <c r="V168" i="6"/>
  <c r="U168" i="6"/>
  <c r="T168" i="6"/>
  <c r="S168" i="6"/>
  <c r="R168" i="6"/>
  <c r="Q168" i="6"/>
  <c r="J168" i="6"/>
  <c r="I168" i="6"/>
  <c r="H168" i="6"/>
  <c r="AK167" i="6"/>
  <c r="AJ167" i="6"/>
  <c r="AI167" i="6"/>
  <c r="V167" i="6"/>
  <c r="U167" i="6"/>
  <c r="T167" i="6"/>
  <c r="S167" i="6"/>
  <c r="R167" i="6"/>
  <c r="Q167" i="6"/>
  <c r="J167" i="6"/>
  <c r="I167" i="6"/>
  <c r="H167" i="6"/>
  <c r="AK166" i="6"/>
  <c r="AJ166" i="6"/>
  <c r="AI166" i="6"/>
  <c r="V166" i="6"/>
  <c r="U166" i="6"/>
  <c r="T166" i="6"/>
  <c r="S166" i="6"/>
  <c r="R166" i="6"/>
  <c r="Q166" i="6"/>
  <c r="J166" i="6"/>
  <c r="I166" i="6"/>
  <c r="H166" i="6"/>
  <c r="AK165" i="6"/>
  <c r="AJ165" i="6"/>
  <c r="AI165" i="6"/>
  <c r="V165" i="6"/>
  <c r="U165" i="6"/>
  <c r="T165" i="6"/>
  <c r="S165" i="6"/>
  <c r="R165" i="6"/>
  <c r="Q165" i="6"/>
  <c r="J165" i="6"/>
  <c r="I165" i="6"/>
  <c r="H165" i="6"/>
  <c r="AK164" i="6"/>
  <c r="AJ164" i="6"/>
  <c r="AI164" i="6"/>
  <c r="V164" i="6"/>
  <c r="U164" i="6"/>
  <c r="T164" i="6"/>
  <c r="S164" i="6"/>
  <c r="R164" i="6"/>
  <c r="Q164" i="6"/>
  <c r="J164" i="6"/>
  <c r="I164" i="6"/>
  <c r="H164" i="6"/>
  <c r="AK163" i="6"/>
  <c r="AJ163" i="6"/>
  <c r="AI163" i="6"/>
  <c r="V163" i="6"/>
  <c r="U163" i="6"/>
  <c r="T163" i="6"/>
  <c r="S163" i="6"/>
  <c r="R163" i="6"/>
  <c r="Q163" i="6"/>
  <c r="J163" i="6"/>
  <c r="I163" i="6"/>
  <c r="H163" i="6"/>
  <c r="AK162" i="6"/>
  <c r="AJ162" i="6"/>
  <c r="AI162" i="6"/>
  <c r="V162" i="6"/>
  <c r="U162" i="6"/>
  <c r="T162" i="6"/>
  <c r="S162" i="6"/>
  <c r="R162" i="6"/>
  <c r="Q162" i="6"/>
  <c r="J162" i="6"/>
  <c r="I162" i="6"/>
  <c r="H162" i="6"/>
  <c r="AK161" i="6"/>
  <c r="AJ161" i="6"/>
  <c r="AI161" i="6"/>
  <c r="V161" i="6"/>
  <c r="U161" i="6"/>
  <c r="T161" i="6"/>
  <c r="S161" i="6"/>
  <c r="R161" i="6"/>
  <c r="Q161" i="6"/>
  <c r="J161" i="6"/>
  <c r="I161" i="6"/>
  <c r="H161" i="6"/>
  <c r="AK160" i="6"/>
  <c r="AJ160" i="6"/>
  <c r="AI160" i="6"/>
  <c r="V160" i="6"/>
  <c r="U160" i="6"/>
  <c r="T160" i="6"/>
  <c r="S160" i="6"/>
  <c r="R160" i="6"/>
  <c r="Q160" i="6"/>
  <c r="J160" i="6"/>
  <c r="I160" i="6"/>
  <c r="H160" i="6"/>
  <c r="AK159" i="6"/>
  <c r="AJ159" i="6"/>
  <c r="AI159" i="6"/>
  <c r="V159" i="6"/>
  <c r="U159" i="6"/>
  <c r="T159" i="6"/>
  <c r="S159" i="6"/>
  <c r="R159" i="6"/>
  <c r="Q159" i="6"/>
  <c r="J159" i="6"/>
  <c r="L20" i="4" s="1"/>
  <c r="I159" i="6"/>
  <c r="H159" i="6"/>
  <c r="AK158" i="6"/>
  <c r="AJ158" i="6"/>
  <c r="AI158" i="6"/>
  <c r="V158" i="6"/>
  <c r="U158" i="6"/>
  <c r="T158" i="6"/>
  <c r="S158" i="6"/>
  <c r="R158" i="6"/>
  <c r="Q158" i="6"/>
  <c r="J158" i="6"/>
  <c r="I158" i="6"/>
  <c r="H158" i="6"/>
  <c r="AK157" i="6"/>
  <c r="AJ157" i="6"/>
  <c r="AI157" i="6"/>
  <c r="V157" i="6"/>
  <c r="U157" i="6"/>
  <c r="T157" i="6"/>
  <c r="S157" i="6"/>
  <c r="R157" i="6"/>
  <c r="Q157" i="6"/>
  <c r="J157" i="6"/>
  <c r="I157" i="6"/>
  <c r="H157" i="6"/>
  <c r="AK156" i="6"/>
  <c r="AJ156" i="6"/>
  <c r="AI156" i="6"/>
  <c r="V156" i="6"/>
  <c r="U156" i="6"/>
  <c r="T156" i="6"/>
  <c r="S156" i="6"/>
  <c r="R156" i="6"/>
  <c r="Q156" i="6"/>
  <c r="J156" i="6"/>
  <c r="I156" i="6"/>
  <c r="H156" i="6"/>
  <c r="AK155" i="6"/>
  <c r="AJ155" i="6"/>
  <c r="AI155" i="6"/>
  <c r="V155" i="6"/>
  <c r="U155" i="6"/>
  <c r="T155" i="6"/>
  <c r="S155" i="6"/>
  <c r="R155" i="6"/>
  <c r="Q155" i="6"/>
  <c r="J155" i="6"/>
  <c r="I155" i="6"/>
  <c r="H155" i="6"/>
  <c r="J19" i="4" s="1"/>
  <c r="AK154" i="6"/>
  <c r="AJ154" i="6"/>
  <c r="AI154" i="6"/>
  <c r="V154" i="6"/>
  <c r="U154" i="6"/>
  <c r="T154" i="6"/>
  <c r="S154" i="6"/>
  <c r="R154" i="6"/>
  <c r="Q154" i="6"/>
  <c r="J154" i="6"/>
  <c r="I154" i="6"/>
  <c r="H154" i="6"/>
  <c r="AK153" i="6"/>
  <c r="AJ153" i="6"/>
  <c r="AI153" i="6"/>
  <c r="V153" i="6"/>
  <c r="U153" i="6"/>
  <c r="T153" i="6"/>
  <c r="S153" i="6"/>
  <c r="R153" i="6"/>
  <c r="Q153" i="6"/>
  <c r="J153" i="6"/>
  <c r="I153" i="6"/>
  <c r="H153" i="6"/>
  <c r="AK152" i="6"/>
  <c r="AJ152" i="6"/>
  <c r="AI152" i="6"/>
  <c r="V152" i="6"/>
  <c r="U152" i="6"/>
  <c r="T152" i="6"/>
  <c r="S152" i="6"/>
  <c r="R152" i="6"/>
  <c r="Q152" i="6"/>
  <c r="J152" i="6"/>
  <c r="I152" i="6"/>
  <c r="H152" i="6"/>
  <c r="AK151" i="6"/>
  <c r="AJ151" i="6"/>
  <c r="AI151" i="6"/>
  <c r="V151" i="6"/>
  <c r="U151" i="6"/>
  <c r="T151" i="6"/>
  <c r="S151" i="6"/>
  <c r="R151" i="6"/>
  <c r="Q151" i="6"/>
  <c r="J151" i="6"/>
  <c r="I151" i="6"/>
  <c r="H151" i="6"/>
  <c r="AK150" i="6"/>
  <c r="AJ150" i="6"/>
  <c r="AI150" i="6"/>
  <c r="V150" i="6"/>
  <c r="U150" i="6"/>
  <c r="T150" i="6"/>
  <c r="S150" i="6"/>
  <c r="R150" i="6"/>
  <c r="Q150" i="6"/>
  <c r="J150" i="6"/>
  <c r="I150" i="6"/>
  <c r="H150" i="6"/>
  <c r="AK149" i="6"/>
  <c r="AJ149" i="6"/>
  <c r="AI149" i="6"/>
  <c r="V149" i="6"/>
  <c r="U149" i="6"/>
  <c r="T149" i="6"/>
  <c r="S149" i="6"/>
  <c r="R149" i="6"/>
  <c r="Q149" i="6"/>
  <c r="J149" i="6"/>
  <c r="I149" i="6"/>
  <c r="H149" i="6"/>
  <c r="AK148" i="6"/>
  <c r="AJ148" i="6"/>
  <c r="AI148" i="6"/>
  <c r="V148" i="6"/>
  <c r="U148" i="6"/>
  <c r="T148" i="6"/>
  <c r="S148" i="6"/>
  <c r="R148" i="6"/>
  <c r="Q148" i="6"/>
  <c r="J148" i="6"/>
  <c r="I148" i="6"/>
  <c r="H148" i="6"/>
  <c r="AK147" i="6"/>
  <c r="AJ147" i="6"/>
  <c r="AI147" i="6"/>
  <c r="V147" i="6"/>
  <c r="U147" i="6"/>
  <c r="T147" i="6"/>
  <c r="S147" i="6"/>
  <c r="R147" i="6"/>
  <c r="Q147" i="6"/>
  <c r="J147" i="6"/>
  <c r="I147" i="6"/>
  <c r="H147" i="6"/>
  <c r="AK146" i="6"/>
  <c r="AJ146" i="6"/>
  <c r="AI146" i="6"/>
  <c r="V146" i="6"/>
  <c r="U146" i="6"/>
  <c r="T146" i="6"/>
  <c r="S146" i="6"/>
  <c r="R146" i="6"/>
  <c r="Q146" i="6"/>
  <c r="J146" i="6"/>
  <c r="I146" i="6"/>
  <c r="H146" i="6"/>
  <c r="AK145" i="6"/>
  <c r="AJ145" i="6"/>
  <c r="AI145" i="6"/>
  <c r="V145" i="6"/>
  <c r="U145" i="6"/>
  <c r="T145" i="6"/>
  <c r="S145" i="6"/>
  <c r="R145" i="6"/>
  <c r="Q145" i="6"/>
  <c r="J145" i="6"/>
  <c r="I145" i="6"/>
  <c r="H145" i="6"/>
  <c r="AK144" i="6"/>
  <c r="AJ144" i="6"/>
  <c r="AI144" i="6"/>
  <c r="V144" i="6"/>
  <c r="U144" i="6"/>
  <c r="T144" i="6"/>
  <c r="S144" i="6"/>
  <c r="R144" i="6"/>
  <c r="Q144" i="6"/>
  <c r="J144" i="6"/>
  <c r="I144" i="6"/>
  <c r="H144" i="6"/>
  <c r="AK143" i="6"/>
  <c r="AJ143" i="6"/>
  <c r="AI143" i="6"/>
  <c r="V143" i="6"/>
  <c r="U143" i="6"/>
  <c r="T143" i="6"/>
  <c r="S143" i="6"/>
  <c r="R143" i="6"/>
  <c r="Q143" i="6"/>
  <c r="J143" i="6"/>
  <c r="I143" i="6"/>
  <c r="H143" i="6"/>
  <c r="J18" i="4" s="1"/>
  <c r="AK142" i="6"/>
  <c r="AJ142" i="6"/>
  <c r="AI142" i="6"/>
  <c r="V142" i="6"/>
  <c r="U142" i="6"/>
  <c r="T142" i="6"/>
  <c r="S142" i="6"/>
  <c r="R142" i="6"/>
  <c r="Q142" i="6"/>
  <c r="J142" i="6"/>
  <c r="I142" i="6"/>
  <c r="H142" i="6"/>
  <c r="AK141" i="6"/>
  <c r="AJ141" i="6"/>
  <c r="AI141" i="6"/>
  <c r="V141" i="6"/>
  <c r="U141" i="6"/>
  <c r="T141" i="6"/>
  <c r="S141" i="6"/>
  <c r="R141" i="6"/>
  <c r="Q141" i="6"/>
  <c r="J141" i="6"/>
  <c r="I141" i="6"/>
  <c r="K17" i="4" s="1"/>
  <c r="H141" i="6"/>
  <c r="AK140" i="6"/>
  <c r="AJ140" i="6"/>
  <c r="AI140" i="6"/>
  <c r="V140" i="6"/>
  <c r="U140" i="6"/>
  <c r="T140" i="6"/>
  <c r="S140" i="6"/>
  <c r="R140" i="6"/>
  <c r="Q140" i="6"/>
  <c r="J140" i="6"/>
  <c r="I140" i="6"/>
  <c r="H140" i="6"/>
  <c r="AK139" i="6"/>
  <c r="AJ139" i="6"/>
  <c r="AI139" i="6"/>
  <c r="V139" i="6"/>
  <c r="U139" i="6"/>
  <c r="T139" i="6"/>
  <c r="S139" i="6"/>
  <c r="R139" i="6"/>
  <c r="Q139" i="6"/>
  <c r="J139" i="6"/>
  <c r="I139" i="6"/>
  <c r="H139" i="6"/>
  <c r="AK138" i="6"/>
  <c r="AJ138" i="6"/>
  <c r="AI138" i="6"/>
  <c r="V138" i="6"/>
  <c r="U138" i="6"/>
  <c r="T138" i="6"/>
  <c r="S138" i="6"/>
  <c r="R138" i="6"/>
  <c r="Q138" i="6"/>
  <c r="J138" i="6"/>
  <c r="I138" i="6"/>
  <c r="H138" i="6"/>
  <c r="AK137" i="6"/>
  <c r="AJ137" i="6"/>
  <c r="AI137" i="6"/>
  <c r="V137" i="6"/>
  <c r="U137" i="6"/>
  <c r="T137" i="6"/>
  <c r="S137" i="6"/>
  <c r="R137" i="6"/>
  <c r="Q137" i="6"/>
  <c r="J137" i="6"/>
  <c r="I137" i="6"/>
  <c r="H137" i="6"/>
  <c r="AK136" i="6"/>
  <c r="AJ136" i="6"/>
  <c r="AI136" i="6"/>
  <c r="V136" i="6"/>
  <c r="U136" i="6"/>
  <c r="T136" i="6"/>
  <c r="S136" i="6"/>
  <c r="R136" i="6"/>
  <c r="Q136" i="6"/>
  <c r="J136" i="6"/>
  <c r="I136" i="6"/>
  <c r="H136" i="6"/>
  <c r="AK135" i="6"/>
  <c r="AJ135" i="6"/>
  <c r="AI135" i="6"/>
  <c r="V135" i="6"/>
  <c r="U135" i="6"/>
  <c r="T135" i="6"/>
  <c r="S135" i="6"/>
  <c r="R135" i="6"/>
  <c r="Q135" i="6"/>
  <c r="J135" i="6"/>
  <c r="I135" i="6"/>
  <c r="H135" i="6"/>
  <c r="AK134" i="6"/>
  <c r="AJ134" i="6"/>
  <c r="AI134" i="6"/>
  <c r="V134" i="6"/>
  <c r="U134" i="6"/>
  <c r="T134" i="6"/>
  <c r="S134" i="6"/>
  <c r="R134" i="6"/>
  <c r="Q134" i="6"/>
  <c r="J134" i="6"/>
  <c r="I134" i="6"/>
  <c r="H134" i="6"/>
  <c r="AK133" i="6"/>
  <c r="AJ133" i="6"/>
  <c r="AI133" i="6"/>
  <c r="V133" i="6"/>
  <c r="U133" i="6"/>
  <c r="T133" i="6"/>
  <c r="S133" i="6"/>
  <c r="R133" i="6"/>
  <c r="Q133" i="6"/>
  <c r="J133" i="6"/>
  <c r="I133" i="6"/>
  <c r="H133" i="6"/>
  <c r="AK132" i="6"/>
  <c r="AJ132" i="6"/>
  <c r="AI132" i="6"/>
  <c r="V132" i="6"/>
  <c r="U132" i="6"/>
  <c r="T132" i="6"/>
  <c r="S132" i="6"/>
  <c r="R132" i="6"/>
  <c r="Q132" i="6"/>
  <c r="J132" i="6"/>
  <c r="I132" i="6"/>
  <c r="H132" i="6"/>
  <c r="AK131" i="6"/>
  <c r="AJ131" i="6"/>
  <c r="AI131" i="6"/>
  <c r="V131" i="6"/>
  <c r="U131" i="6"/>
  <c r="T131" i="6"/>
  <c r="S131" i="6"/>
  <c r="R131" i="6"/>
  <c r="Q131" i="6"/>
  <c r="J131" i="6"/>
  <c r="I131" i="6"/>
  <c r="H131" i="6"/>
  <c r="AK130" i="6"/>
  <c r="AJ130" i="6"/>
  <c r="AI130" i="6"/>
  <c r="V130" i="6"/>
  <c r="U130" i="6"/>
  <c r="T130" i="6"/>
  <c r="S130" i="6"/>
  <c r="R130" i="6"/>
  <c r="Q130" i="6"/>
  <c r="J130" i="6"/>
  <c r="I130" i="6"/>
  <c r="H130" i="6"/>
  <c r="AK129" i="6"/>
  <c r="AJ129" i="6"/>
  <c r="AI129" i="6"/>
  <c r="V129" i="6"/>
  <c r="U129" i="6"/>
  <c r="T129" i="6"/>
  <c r="S129" i="6"/>
  <c r="R129" i="6"/>
  <c r="Q129" i="6"/>
  <c r="J129" i="6"/>
  <c r="I129" i="6"/>
  <c r="H129" i="6"/>
  <c r="AK128" i="6"/>
  <c r="AJ128" i="6"/>
  <c r="AI128" i="6"/>
  <c r="V128" i="6"/>
  <c r="U128" i="6"/>
  <c r="T128" i="6"/>
  <c r="S128" i="6"/>
  <c r="R128" i="6"/>
  <c r="Q128" i="6"/>
  <c r="J128" i="6"/>
  <c r="I128" i="6"/>
  <c r="H128" i="6"/>
  <c r="AK127" i="6"/>
  <c r="AJ127" i="6"/>
  <c r="AI127" i="6"/>
  <c r="V127" i="6"/>
  <c r="U127" i="6"/>
  <c r="T127" i="6"/>
  <c r="S127" i="6"/>
  <c r="R127" i="6"/>
  <c r="Q127" i="6"/>
  <c r="J127" i="6"/>
  <c r="I127" i="6"/>
  <c r="H127" i="6"/>
  <c r="AK126" i="6"/>
  <c r="AJ126" i="6"/>
  <c r="AI126" i="6"/>
  <c r="V126" i="6"/>
  <c r="U126" i="6"/>
  <c r="T126" i="6"/>
  <c r="S126" i="6"/>
  <c r="R126" i="6"/>
  <c r="Q126" i="6"/>
  <c r="J126" i="6"/>
  <c r="I126" i="6"/>
  <c r="H126" i="6"/>
  <c r="AK125" i="6"/>
  <c r="AJ125" i="6"/>
  <c r="AI125" i="6"/>
  <c r="V125" i="6"/>
  <c r="U125" i="6"/>
  <c r="T125" i="6"/>
  <c r="S125" i="6"/>
  <c r="R125" i="6"/>
  <c r="Q125" i="6"/>
  <c r="J125" i="6"/>
  <c r="I125" i="6"/>
  <c r="H125" i="6"/>
  <c r="AK124" i="6"/>
  <c r="AJ124" i="6"/>
  <c r="AI124" i="6"/>
  <c r="V124" i="6"/>
  <c r="U124" i="6"/>
  <c r="T124" i="6"/>
  <c r="S124" i="6"/>
  <c r="R124" i="6"/>
  <c r="Q124" i="6"/>
  <c r="J124" i="6"/>
  <c r="I124" i="6"/>
  <c r="H124" i="6"/>
  <c r="AK123" i="6"/>
  <c r="AJ123" i="6"/>
  <c r="AI123" i="6"/>
  <c r="V123" i="6"/>
  <c r="U123" i="6"/>
  <c r="T123" i="6"/>
  <c r="S123" i="6"/>
  <c r="R123" i="6"/>
  <c r="Q123" i="6"/>
  <c r="J123" i="6"/>
  <c r="I123" i="6"/>
  <c r="H123" i="6"/>
  <c r="AK122" i="6"/>
  <c r="AJ122" i="6"/>
  <c r="AI122" i="6"/>
  <c r="V122" i="6"/>
  <c r="U122" i="6"/>
  <c r="T122" i="6"/>
  <c r="S122" i="6"/>
  <c r="R122" i="6"/>
  <c r="Q122" i="6"/>
  <c r="J122" i="6"/>
  <c r="I122" i="6"/>
  <c r="H122" i="6"/>
  <c r="AK121" i="6"/>
  <c r="AJ121" i="6"/>
  <c r="AI121" i="6"/>
  <c r="V121" i="6"/>
  <c r="U121" i="6"/>
  <c r="T121" i="6"/>
  <c r="S121" i="6"/>
  <c r="R121" i="6"/>
  <c r="Q121" i="6"/>
  <c r="J121" i="6"/>
  <c r="I121" i="6"/>
  <c r="H121" i="6"/>
  <c r="AK120" i="6"/>
  <c r="AJ120" i="6"/>
  <c r="AI120" i="6"/>
  <c r="V120" i="6"/>
  <c r="U120" i="6"/>
  <c r="T120" i="6"/>
  <c r="S120" i="6"/>
  <c r="R120" i="6"/>
  <c r="Q120" i="6"/>
  <c r="J120" i="6"/>
  <c r="I120" i="6"/>
  <c r="H120" i="6"/>
  <c r="AK119" i="6"/>
  <c r="AJ119" i="6"/>
  <c r="AI119" i="6"/>
  <c r="V119" i="6"/>
  <c r="U119" i="6"/>
  <c r="T119" i="6"/>
  <c r="S119" i="6"/>
  <c r="R119" i="6"/>
  <c r="Q119" i="6"/>
  <c r="J119" i="6"/>
  <c r="I119" i="6"/>
  <c r="H119" i="6"/>
  <c r="AK118" i="6"/>
  <c r="AJ118" i="6"/>
  <c r="AI118" i="6"/>
  <c r="V118" i="6"/>
  <c r="U118" i="6"/>
  <c r="T118" i="6"/>
  <c r="S118" i="6"/>
  <c r="R118" i="6"/>
  <c r="Q118" i="6"/>
  <c r="J118" i="6"/>
  <c r="I118" i="6"/>
  <c r="H118" i="6"/>
  <c r="AK117" i="6"/>
  <c r="AJ117" i="6"/>
  <c r="AI117" i="6"/>
  <c r="V117" i="6"/>
  <c r="U117" i="6"/>
  <c r="T117" i="6"/>
  <c r="S117" i="6"/>
  <c r="R117" i="6"/>
  <c r="Q117" i="6"/>
  <c r="J117" i="6"/>
  <c r="I117" i="6"/>
  <c r="H117" i="6"/>
  <c r="AK116" i="6"/>
  <c r="AJ116" i="6"/>
  <c r="AI116" i="6"/>
  <c r="V116" i="6"/>
  <c r="U116" i="6"/>
  <c r="T116" i="6"/>
  <c r="S116" i="6"/>
  <c r="R116" i="6"/>
  <c r="Q116" i="6"/>
  <c r="J116" i="6"/>
  <c r="I116" i="6"/>
  <c r="H116" i="6"/>
  <c r="AK115" i="6"/>
  <c r="AJ115" i="6"/>
  <c r="AI115" i="6"/>
  <c r="V115" i="6"/>
  <c r="U115" i="6"/>
  <c r="T115" i="6"/>
  <c r="S115" i="6"/>
  <c r="R115" i="6"/>
  <c r="Q115" i="6"/>
  <c r="J115" i="6"/>
  <c r="I115" i="6"/>
  <c r="H115" i="6"/>
  <c r="AK114" i="6"/>
  <c r="AJ114" i="6"/>
  <c r="AI114" i="6"/>
  <c r="V114" i="6"/>
  <c r="U114" i="6"/>
  <c r="T114" i="6"/>
  <c r="S114" i="6"/>
  <c r="R114" i="6"/>
  <c r="Q114" i="6"/>
  <c r="J114" i="6"/>
  <c r="I114" i="6"/>
  <c r="H114" i="6"/>
  <c r="AK113" i="6"/>
  <c r="AJ113" i="6"/>
  <c r="AI113" i="6"/>
  <c r="V113" i="6"/>
  <c r="U113" i="6"/>
  <c r="T113" i="6"/>
  <c r="S113" i="6"/>
  <c r="R113" i="6"/>
  <c r="Q113" i="6"/>
  <c r="J113" i="6"/>
  <c r="I113" i="6"/>
  <c r="H113" i="6"/>
  <c r="AK112" i="6"/>
  <c r="AJ112" i="6"/>
  <c r="AI112" i="6"/>
  <c r="V112" i="6"/>
  <c r="U112" i="6"/>
  <c r="T112" i="6"/>
  <c r="S112" i="6"/>
  <c r="R112" i="6"/>
  <c r="Q112" i="6"/>
  <c r="J112" i="6"/>
  <c r="I112" i="6"/>
  <c r="H112" i="6"/>
  <c r="AK111" i="6"/>
  <c r="AJ111" i="6"/>
  <c r="AI111" i="6"/>
  <c r="V111" i="6"/>
  <c r="U111" i="6"/>
  <c r="T111" i="6"/>
  <c r="S111" i="6"/>
  <c r="R111" i="6"/>
  <c r="Q111" i="6"/>
  <c r="J111" i="6"/>
  <c r="I111" i="6"/>
  <c r="H111" i="6"/>
  <c r="AK110" i="6"/>
  <c r="AJ110" i="6"/>
  <c r="AI110" i="6"/>
  <c r="V110" i="6"/>
  <c r="U110" i="6"/>
  <c r="T110" i="6"/>
  <c r="S110" i="6"/>
  <c r="R110" i="6"/>
  <c r="Q110" i="6"/>
  <c r="J110" i="6"/>
  <c r="I110" i="6"/>
  <c r="H110" i="6"/>
  <c r="AK109" i="6"/>
  <c r="AJ109" i="6"/>
  <c r="AI109" i="6"/>
  <c r="V109" i="6"/>
  <c r="U109" i="6"/>
  <c r="T109" i="6"/>
  <c r="S109" i="6"/>
  <c r="R109" i="6"/>
  <c r="Q109" i="6"/>
  <c r="J109" i="6"/>
  <c r="I109" i="6"/>
  <c r="H109" i="6"/>
  <c r="AK108" i="6"/>
  <c r="AJ108" i="6"/>
  <c r="AI108" i="6"/>
  <c r="V108" i="6"/>
  <c r="U108" i="6"/>
  <c r="T108" i="6"/>
  <c r="S108" i="6"/>
  <c r="R108" i="6"/>
  <c r="Q108" i="6"/>
  <c r="J108" i="6"/>
  <c r="I108" i="6"/>
  <c r="H108" i="6"/>
  <c r="AK107" i="6"/>
  <c r="AJ107" i="6"/>
  <c r="AI107" i="6"/>
  <c r="V107" i="6"/>
  <c r="U107" i="6"/>
  <c r="T107" i="6"/>
  <c r="S107" i="6"/>
  <c r="R107" i="6"/>
  <c r="Q107" i="6"/>
  <c r="J107" i="6"/>
  <c r="I107" i="6"/>
  <c r="H107" i="6"/>
  <c r="AK106" i="6"/>
  <c r="AJ106" i="6"/>
  <c r="AI106" i="6"/>
  <c r="V106" i="6"/>
  <c r="U106" i="6"/>
  <c r="T106" i="6"/>
  <c r="S106" i="6"/>
  <c r="R106" i="6"/>
  <c r="Q106" i="6"/>
  <c r="J106" i="6"/>
  <c r="I106" i="6"/>
  <c r="H106" i="6"/>
  <c r="AK105" i="6"/>
  <c r="AJ105" i="6"/>
  <c r="AI105" i="6"/>
  <c r="V105" i="6"/>
  <c r="U105" i="6"/>
  <c r="T105" i="6"/>
  <c r="S105" i="6"/>
  <c r="R105" i="6"/>
  <c r="Q105" i="6"/>
  <c r="J105" i="6"/>
  <c r="I105" i="6"/>
  <c r="H105" i="6"/>
  <c r="AK104" i="6"/>
  <c r="AJ104" i="6"/>
  <c r="AI104" i="6"/>
  <c r="V104" i="6"/>
  <c r="U104" i="6"/>
  <c r="T104" i="6"/>
  <c r="S104" i="6"/>
  <c r="R104" i="6"/>
  <c r="Q104" i="6"/>
  <c r="J104" i="6"/>
  <c r="I104" i="6"/>
  <c r="H104" i="6"/>
  <c r="AK103" i="6"/>
  <c r="AJ103" i="6"/>
  <c r="AI103" i="6"/>
  <c r="V103" i="6"/>
  <c r="U103" i="6"/>
  <c r="T103" i="6"/>
  <c r="S103" i="6"/>
  <c r="R103" i="6"/>
  <c r="Q103" i="6"/>
  <c r="J103" i="6"/>
  <c r="I103" i="6"/>
  <c r="H103" i="6"/>
  <c r="AK102" i="6"/>
  <c r="AJ102" i="6"/>
  <c r="AI102" i="6"/>
  <c r="V102" i="6"/>
  <c r="U102" i="6"/>
  <c r="T102" i="6"/>
  <c r="S102" i="6"/>
  <c r="R102" i="6"/>
  <c r="Q102" i="6"/>
  <c r="J102" i="6"/>
  <c r="I102" i="6"/>
  <c r="H102" i="6"/>
  <c r="AK101" i="6"/>
  <c r="AJ101" i="6"/>
  <c r="AI101" i="6"/>
  <c r="V101" i="6"/>
  <c r="U101" i="6"/>
  <c r="T101" i="6"/>
  <c r="S101" i="6"/>
  <c r="R101" i="6"/>
  <c r="Q101" i="6"/>
  <c r="J101" i="6"/>
  <c r="I101" i="6"/>
  <c r="H101" i="6"/>
  <c r="AK100" i="6"/>
  <c r="AJ100" i="6"/>
  <c r="AI100" i="6"/>
  <c r="V100" i="6"/>
  <c r="U100" i="6"/>
  <c r="T100" i="6"/>
  <c r="S100" i="6"/>
  <c r="R100" i="6"/>
  <c r="Q100" i="6"/>
  <c r="J100" i="6"/>
  <c r="I100" i="6"/>
  <c r="H100" i="6"/>
  <c r="AK99" i="6"/>
  <c r="AJ99" i="6"/>
  <c r="AI99" i="6"/>
  <c r="V99" i="6"/>
  <c r="U99" i="6"/>
  <c r="T99" i="6"/>
  <c r="S99" i="6"/>
  <c r="R99" i="6"/>
  <c r="Q99" i="6"/>
  <c r="J99" i="6"/>
  <c r="I99" i="6"/>
  <c r="H99" i="6"/>
  <c r="AK98" i="6"/>
  <c r="AJ98" i="6"/>
  <c r="AI98" i="6"/>
  <c r="V98" i="6"/>
  <c r="U98" i="6"/>
  <c r="T98" i="6"/>
  <c r="S98" i="6"/>
  <c r="R98" i="6"/>
  <c r="Q98" i="6"/>
  <c r="J98" i="6"/>
  <c r="I98" i="6"/>
  <c r="H98" i="6"/>
  <c r="AK97" i="6"/>
  <c r="AJ97" i="6"/>
  <c r="AI97" i="6"/>
  <c r="V97" i="6"/>
  <c r="U97" i="6"/>
  <c r="T97" i="6"/>
  <c r="S97" i="6"/>
  <c r="R97" i="6"/>
  <c r="Q97" i="6"/>
  <c r="J97" i="6"/>
  <c r="I97" i="6"/>
  <c r="H97" i="6"/>
  <c r="AK96" i="6"/>
  <c r="AJ96" i="6"/>
  <c r="AI96" i="6"/>
  <c r="V96" i="6"/>
  <c r="U96" i="6"/>
  <c r="T96" i="6"/>
  <c r="S96" i="6"/>
  <c r="R96" i="6"/>
  <c r="Q96" i="6"/>
  <c r="J96" i="6"/>
  <c r="I96" i="6"/>
  <c r="H96" i="6"/>
  <c r="AK95" i="6"/>
  <c r="AJ95" i="6"/>
  <c r="AI95" i="6"/>
  <c r="V95" i="6"/>
  <c r="U95" i="6"/>
  <c r="T95" i="6"/>
  <c r="S95" i="6"/>
  <c r="R95" i="6"/>
  <c r="Q95" i="6"/>
  <c r="J95" i="6"/>
  <c r="I95" i="6"/>
  <c r="H95" i="6"/>
  <c r="AK94" i="6"/>
  <c r="AJ94" i="6"/>
  <c r="AI94" i="6"/>
  <c r="V94" i="6"/>
  <c r="U94" i="6"/>
  <c r="T94" i="6"/>
  <c r="S94" i="6"/>
  <c r="R94" i="6"/>
  <c r="Q94" i="6"/>
  <c r="J94" i="6"/>
  <c r="I94" i="6"/>
  <c r="H94" i="6"/>
  <c r="AK93" i="6"/>
  <c r="AJ93" i="6"/>
  <c r="AI93" i="6"/>
  <c r="V93" i="6"/>
  <c r="U93" i="6"/>
  <c r="T93" i="6"/>
  <c r="S93" i="6"/>
  <c r="R93" i="6"/>
  <c r="Q93" i="6"/>
  <c r="J93" i="6"/>
  <c r="I93" i="6"/>
  <c r="H93" i="6"/>
  <c r="AK92" i="6"/>
  <c r="AJ92" i="6"/>
  <c r="AI92" i="6"/>
  <c r="V92" i="6"/>
  <c r="U92" i="6"/>
  <c r="T92" i="6"/>
  <c r="S92" i="6"/>
  <c r="R92" i="6"/>
  <c r="Q92" i="6"/>
  <c r="J92" i="6"/>
  <c r="I92" i="6"/>
  <c r="H92" i="6"/>
  <c r="AK91" i="6"/>
  <c r="AJ91" i="6"/>
  <c r="AI91" i="6"/>
  <c r="V91" i="6"/>
  <c r="U91" i="6"/>
  <c r="T91" i="6"/>
  <c r="S91" i="6"/>
  <c r="R91" i="6"/>
  <c r="Q91" i="6"/>
  <c r="J91" i="6"/>
  <c r="I91" i="6"/>
  <c r="H91" i="6"/>
  <c r="AK90" i="6"/>
  <c r="AJ90" i="6"/>
  <c r="AI90" i="6"/>
  <c r="V90" i="6"/>
  <c r="U90" i="6"/>
  <c r="T90" i="6"/>
  <c r="S90" i="6"/>
  <c r="R90" i="6"/>
  <c r="Q90" i="6"/>
  <c r="J90" i="6"/>
  <c r="I90" i="6"/>
  <c r="H90" i="6"/>
  <c r="AK89" i="6"/>
  <c r="AJ89" i="6"/>
  <c r="AI89" i="6"/>
  <c r="V89" i="6"/>
  <c r="U89" i="6"/>
  <c r="T89" i="6"/>
  <c r="S89" i="6"/>
  <c r="R89" i="6"/>
  <c r="Q89" i="6"/>
  <c r="J89" i="6"/>
  <c r="I89" i="6"/>
  <c r="H89" i="6"/>
  <c r="AK88" i="6"/>
  <c r="AJ88" i="6"/>
  <c r="AI88" i="6"/>
  <c r="V88" i="6"/>
  <c r="U88" i="6"/>
  <c r="T88" i="6"/>
  <c r="S88" i="6"/>
  <c r="R88" i="6"/>
  <c r="Q88" i="6"/>
  <c r="J88" i="6"/>
  <c r="I88" i="6"/>
  <c r="H88" i="6"/>
  <c r="AK87" i="6"/>
  <c r="AJ87" i="6"/>
  <c r="AI87" i="6"/>
  <c r="V87" i="6"/>
  <c r="U87" i="6"/>
  <c r="T87" i="6"/>
  <c r="S87" i="6"/>
  <c r="R87" i="6"/>
  <c r="Q87" i="6"/>
  <c r="J87" i="6"/>
  <c r="I87" i="6"/>
  <c r="H87" i="6"/>
  <c r="AK86" i="6"/>
  <c r="AJ86" i="6"/>
  <c r="AI86" i="6"/>
  <c r="V86" i="6"/>
  <c r="U86" i="6"/>
  <c r="T86" i="6"/>
  <c r="S86" i="6"/>
  <c r="R86" i="6"/>
  <c r="Q86" i="6"/>
  <c r="J86" i="6"/>
  <c r="I86" i="6"/>
  <c r="H86" i="6"/>
  <c r="AK85" i="6"/>
  <c r="AJ85" i="6"/>
  <c r="AI85" i="6"/>
  <c r="V85" i="6"/>
  <c r="U85" i="6"/>
  <c r="T85" i="6"/>
  <c r="S85" i="6"/>
  <c r="R85" i="6"/>
  <c r="Q85" i="6"/>
  <c r="J85" i="6"/>
  <c r="I85" i="6"/>
  <c r="H85" i="6"/>
  <c r="AK84" i="6"/>
  <c r="AJ84" i="6"/>
  <c r="AI84" i="6"/>
  <c r="V84" i="6"/>
  <c r="U84" i="6"/>
  <c r="T84" i="6"/>
  <c r="S84" i="6"/>
  <c r="R84" i="6"/>
  <c r="Q84" i="6"/>
  <c r="J84" i="6"/>
  <c r="I84" i="6"/>
  <c r="H84" i="6"/>
  <c r="AK83" i="6"/>
  <c r="AJ83" i="6"/>
  <c r="AI83" i="6"/>
  <c r="V83" i="6"/>
  <c r="U83" i="6"/>
  <c r="T83" i="6"/>
  <c r="S83" i="6"/>
  <c r="R83" i="6"/>
  <c r="Q83" i="6"/>
  <c r="J83" i="6"/>
  <c r="I83" i="6"/>
  <c r="H83" i="6"/>
  <c r="AK82" i="6"/>
  <c r="AJ82" i="6"/>
  <c r="AI82" i="6"/>
  <c r="V82" i="6"/>
  <c r="U82" i="6"/>
  <c r="T82" i="6"/>
  <c r="S82" i="6"/>
  <c r="R82" i="6"/>
  <c r="Q82" i="6"/>
  <c r="J82" i="6"/>
  <c r="I82" i="6"/>
  <c r="H82" i="6"/>
  <c r="AK81" i="6"/>
  <c r="AJ81" i="6"/>
  <c r="AI81" i="6"/>
  <c r="V81" i="6"/>
  <c r="U81" i="6"/>
  <c r="T81" i="6"/>
  <c r="S81" i="6"/>
  <c r="R81" i="6"/>
  <c r="Q81" i="6"/>
  <c r="J81" i="6"/>
  <c r="I81" i="6"/>
  <c r="H81" i="6"/>
  <c r="AK80" i="6"/>
  <c r="AJ80" i="6"/>
  <c r="AI80" i="6"/>
  <c r="V80" i="6"/>
  <c r="U80" i="6"/>
  <c r="T80" i="6"/>
  <c r="S80" i="6"/>
  <c r="R80" i="6"/>
  <c r="Q80" i="6"/>
  <c r="J80" i="6"/>
  <c r="I80" i="6"/>
  <c r="H80" i="6"/>
  <c r="AK79" i="6"/>
  <c r="AJ79" i="6"/>
  <c r="AI79" i="6"/>
  <c r="V79" i="6"/>
  <c r="U79" i="6"/>
  <c r="T79" i="6"/>
  <c r="S79" i="6"/>
  <c r="R79" i="6"/>
  <c r="Q79" i="6"/>
  <c r="J79" i="6"/>
  <c r="I79" i="6"/>
  <c r="H79" i="6"/>
  <c r="AK78" i="6"/>
  <c r="AJ78" i="6"/>
  <c r="AI78" i="6"/>
  <c r="V78" i="6"/>
  <c r="U78" i="6"/>
  <c r="T78" i="6"/>
  <c r="S78" i="6"/>
  <c r="R78" i="6"/>
  <c r="Q78" i="6"/>
  <c r="J78" i="6"/>
  <c r="I78" i="6"/>
  <c r="H78" i="6"/>
  <c r="AK77" i="6"/>
  <c r="AJ77" i="6"/>
  <c r="AI77" i="6"/>
  <c r="V77" i="6"/>
  <c r="U77" i="6"/>
  <c r="T77" i="6"/>
  <c r="S77" i="6"/>
  <c r="R77" i="6"/>
  <c r="Q77" i="6"/>
  <c r="J77" i="6"/>
  <c r="I77" i="6"/>
  <c r="H77" i="6"/>
  <c r="AK76" i="6"/>
  <c r="AJ76" i="6"/>
  <c r="AI76" i="6"/>
  <c r="V76" i="6"/>
  <c r="U76" i="6"/>
  <c r="T76" i="6"/>
  <c r="S76" i="6"/>
  <c r="R76" i="6"/>
  <c r="Q76" i="6"/>
  <c r="J76" i="6"/>
  <c r="I76" i="6"/>
  <c r="H76" i="6"/>
  <c r="AK75" i="6"/>
  <c r="AJ75" i="6"/>
  <c r="AI75" i="6"/>
  <c r="V75" i="6"/>
  <c r="U75" i="6"/>
  <c r="T75" i="6"/>
  <c r="S75" i="6"/>
  <c r="R75" i="6"/>
  <c r="Q75" i="6"/>
  <c r="J75" i="6"/>
  <c r="I75" i="6"/>
  <c r="H75" i="6"/>
  <c r="J11" i="4" s="1"/>
  <c r="AK74" i="6"/>
  <c r="AJ74" i="6"/>
  <c r="AI74" i="6"/>
  <c r="V74" i="6"/>
  <c r="U74" i="6"/>
  <c r="T74" i="6"/>
  <c r="S74" i="6"/>
  <c r="R74" i="6"/>
  <c r="Q74" i="6"/>
  <c r="J74" i="6"/>
  <c r="I74" i="6"/>
  <c r="H74" i="6"/>
  <c r="AK73" i="6"/>
  <c r="AJ73" i="6"/>
  <c r="AI73" i="6"/>
  <c r="V73" i="6"/>
  <c r="U73" i="6"/>
  <c r="T73" i="6"/>
  <c r="S73" i="6"/>
  <c r="R73" i="6"/>
  <c r="Q73" i="6"/>
  <c r="J73" i="6"/>
  <c r="I73" i="6"/>
  <c r="H73" i="6"/>
  <c r="AK72" i="6"/>
  <c r="AJ72" i="6"/>
  <c r="AI72" i="6"/>
  <c r="V72" i="6"/>
  <c r="U72" i="6"/>
  <c r="T72" i="6"/>
  <c r="S72" i="6"/>
  <c r="R72" i="6"/>
  <c r="Q72" i="6"/>
  <c r="J72" i="6"/>
  <c r="I72" i="6"/>
  <c r="H72" i="6"/>
  <c r="AK71" i="6"/>
  <c r="AJ71" i="6"/>
  <c r="AI71" i="6"/>
  <c r="V71" i="6"/>
  <c r="U71" i="6"/>
  <c r="T71" i="6"/>
  <c r="S71" i="6"/>
  <c r="R71" i="6"/>
  <c r="Q71" i="6"/>
  <c r="J71" i="6"/>
  <c r="I71" i="6"/>
  <c r="H71" i="6"/>
  <c r="AK70" i="6"/>
  <c r="AJ70" i="6"/>
  <c r="AI70" i="6"/>
  <c r="V70" i="6"/>
  <c r="U70" i="6"/>
  <c r="T70" i="6"/>
  <c r="S70" i="6"/>
  <c r="R70" i="6"/>
  <c r="Q70" i="6"/>
  <c r="J70" i="6"/>
  <c r="I70" i="6"/>
  <c r="H70" i="6"/>
  <c r="AK69" i="6"/>
  <c r="AJ69" i="6"/>
  <c r="AI69" i="6"/>
  <c r="V69" i="6"/>
  <c r="U69" i="6"/>
  <c r="T69" i="6"/>
  <c r="S69" i="6"/>
  <c r="R69" i="6"/>
  <c r="Q69" i="6"/>
  <c r="J69" i="6"/>
  <c r="I69" i="6"/>
  <c r="H69" i="6"/>
  <c r="AK68" i="6"/>
  <c r="AJ68" i="6"/>
  <c r="AI68" i="6"/>
  <c r="V68" i="6"/>
  <c r="U68" i="6"/>
  <c r="T68" i="6"/>
  <c r="S68" i="6"/>
  <c r="R68" i="6"/>
  <c r="Q68" i="6"/>
  <c r="J68" i="6"/>
  <c r="I68" i="6"/>
  <c r="H68" i="6"/>
  <c r="AK67" i="6"/>
  <c r="AJ67" i="6"/>
  <c r="AI67" i="6"/>
  <c r="V67" i="6"/>
  <c r="U67" i="6"/>
  <c r="T67" i="6"/>
  <c r="S67" i="6"/>
  <c r="R67" i="6"/>
  <c r="Q67" i="6"/>
  <c r="J67" i="6"/>
  <c r="I67" i="6"/>
  <c r="H67" i="6"/>
  <c r="AK66" i="6"/>
  <c r="AJ66" i="6"/>
  <c r="AI66" i="6"/>
  <c r="V66" i="6"/>
  <c r="U66" i="6"/>
  <c r="T66" i="6"/>
  <c r="S66" i="6"/>
  <c r="R66" i="6"/>
  <c r="Q66" i="6"/>
  <c r="J66" i="6"/>
  <c r="I66" i="6"/>
  <c r="H66" i="6"/>
  <c r="AK65" i="6"/>
  <c r="AJ65" i="6"/>
  <c r="AI65" i="6"/>
  <c r="V65" i="6"/>
  <c r="U65" i="6"/>
  <c r="T65" i="6"/>
  <c r="S65" i="6"/>
  <c r="R65" i="6"/>
  <c r="Q65" i="6"/>
  <c r="J65" i="6"/>
  <c r="I65" i="6"/>
  <c r="H65" i="6"/>
  <c r="AK64" i="6"/>
  <c r="AJ64" i="6"/>
  <c r="AI64" i="6"/>
  <c r="V64" i="6"/>
  <c r="U64" i="6"/>
  <c r="T64" i="6"/>
  <c r="S64" i="6"/>
  <c r="R64" i="6"/>
  <c r="Q64" i="6"/>
  <c r="J64" i="6"/>
  <c r="I64" i="6"/>
  <c r="H64" i="6"/>
  <c r="AK63" i="6"/>
  <c r="AJ63" i="6"/>
  <c r="AI63" i="6"/>
  <c r="V63" i="6"/>
  <c r="U63" i="6"/>
  <c r="T63" i="6"/>
  <c r="S63" i="6"/>
  <c r="R63" i="6"/>
  <c r="Q63" i="6"/>
  <c r="J63" i="6"/>
  <c r="I63" i="6"/>
  <c r="H63" i="6"/>
  <c r="AK62" i="6"/>
  <c r="AJ62" i="6"/>
  <c r="AI62" i="6"/>
  <c r="V62" i="6"/>
  <c r="U62" i="6"/>
  <c r="T62" i="6"/>
  <c r="S62" i="6"/>
  <c r="R62" i="6"/>
  <c r="Q62" i="6"/>
  <c r="J62" i="6"/>
  <c r="I62" i="6"/>
  <c r="H62" i="6"/>
  <c r="AK61" i="6"/>
  <c r="AJ61" i="6"/>
  <c r="AI61" i="6"/>
  <c r="V61" i="6"/>
  <c r="U61" i="6"/>
  <c r="T61" i="6"/>
  <c r="S61" i="6"/>
  <c r="R61" i="6"/>
  <c r="Q61" i="6"/>
  <c r="J61" i="6"/>
  <c r="I61" i="6"/>
  <c r="H61" i="6"/>
  <c r="AK60" i="6"/>
  <c r="AJ60" i="6"/>
  <c r="AI60" i="6"/>
  <c r="V60" i="6"/>
  <c r="U60" i="6"/>
  <c r="T60" i="6"/>
  <c r="S60" i="6"/>
  <c r="R60" i="6"/>
  <c r="Q60" i="6"/>
  <c r="J60" i="6"/>
  <c r="I60" i="6"/>
  <c r="H60" i="6"/>
  <c r="AK59" i="6"/>
  <c r="AJ59" i="6"/>
  <c r="AI59" i="6"/>
  <c r="V59" i="6"/>
  <c r="U59" i="6"/>
  <c r="T59" i="6"/>
  <c r="S59" i="6"/>
  <c r="R59" i="6"/>
  <c r="Q59" i="6"/>
  <c r="J59" i="6"/>
  <c r="I59" i="6"/>
  <c r="H59" i="6"/>
  <c r="AK58" i="6"/>
  <c r="AJ58" i="6"/>
  <c r="AI58" i="6"/>
  <c r="V58" i="6"/>
  <c r="U58" i="6"/>
  <c r="T58" i="6"/>
  <c r="S58" i="6"/>
  <c r="R58" i="6"/>
  <c r="Q58" i="6"/>
  <c r="J58" i="6"/>
  <c r="I58" i="6"/>
  <c r="H58" i="6"/>
  <c r="AK57" i="6"/>
  <c r="AJ57" i="6"/>
  <c r="AI57" i="6"/>
  <c r="V57" i="6"/>
  <c r="U57" i="6"/>
  <c r="T57" i="6"/>
  <c r="S57" i="6"/>
  <c r="R57" i="6"/>
  <c r="Q57" i="6"/>
  <c r="J57" i="6"/>
  <c r="I57" i="6"/>
  <c r="H57" i="6"/>
  <c r="AK56" i="6"/>
  <c r="AJ56" i="6"/>
  <c r="AI56" i="6"/>
  <c r="V56" i="6"/>
  <c r="U56" i="6"/>
  <c r="T56" i="6"/>
  <c r="S56" i="6"/>
  <c r="R56" i="6"/>
  <c r="Q56" i="6"/>
  <c r="J56" i="6"/>
  <c r="I56" i="6"/>
  <c r="H56" i="6"/>
  <c r="AK55" i="6"/>
  <c r="AJ55" i="6"/>
  <c r="AI55" i="6"/>
  <c r="V55" i="6"/>
  <c r="U55" i="6"/>
  <c r="T55" i="6"/>
  <c r="S55" i="6"/>
  <c r="R55" i="6"/>
  <c r="Q55" i="6"/>
  <c r="J55" i="6"/>
  <c r="I55" i="6"/>
  <c r="H55" i="6"/>
  <c r="AK54" i="6"/>
  <c r="AJ54" i="6"/>
  <c r="AI54" i="6"/>
  <c r="V54" i="6"/>
  <c r="U54" i="6"/>
  <c r="T54" i="6"/>
  <c r="S54" i="6"/>
  <c r="R54" i="6"/>
  <c r="Q54" i="6"/>
  <c r="J54" i="6"/>
  <c r="I54" i="6"/>
  <c r="H54" i="6"/>
  <c r="AK53" i="6"/>
  <c r="AJ53" i="6"/>
  <c r="AI53" i="6"/>
  <c r="V53" i="6"/>
  <c r="U53" i="6"/>
  <c r="T53" i="6"/>
  <c r="S53" i="6"/>
  <c r="R53" i="6"/>
  <c r="Q53" i="6"/>
  <c r="J53" i="6"/>
  <c r="I53" i="6"/>
  <c r="H53" i="6"/>
  <c r="AK52" i="6"/>
  <c r="AJ52" i="6"/>
  <c r="AI52" i="6"/>
  <c r="V52" i="6"/>
  <c r="U52" i="6"/>
  <c r="T52" i="6"/>
  <c r="S52" i="6"/>
  <c r="R52" i="6"/>
  <c r="Q52" i="6"/>
  <c r="J52" i="6"/>
  <c r="I52" i="6"/>
  <c r="H52" i="6"/>
  <c r="AK51" i="6"/>
  <c r="AJ51" i="6"/>
  <c r="AI51" i="6"/>
  <c r="V51" i="6"/>
  <c r="U51" i="6"/>
  <c r="T51" i="6"/>
  <c r="S51" i="6"/>
  <c r="R51" i="6"/>
  <c r="Q51" i="6"/>
  <c r="J51" i="6"/>
  <c r="I51" i="6"/>
  <c r="H51" i="6"/>
  <c r="AK50" i="6"/>
  <c r="AJ50" i="6"/>
  <c r="AI50" i="6"/>
  <c r="V50" i="6"/>
  <c r="U50" i="6"/>
  <c r="T50" i="6"/>
  <c r="S50" i="6"/>
  <c r="R50" i="6"/>
  <c r="Q50" i="6"/>
  <c r="J50" i="6"/>
  <c r="I50" i="6"/>
  <c r="K9" i="4" s="1"/>
  <c r="H50" i="6"/>
  <c r="J9" i="4" s="1"/>
  <c r="AK49" i="6"/>
  <c r="AJ49" i="6"/>
  <c r="AI49" i="6"/>
  <c r="V49" i="6"/>
  <c r="U49" i="6"/>
  <c r="T49" i="6"/>
  <c r="S49" i="6"/>
  <c r="R49" i="6"/>
  <c r="Q49" i="6"/>
  <c r="J49" i="6"/>
  <c r="I49" i="6"/>
  <c r="H49" i="6"/>
  <c r="AK48" i="6"/>
  <c r="AJ48" i="6"/>
  <c r="AI48" i="6"/>
  <c r="V48" i="6"/>
  <c r="U48" i="6"/>
  <c r="T48" i="6"/>
  <c r="S48" i="6"/>
  <c r="R48" i="6"/>
  <c r="Q48" i="6"/>
  <c r="J48" i="6"/>
  <c r="I48" i="6"/>
  <c r="H48" i="6"/>
  <c r="AK47" i="6"/>
  <c r="AJ47" i="6"/>
  <c r="AI47" i="6"/>
  <c r="V47" i="6"/>
  <c r="U47" i="6"/>
  <c r="T47" i="6"/>
  <c r="S47" i="6"/>
  <c r="R47" i="6"/>
  <c r="Q47" i="6"/>
  <c r="J47" i="6"/>
  <c r="I47" i="6"/>
  <c r="H47" i="6"/>
  <c r="AK46" i="6"/>
  <c r="AJ46" i="6"/>
  <c r="AI46" i="6"/>
  <c r="V46" i="6"/>
  <c r="U46" i="6"/>
  <c r="T46" i="6"/>
  <c r="S46" i="6"/>
  <c r="R46" i="6"/>
  <c r="Q46" i="6"/>
  <c r="J46" i="6"/>
  <c r="I46" i="6"/>
  <c r="H46" i="6"/>
  <c r="AK45" i="6"/>
  <c r="AJ45" i="6"/>
  <c r="AI45" i="6"/>
  <c r="V45" i="6"/>
  <c r="U45" i="6"/>
  <c r="T45" i="6"/>
  <c r="S45" i="6"/>
  <c r="R45" i="6"/>
  <c r="Q45" i="6"/>
  <c r="J45" i="6"/>
  <c r="I45" i="6"/>
  <c r="H45" i="6"/>
  <c r="AK44" i="6"/>
  <c r="AJ44" i="6"/>
  <c r="AI44" i="6"/>
  <c r="V44" i="6"/>
  <c r="U44" i="6"/>
  <c r="T44" i="6"/>
  <c r="S44" i="6"/>
  <c r="R44" i="6"/>
  <c r="Q44" i="6"/>
  <c r="J44" i="6"/>
  <c r="I44" i="6"/>
  <c r="H44" i="6"/>
  <c r="AK43" i="6"/>
  <c r="AJ43" i="6"/>
  <c r="AI43" i="6"/>
  <c r="V43" i="6"/>
  <c r="U43" i="6"/>
  <c r="T43" i="6"/>
  <c r="S43" i="6"/>
  <c r="R43" i="6"/>
  <c r="Q43" i="6"/>
  <c r="J43" i="6"/>
  <c r="I43" i="6"/>
  <c r="H43" i="6"/>
  <c r="AK42" i="6"/>
  <c r="AJ42" i="6"/>
  <c r="AI42" i="6"/>
  <c r="V42" i="6"/>
  <c r="U42" i="6"/>
  <c r="T42" i="6"/>
  <c r="S42" i="6"/>
  <c r="R42" i="6"/>
  <c r="Q42" i="6"/>
  <c r="J42" i="6"/>
  <c r="I42" i="6"/>
  <c r="K7" i="4" s="1"/>
  <c r="H42" i="6"/>
  <c r="AK41" i="6"/>
  <c r="AJ41" i="6"/>
  <c r="AI41" i="6"/>
  <c r="V41" i="6"/>
  <c r="U41" i="6"/>
  <c r="T41" i="6"/>
  <c r="S41" i="6"/>
  <c r="R41" i="6"/>
  <c r="Q41" i="6"/>
  <c r="J41" i="6"/>
  <c r="I41" i="6"/>
  <c r="H41" i="6"/>
  <c r="AK40" i="6"/>
  <c r="AJ40" i="6"/>
  <c r="AI40" i="6"/>
  <c r="V40" i="6"/>
  <c r="U40" i="6"/>
  <c r="T40" i="6"/>
  <c r="S40" i="6"/>
  <c r="R40" i="6"/>
  <c r="Q40" i="6"/>
  <c r="J40" i="6"/>
  <c r="I40" i="6"/>
  <c r="H40" i="6"/>
  <c r="AK39" i="6"/>
  <c r="AJ39" i="6"/>
  <c r="AI39" i="6"/>
  <c r="V39" i="6"/>
  <c r="U39" i="6"/>
  <c r="T39" i="6"/>
  <c r="S39" i="6"/>
  <c r="R39" i="6"/>
  <c r="Q39" i="6"/>
  <c r="J39" i="6"/>
  <c r="I39" i="6"/>
  <c r="H39" i="6"/>
  <c r="AK38" i="6"/>
  <c r="AJ38" i="6"/>
  <c r="AI38" i="6"/>
  <c r="V38" i="6"/>
  <c r="U38" i="6"/>
  <c r="T38" i="6"/>
  <c r="S38" i="6"/>
  <c r="R38" i="6"/>
  <c r="Q38" i="6"/>
  <c r="J38" i="6"/>
  <c r="I38" i="6"/>
  <c r="H38" i="6"/>
  <c r="AK37" i="6"/>
  <c r="AJ37" i="6"/>
  <c r="AI37" i="6"/>
  <c r="V37" i="6"/>
  <c r="U37" i="6"/>
  <c r="T37" i="6"/>
  <c r="S37" i="6"/>
  <c r="R37" i="6"/>
  <c r="Q37" i="6"/>
  <c r="J37" i="6"/>
  <c r="I37" i="6"/>
  <c r="H37" i="6"/>
  <c r="AK36" i="6"/>
  <c r="AJ36" i="6"/>
  <c r="AI36" i="6"/>
  <c r="V36" i="6"/>
  <c r="U36" i="6"/>
  <c r="T36" i="6"/>
  <c r="S36" i="6"/>
  <c r="R36" i="6"/>
  <c r="Q36" i="6"/>
  <c r="J36" i="6"/>
  <c r="I36" i="6"/>
  <c r="H36" i="6"/>
  <c r="AK35" i="6"/>
  <c r="AJ35" i="6"/>
  <c r="AI35" i="6"/>
  <c r="V35" i="6"/>
  <c r="U35" i="6"/>
  <c r="T35" i="6"/>
  <c r="S35" i="6"/>
  <c r="R35" i="6"/>
  <c r="Q35" i="6"/>
  <c r="J35" i="6"/>
  <c r="I35" i="6"/>
  <c r="H35" i="6"/>
  <c r="AK34" i="6"/>
  <c r="AJ34" i="6"/>
  <c r="AI34" i="6"/>
  <c r="V34" i="6"/>
  <c r="U34" i="6"/>
  <c r="T34" i="6"/>
  <c r="S34" i="6"/>
  <c r="R34" i="6"/>
  <c r="Q34" i="6"/>
  <c r="J34" i="6"/>
  <c r="I34" i="6"/>
  <c r="H34" i="6"/>
  <c r="AK33" i="6"/>
  <c r="AJ33" i="6"/>
  <c r="AI33" i="6"/>
  <c r="V33" i="6"/>
  <c r="U33" i="6"/>
  <c r="T33" i="6"/>
  <c r="S33" i="6"/>
  <c r="R33" i="6"/>
  <c r="Q33" i="6"/>
  <c r="J33" i="6"/>
  <c r="I33" i="6"/>
  <c r="H33" i="6"/>
  <c r="AK32" i="6"/>
  <c r="AJ32" i="6"/>
  <c r="AI32" i="6"/>
  <c r="V32" i="6"/>
  <c r="U32" i="6"/>
  <c r="T32" i="6"/>
  <c r="S32" i="6"/>
  <c r="R32" i="6"/>
  <c r="Q32" i="6"/>
  <c r="J32" i="6"/>
  <c r="I32" i="6"/>
  <c r="H32" i="6"/>
  <c r="AK31" i="6"/>
  <c r="AJ31" i="6"/>
  <c r="AI31" i="6"/>
  <c r="V31" i="6"/>
  <c r="U31" i="6"/>
  <c r="T31" i="6"/>
  <c r="S31" i="6"/>
  <c r="R31" i="6"/>
  <c r="Q31" i="6"/>
  <c r="J31" i="6"/>
  <c r="I31" i="6"/>
  <c r="H31" i="6"/>
  <c r="AK30" i="6"/>
  <c r="AJ30" i="6"/>
  <c r="AI30" i="6"/>
  <c r="V30" i="6"/>
  <c r="U30" i="6"/>
  <c r="T30" i="6"/>
  <c r="S30" i="6"/>
  <c r="R30" i="6"/>
  <c r="Q30" i="6"/>
  <c r="J30" i="6"/>
  <c r="I30" i="6"/>
  <c r="H30" i="6"/>
  <c r="AK29" i="6"/>
  <c r="AJ29" i="6"/>
  <c r="AI29" i="6"/>
  <c r="V29" i="6"/>
  <c r="U29" i="6"/>
  <c r="T29" i="6"/>
  <c r="S29" i="6"/>
  <c r="R29" i="6"/>
  <c r="Q29" i="6"/>
  <c r="J29" i="6"/>
  <c r="I29" i="6"/>
  <c r="H29" i="6"/>
  <c r="AK28" i="6"/>
  <c r="AJ28" i="6"/>
  <c r="AI28" i="6"/>
  <c r="V28" i="6"/>
  <c r="U28" i="6"/>
  <c r="T28" i="6"/>
  <c r="S28" i="6"/>
  <c r="R28" i="6"/>
  <c r="Q28" i="6"/>
  <c r="J28" i="6"/>
  <c r="I28" i="6"/>
  <c r="H28" i="6"/>
  <c r="AK27" i="6"/>
  <c r="AJ27" i="6"/>
  <c r="AI27" i="6"/>
  <c r="V27" i="6"/>
  <c r="U27" i="6"/>
  <c r="T27" i="6"/>
  <c r="S27" i="6"/>
  <c r="R27" i="6"/>
  <c r="Q27" i="6"/>
  <c r="J27" i="6"/>
  <c r="I27" i="6"/>
  <c r="H27" i="6"/>
  <c r="AK26" i="6"/>
  <c r="AJ26" i="6"/>
  <c r="AI26" i="6"/>
  <c r="V26" i="6"/>
  <c r="U26" i="6"/>
  <c r="T26" i="6"/>
  <c r="S26" i="6"/>
  <c r="R26" i="6"/>
  <c r="Q26" i="6"/>
  <c r="J26" i="6"/>
  <c r="I26" i="6"/>
  <c r="H26" i="6"/>
  <c r="AK25" i="6"/>
  <c r="AJ25" i="6"/>
  <c r="AI25" i="6"/>
  <c r="V25" i="6"/>
  <c r="U25" i="6"/>
  <c r="T25" i="6"/>
  <c r="S25" i="6"/>
  <c r="R25" i="6"/>
  <c r="Q25" i="6"/>
  <c r="J25" i="6"/>
  <c r="I25" i="6"/>
  <c r="H25" i="6"/>
  <c r="AK24" i="6"/>
  <c r="AJ24" i="6"/>
  <c r="AI24" i="6"/>
  <c r="V24" i="6"/>
  <c r="U24" i="6"/>
  <c r="T24" i="6"/>
  <c r="S24" i="6"/>
  <c r="R24" i="6"/>
  <c r="Q24" i="6"/>
  <c r="J24" i="6"/>
  <c r="I24" i="6"/>
  <c r="H24" i="6"/>
  <c r="AK23" i="6"/>
  <c r="AJ23" i="6"/>
  <c r="AI23" i="6"/>
  <c r="V23" i="6"/>
  <c r="U23" i="6"/>
  <c r="T23" i="6"/>
  <c r="S23" i="6"/>
  <c r="R23" i="6"/>
  <c r="Q23" i="6"/>
  <c r="J23" i="6"/>
  <c r="I23" i="6"/>
  <c r="H23" i="6"/>
  <c r="AK22" i="6"/>
  <c r="AJ22" i="6"/>
  <c r="AI22" i="6"/>
  <c r="V22" i="6"/>
  <c r="U22" i="6"/>
  <c r="T22" i="6"/>
  <c r="S22" i="6"/>
  <c r="R22" i="6"/>
  <c r="Q22" i="6"/>
  <c r="J22" i="6"/>
  <c r="I22" i="6"/>
  <c r="H22" i="6"/>
  <c r="AK21" i="6"/>
  <c r="AJ21" i="6"/>
  <c r="AI21" i="6"/>
  <c r="V21" i="6"/>
  <c r="U21" i="6"/>
  <c r="T21" i="6"/>
  <c r="S21" i="6"/>
  <c r="R21" i="6"/>
  <c r="Q21" i="6"/>
  <c r="J21" i="6"/>
  <c r="I21" i="6"/>
  <c r="H21" i="6"/>
  <c r="AK20" i="6"/>
  <c r="AJ20" i="6"/>
  <c r="AI20" i="6"/>
  <c r="V20" i="6"/>
  <c r="U20" i="6"/>
  <c r="T20" i="6"/>
  <c r="S20" i="6"/>
  <c r="R20" i="6"/>
  <c r="Q20" i="6"/>
  <c r="J20" i="6"/>
  <c r="I20" i="6"/>
  <c r="H20" i="6"/>
  <c r="AK19" i="6"/>
  <c r="AJ19" i="6"/>
  <c r="AI19" i="6"/>
  <c r="V19" i="6"/>
  <c r="U19" i="6"/>
  <c r="T19" i="6"/>
  <c r="S19" i="6"/>
  <c r="R19" i="6"/>
  <c r="Q19" i="6"/>
  <c r="J19" i="6"/>
  <c r="I19" i="6"/>
  <c r="H19" i="6"/>
  <c r="AK18" i="6"/>
  <c r="AJ18" i="6"/>
  <c r="AI18" i="6"/>
  <c r="V18" i="6"/>
  <c r="U18" i="6"/>
  <c r="T18" i="6"/>
  <c r="S18" i="6"/>
  <c r="R18" i="6"/>
  <c r="Q18" i="6"/>
  <c r="J18" i="6"/>
  <c r="I18" i="6"/>
  <c r="H18" i="6"/>
  <c r="AK17" i="6"/>
  <c r="AJ17" i="6"/>
  <c r="AI17" i="6"/>
  <c r="V17" i="6"/>
  <c r="U17" i="6"/>
  <c r="T17" i="6"/>
  <c r="S17" i="6"/>
  <c r="R17" i="6"/>
  <c r="Q17" i="6"/>
  <c r="J17" i="6"/>
  <c r="I17" i="6"/>
  <c r="H17" i="6"/>
  <c r="AK16" i="6"/>
  <c r="AJ16" i="6"/>
  <c r="AI16" i="6"/>
  <c r="V16" i="6"/>
  <c r="U16" i="6"/>
  <c r="T16" i="6"/>
  <c r="S16" i="6"/>
  <c r="R16" i="6"/>
  <c r="Q16" i="6"/>
  <c r="J16" i="6"/>
  <c r="I16" i="6"/>
  <c r="H16" i="6"/>
  <c r="AK15" i="6"/>
  <c r="AJ15" i="6"/>
  <c r="AI15" i="6"/>
  <c r="V15" i="6"/>
  <c r="U15" i="6"/>
  <c r="T15" i="6"/>
  <c r="S15" i="6"/>
  <c r="R15" i="6"/>
  <c r="Q15" i="6"/>
  <c r="J15" i="6"/>
  <c r="I15" i="6"/>
  <c r="H15" i="6"/>
  <c r="AK14" i="6"/>
  <c r="AJ14" i="6"/>
  <c r="AI14" i="6"/>
  <c r="V14" i="6"/>
  <c r="U14" i="6"/>
  <c r="T14" i="6"/>
  <c r="S14" i="6"/>
  <c r="R14" i="6"/>
  <c r="Q14" i="6"/>
  <c r="J14" i="6"/>
  <c r="I14" i="6"/>
  <c r="H14" i="6"/>
  <c r="AK13" i="6"/>
  <c r="AJ13" i="6"/>
  <c r="AI13" i="6"/>
  <c r="V13" i="6"/>
  <c r="U13" i="6"/>
  <c r="T13" i="6"/>
  <c r="S13" i="6"/>
  <c r="R13" i="6"/>
  <c r="Q13" i="6"/>
  <c r="J13" i="6"/>
  <c r="I13" i="6"/>
  <c r="H13" i="6"/>
  <c r="AK12" i="6"/>
  <c r="AJ12" i="6"/>
  <c r="AI12" i="6"/>
  <c r="V12" i="6"/>
  <c r="U12" i="6"/>
  <c r="T12" i="6"/>
  <c r="S12" i="6"/>
  <c r="R12" i="6"/>
  <c r="Q12" i="6"/>
  <c r="J12" i="6"/>
  <c r="I12" i="6"/>
  <c r="H12" i="6"/>
  <c r="AK11" i="6"/>
  <c r="AJ11" i="6"/>
  <c r="AI11" i="6"/>
  <c r="V11" i="6"/>
  <c r="U11" i="6"/>
  <c r="T11" i="6"/>
  <c r="S11" i="6"/>
  <c r="R11" i="6"/>
  <c r="Q11" i="6"/>
  <c r="J11" i="6"/>
  <c r="I11" i="6"/>
  <c r="H11" i="6"/>
  <c r="AK10" i="6"/>
  <c r="AJ10" i="6"/>
  <c r="AI10" i="6"/>
  <c r="V10" i="6"/>
  <c r="U10" i="6"/>
  <c r="T10" i="6"/>
  <c r="S10" i="6"/>
  <c r="R10" i="6"/>
  <c r="Q10" i="6"/>
  <c r="J10" i="6"/>
  <c r="I10" i="6"/>
  <c r="H10" i="6"/>
  <c r="AK9" i="6"/>
  <c r="AJ9" i="6"/>
  <c r="AI9" i="6"/>
  <c r="V9" i="6"/>
  <c r="U9" i="6"/>
  <c r="T9" i="6"/>
  <c r="S9" i="6"/>
  <c r="R9" i="6"/>
  <c r="Q9" i="6"/>
  <c r="J9" i="6"/>
  <c r="L2" i="4" s="1"/>
  <c r="I9" i="6"/>
  <c r="H9" i="6"/>
  <c r="AK8" i="6"/>
  <c r="AJ8" i="6"/>
  <c r="AI8" i="6"/>
  <c r="V8" i="6"/>
  <c r="U8" i="6"/>
  <c r="T8" i="6"/>
  <c r="S8" i="6"/>
  <c r="R8" i="6"/>
  <c r="Q8" i="6"/>
  <c r="J8" i="6"/>
  <c r="I8" i="6"/>
  <c r="H8" i="6"/>
  <c r="AK7" i="6"/>
  <c r="AJ7" i="6"/>
  <c r="AI7" i="6"/>
  <c r="V7" i="6"/>
  <c r="U7" i="6"/>
  <c r="T7" i="6"/>
  <c r="S7" i="6"/>
  <c r="R7" i="6"/>
  <c r="Q7" i="6"/>
  <c r="J7" i="6"/>
  <c r="I7" i="6"/>
  <c r="H7" i="6"/>
  <c r="AK6" i="6"/>
  <c r="AJ6" i="6"/>
  <c r="AI6" i="6"/>
  <c r="V6" i="6"/>
  <c r="U6" i="6"/>
  <c r="T6" i="6"/>
  <c r="S6" i="6"/>
  <c r="R6" i="6"/>
  <c r="Q6" i="6"/>
  <c r="J6" i="6"/>
  <c r="I6" i="6"/>
  <c r="H6" i="6"/>
  <c r="AK5" i="6"/>
  <c r="AJ5" i="6"/>
  <c r="AI5" i="6"/>
  <c r="V5" i="6"/>
  <c r="U5" i="6"/>
  <c r="T5" i="6"/>
  <c r="S5" i="6"/>
  <c r="R5" i="6"/>
  <c r="Q5" i="6"/>
  <c r="J5" i="6"/>
  <c r="I5" i="6"/>
  <c r="H5" i="6"/>
  <c r="AK4" i="6"/>
  <c r="AJ4" i="6"/>
  <c r="AI4" i="6"/>
  <c r="V4" i="6"/>
  <c r="U4" i="6"/>
  <c r="T4" i="6"/>
  <c r="S4" i="6"/>
  <c r="R4" i="6"/>
  <c r="Q4" i="6"/>
  <c r="J4" i="6"/>
  <c r="I4" i="6"/>
  <c r="H4" i="6"/>
  <c r="AK3" i="6"/>
  <c r="AJ3" i="6"/>
  <c r="AI3" i="6"/>
  <c r="V3" i="6"/>
  <c r="U3" i="6"/>
  <c r="T3" i="6"/>
  <c r="S3" i="6"/>
  <c r="R3" i="6"/>
  <c r="Q3" i="6"/>
  <c r="J3" i="6"/>
  <c r="I3" i="6"/>
  <c r="H3" i="6"/>
  <c r="AK2" i="6"/>
  <c r="AJ2" i="6"/>
  <c r="AI2" i="6"/>
  <c r="V2" i="6"/>
  <c r="U2" i="6"/>
  <c r="T2" i="6"/>
  <c r="S2" i="6"/>
  <c r="R2" i="6"/>
  <c r="Q2" i="6"/>
  <c r="J2" i="6"/>
  <c r="I2" i="6"/>
  <c r="H2" i="6"/>
  <c r="AB43" i="5"/>
  <c r="AA43" i="5"/>
  <c r="Z43" i="5"/>
  <c r="AB25" i="5"/>
  <c r="AA25" i="5"/>
  <c r="Z25" i="5"/>
  <c r="Y25" i="5"/>
  <c r="X25" i="5"/>
  <c r="U5" i="5"/>
  <c r="T5" i="5"/>
  <c r="S5" i="5"/>
  <c r="R5" i="5"/>
  <c r="Q5" i="5"/>
  <c r="P5" i="5"/>
  <c r="O5" i="5"/>
  <c r="N5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" i="4"/>
  <c r="K12" i="4" l="1"/>
  <c r="O12" i="4"/>
  <c r="L11" i="4"/>
  <c r="P11" i="4"/>
  <c r="K8" i="4"/>
  <c r="O8" i="4"/>
  <c r="L6" i="4"/>
  <c r="P6" i="4"/>
  <c r="L15" i="4"/>
  <c r="P15" i="4"/>
  <c r="J21" i="4"/>
  <c r="N21" i="4"/>
  <c r="K24" i="4"/>
  <c r="O24" i="4"/>
  <c r="K6" i="4"/>
  <c r="O6" i="4"/>
  <c r="K2" i="4"/>
  <c r="O2" i="4"/>
  <c r="L18" i="4"/>
  <c r="P18" i="4"/>
  <c r="J17" i="4"/>
  <c r="N17" i="4"/>
  <c r="J8" i="4"/>
  <c r="M8" i="4" s="1"/>
  <c r="N8" i="4"/>
  <c r="K21" i="4"/>
  <c r="O21" i="4"/>
  <c r="K14" i="4"/>
  <c r="O14" i="4"/>
  <c r="J10" i="4"/>
  <c r="N10" i="4"/>
  <c r="J7" i="4"/>
  <c r="N7" i="4"/>
  <c r="L8" i="4"/>
  <c r="P8" i="4"/>
  <c r="J23" i="4"/>
  <c r="N23" i="4"/>
  <c r="J3" i="4"/>
  <c r="N3" i="4"/>
  <c r="K20" i="4"/>
  <c r="O20" i="4"/>
  <c r="K15" i="4"/>
  <c r="O15" i="4"/>
  <c r="K11" i="4"/>
  <c r="O11" i="4"/>
  <c r="L26" i="4"/>
  <c r="P26" i="4"/>
  <c r="L22" i="4"/>
  <c r="P22" i="4"/>
  <c r="L16" i="4"/>
  <c r="P16" i="4"/>
  <c r="L19" i="4"/>
  <c r="P19" i="4"/>
  <c r="K4" i="4"/>
  <c r="O4" i="4"/>
  <c r="L5" i="4"/>
  <c r="P5" i="4"/>
  <c r="J26" i="4"/>
  <c r="N26" i="4"/>
  <c r="J25" i="4"/>
  <c r="N25" i="4"/>
  <c r="J12" i="4"/>
  <c r="N12" i="4"/>
  <c r="L25" i="4"/>
  <c r="P25" i="4"/>
  <c r="L23" i="4"/>
  <c r="P23" i="4"/>
  <c r="L3" i="4"/>
  <c r="P3" i="4"/>
  <c r="K18" i="4"/>
  <c r="M18" i="4" s="1"/>
  <c r="O18" i="4"/>
  <c r="L24" i="4"/>
  <c r="P24" i="4"/>
  <c r="L12" i="4"/>
  <c r="P12" i="4"/>
  <c r="J13" i="4"/>
  <c r="N13" i="4"/>
  <c r="J5" i="4"/>
  <c r="M5" i="4" s="1"/>
  <c r="N5" i="4"/>
  <c r="L17" i="4"/>
  <c r="M17" i="4" s="1"/>
  <c r="P17" i="4"/>
  <c r="J16" i="4"/>
  <c r="M16" i="4" s="1"/>
  <c r="N16" i="4"/>
  <c r="L13" i="4"/>
  <c r="P13" i="4"/>
  <c r="L10" i="4"/>
  <c r="P10" i="4"/>
  <c r="L7" i="4"/>
  <c r="P7" i="4"/>
  <c r="J24" i="4"/>
  <c r="N24" i="4"/>
  <c r="J6" i="4"/>
  <c r="M6" i="4" s="1"/>
  <c r="N6" i="4"/>
  <c r="J2" i="4"/>
  <c r="M2" i="4" s="1"/>
  <c r="N2" i="4"/>
  <c r="J14" i="4"/>
  <c r="N14" i="4"/>
  <c r="K13" i="4"/>
  <c r="O13" i="4"/>
  <c r="K10" i="4"/>
  <c r="O10" i="4"/>
  <c r="K5" i="4"/>
  <c r="O5" i="4"/>
  <c r="L21" i="4"/>
  <c r="P21" i="4"/>
  <c r="L14" i="4"/>
  <c r="P14" i="4"/>
  <c r="L9" i="4"/>
  <c r="M9" i="4" s="1"/>
  <c r="P9" i="4"/>
  <c r="J4" i="4"/>
  <c r="N4" i="4"/>
  <c r="K26" i="4"/>
  <c r="O26" i="4"/>
  <c r="K22" i="4"/>
  <c r="O22" i="4"/>
  <c r="K16" i="4"/>
  <c r="O16" i="4"/>
  <c r="K19" i="4"/>
  <c r="O19" i="4"/>
  <c r="J20" i="4"/>
  <c r="N20" i="4"/>
  <c r="J15" i="4"/>
  <c r="N15" i="4"/>
  <c r="K25" i="4"/>
  <c r="O25" i="4"/>
  <c r="K23" i="4"/>
  <c r="O23" i="4"/>
  <c r="K3" i="4"/>
  <c r="O3" i="4"/>
  <c r="L4" i="4"/>
  <c r="P4" i="4"/>
  <c r="M7" i="4"/>
  <c r="M14" i="4" l="1"/>
  <c r="M3" i="4"/>
  <c r="M4" i="4"/>
  <c r="M13" i="4"/>
  <c r="M12" i="4"/>
  <c r="M15" i="4"/>
  <c r="M26" i="4"/>
  <c r="M19" i="4"/>
  <c r="M11" i="4"/>
  <c r="M21" i="4"/>
  <c r="M22" i="4"/>
  <c r="M24" i="4"/>
  <c r="M20" i="4"/>
  <c r="M23" i="4"/>
  <c r="M25" i="4"/>
  <c r="M10" i="4"/>
</calcChain>
</file>

<file path=xl/sharedStrings.xml><?xml version="1.0" encoding="utf-8"?>
<sst xmlns="http://schemas.openxmlformats.org/spreadsheetml/2006/main" count="696" uniqueCount="499">
  <si>
    <t>Country Name</t>
  </si>
  <si>
    <t>Country Code</t>
  </si>
  <si>
    <t>Afghanistan</t>
  </si>
  <si>
    <t>AFG</t>
  </si>
  <si>
    <t>Albania</t>
  </si>
  <si>
    <t>ALB</t>
  </si>
  <si>
    <t>Algeria</t>
  </si>
  <si>
    <t>DZA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</si>
  <si>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</si>
  <si>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</si>
  <si>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</si>
  <si>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</si>
  <si>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</si>
  <si>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</si>
  <si>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</si>
  <si>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</si>
  <si>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</si>
  <si>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</si>
  <si>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</si>
  <si>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</si>
  <si>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</si>
  <si>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</si>
  <si>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</si>
  <si>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</si>
  <si>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</si>
  <si>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</si>
  <si>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</si>
  <si>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</si>
  <si>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</si>
  <si>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</si>
  <si>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</si>
  <si>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</si>
  <si>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</si>
  <si>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</si>
  <si>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</si>
  <si>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</si>
  <si>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</si>
  <si>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</si>
  <si>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</si>
  <si>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</si>
  <si>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</si>
  <si>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</si>
  <si>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</si>
  <si>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</si>
  <si>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</si>
  <si>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</si>
  <si>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</si>
  <si>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</si>
  <si>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</si>
  <si>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</si>
  <si>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</si>
  <si>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</si>
  <si>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</si>
  <si>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</si>
  <si>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</si>
  <si>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</si>
  <si>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</si>
  <si>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</si>
  <si>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</si>
  <si>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</si>
  <si>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</si>
  <si>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</si>
  <si>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</si>
  <si>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</si>
  <si>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</si>
  <si>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</si>
  <si>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</si>
  <si>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</si>
  <si>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</si>
  <si>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</si>
  <si>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</si>
  <si>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</si>
  <si>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</si>
  <si>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</si>
  <si>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</si>
  <si>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</si>
  <si>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</si>
  <si>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</si>
  <si>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</si>
  <si>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</si>
  <si>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</si>
  <si>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</si>
  <si>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</si>
  <si>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</si>
  <si>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</si>
  <si>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</si>
  <si>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</si>
  <si>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</si>
  <si>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</si>
  <si>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</si>
  <si>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</si>
  <si>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</si>
  <si>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</si>
  <si>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</si>
  <si>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</si>
  <si>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</si>
  <si>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</si>
  <si>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</si>
  <si>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</si>
  <si>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</si>
  <si>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</si>
  <si>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</si>
  <si>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</si>
  <si>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</si>
  <si>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</si>
  <si>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</si>
  <si>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</si>
  <si>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</si>
  <si>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</si>
  <si>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</si>
  <si>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</si>
  <si>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</si>
  <si>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</si>
  <si>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</si>
  <si>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</si>
  <si>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</si>
  <si>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</si>
  <si>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</si>
  <si>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</si>
  <si>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</si>
  <si>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</si>
  <si>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</si>
  <si>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</si>
  <si>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</si>
  <si>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</si>
  <si>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</si>
  <si>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</si>
  <si>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</si>
  <si>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</si>
  <si>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</si>
  <si>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</si>
  <si>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</si>
  <si>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</si>
  <si>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</si>
  <si>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</si>
  <si>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</si>
  <si>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</si>
  <si>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</si>
  <si>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</si>
  <si>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</si>
  <si>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</si>
  <si>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</si>
  <si>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</si>
  <si>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</si>
  <si>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</si>
  <si>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</si>
  <si>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</si>
  <si>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</si>
  <si>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</si>
  <si>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</si>
  <si>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</si>
  <si>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</si>
  <si>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</si>
  <si>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</si>
  <si>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</si>
  <si>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</si>
  <si>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</si>
  <si>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</si>
  <si>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</si>
  <si>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</si>
  <si>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</si>
  <si>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</si>
  <si>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</si>
  <si>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</si>
  <si>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</si>
  <si>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</si>
  <si>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</si>
  <si>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</si>
  <si>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</si>
  <si>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</si>
  <si>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</si>
  <si>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</si>
  <si>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</si>
  <si>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</si>
  <si>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</si>
  <si>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</si>
  <si>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</si>
  <si>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</si>
  <si>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</si>
  <si>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</si>
  <si>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</si>
  <si>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</si>
  <si>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</si>
  <si>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</si>
  <si>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</si>
  <si>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</si>
  <si>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</si>
  <si>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</si>
  <si>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</si>
  <si>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</si>
  <si>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</si>
  <si>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</si>
  <si>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</si>
  <si>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</si>
  <si>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</si>
  <si>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</si>
  <si>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</si>
  <si>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</si>
  <si>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</si>
  <si>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</si>
  <si>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</si>
  <si>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</si>
  <si>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</si>
  <si>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</si>
  <si>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</si>
  <si>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</si>
  <si>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</si>
  <si>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</si>
  <si>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</si>
  <si>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</si>
  <si>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</si>
  <si>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</si>
  <si>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</si>
  <si>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</si>
  <si>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</si>
  <si>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</si>
  <si>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</si>
  <si>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</si>
  <si>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</si>
  <si>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</si>
  <si>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</si>
  <si>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</si>
  <si>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</si>
  <si>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</si>
  <si>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</si>
  <si>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</si>
  <si>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</si>
  <si>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</si>
  <si>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</si>
  <si>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</si>
  <si>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</si>
  <si>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</si>
  <si>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</si>
  <si>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</si>
  <si>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</si>
  <si>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</si>
  <si>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</si>
  <si>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</si>
  <si>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</si>
  <si>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</si>
  <si>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</si>
  <si>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</si>
  <si>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</si>
  <si>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</si>
  <si>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</si>
  <si>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</si>
  <si>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</si>
  <si>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</si>
  <si>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</si>
  <si>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</si>
  <si>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</si>
  <si>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</si>
  <si>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</si>
  <si>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</si>
  <si>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</si>
  <si>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</si>
  <si>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</si>
  <si>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</si>
  <si>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</si>
  <si>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</si>
  <si>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</si>
  <si>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</si>
  <si>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</si>
  <si>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</si>
  <si>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</si>
  <si>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</si>
  <si>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</si>
  <si>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</si>
  <si>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</si>
  <si>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</si>
  <si>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</si>
  <si>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</si>
  <si>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</si>
  <si>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</si>
  <si>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</si>
  <si>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</si>
  <si>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</si>
  <si>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</si>
  <si>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</si>
  <si>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</si>
  <si>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</si>
  <si>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</si>
  <si>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</si>
  <si>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</si>
  <si>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</si>
  <si>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</si>
  <si>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</si>
  <si>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</si>
  <si>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</si>
  <si>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</si>
  <si>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</si>
  <si>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</si>
  <si>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</si>
  <si>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</si>
  <si>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</si>
  <si>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</si>
  <si>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</si>
  <si>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</si>
  <si>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</si>
  <si>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</si>
  <si>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</si>
  <si>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</si>
  <si>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</si>
  <si>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</si>
  <si>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</si>
  <si>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</si>
  <si>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</si>
  <si>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</si>
  <si>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</si>
  <si>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</si>
  <si>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</si>
  <si>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</si>
  <si>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</si>
  <si>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</si>
  <si>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</si>
  <si>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</si>
  <si>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</si>
  <si>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</si>
  <si>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</si>
  <si>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</si>
  <si>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</si>
  <si>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</si>
  <si>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</si>
  <si>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</si>
  <si>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</si>
  <si>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</si>
  <si>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</si>
  <si>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</si>
  <si>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</si>
  <si>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</si>
  <si>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</si>
  <si>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</si>
  <si>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</si>
  <si>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</si>
  <si>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</si>
  <si>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</si>
  <si>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</si>
  <si>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</si>
  <si>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</si>
  <si>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</si>
  <si>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</si>
  <si>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</si>
  <si>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</si>
  <si>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</si>
  <si>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</si>
  <si>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</si>
  <si>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</si>
  <si>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</si>
  <si>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</si>
  <si>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</si>
  <si>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</si>
  <si>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Somalia, Fed. Rep.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</si>
  <si>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</si>
  <si>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</si>
  <si>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</si>
  <si>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</si>
  <si>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</si>
  <si>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</si>
  <si>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</si>
  <si>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</si>
  <si>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</si>
  <si>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</si>
  <si>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</si>
  <si>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</si>
  <si>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</si>
  <si>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</si>
  <si>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</si>
  <si>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</si>
  <si>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</si>
  <si>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</si>
  <si>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</si>
  <si>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</si>
  <si>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</si>
  <si>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</si>
  <si>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</si>
  <si>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</si>
  <si>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</si>
  <si>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</si>
  <si>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</si>
  <si>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</si>
  <si>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</si>
  <si>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</si>
  <si>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</si>
  <si>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</si>
  <si>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</si>
  <si>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</si>
  <si>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</si>
  <si>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</si>
  <si>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</si>
  <si>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</si>
  <si>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</si>
  <si>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</si>
  <si>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</si>
  <si>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</si>
  <si>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</si>
  <si>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</si>
  <si>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</si>
  <si>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</si>
  <si>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</si>
  <si>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</si>
  <si>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</si>
  <si>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</si>
  <si>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</si>
  <si>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</si>
  <si>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</si>
  <si>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</si>
  <si>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</si>
  <si>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</si>
  <si>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</si>
  <si>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</si>
  <si>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</si>
  <si>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</si>
  <si>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</si>
  <si>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</si>
  <si>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</si>
  <si>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</si>
  <si>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</si>
  <si>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</si>
  <si>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</si>
  <si>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</si>
  <si>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</si>
  <si>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</si>
  <si>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</si>
  <si>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</si>
  <si>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</si>
  <si>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</si>
  <si>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</si>
  <si>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</si>
  <si>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</si>
  <si>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</si>
  <si>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</si>
  <si>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</si>
  <si>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</si>
  <si>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BBS_pop_2022</t>
    <phoneticPr fontId="5" type="noConversion"/>
  </si>
  <si>
    <t>AvgSAT_2022</t>
    <phoneticPr fontId="5" type="noConversion"/>
  </si>
  <si>
    <t>AvgSAT</t>
    <phoneticPr fontId="5" type="noConversion"/>
  </si>
  <si>
    <t>AvgSAT_2023</t>
    <phoneticPr fontId="5" type="noConversion"/>
  </si>
  <si>
    <t>Channel Islands</t>
    <phoneticPr fontId="5" type="noConversion"/>
  </si>
  <si>
    <t>GDP_2022</t>
    <phoneticPr fontId="5" type="noConversion"/>
  </si>
  <si>
    <t>GDP_2023</t>
  </si>
  <si>
    <t>GDP_2024</t>
  </si>
  <si>
    <t>InfVax6m_2024</t>
    <phoneticPr fontId="5" type="noConversion"/>
  </si>
  <si>
    <t>American Samoa</t>
    <phoneticPr fontId="5" type="noConversion"/>
  </si>
  <si>
    <t>InfVax6m_2023</t>
  </si>
  <si>
    <t>IVC65p_2022</t>
    <phoneticPr fontId="5" type="noConversion"/>
  </si>
  <si>
    <t>IVC65p_2023</t>
  </si>
  <si>
    <t>IVC65p_2024</t>
  </si>
  <si>
    <t>PLGP_2022</t>
    <phoneticPr fontId="5" type="noConversion"/>
  </si>
  <si>
    <t>PLGP_2023</t>
  </si>
  <si>
    <t>PLGP_2024</t>
  </si>
  <si>
    <t>PM_2020</t>
    <phoneticPr fontId="5" type="noConversion"/>
  </si>
  <si>
    <t>p14p_2022</t>
    <phoneticPr fontId="5" type="noConversion"/>
  </si>
  <si>
    <t>p14p_2023</t>
  </si>
  <si>
    <t>p14p_2024</t>
  </si>
  <si>
    <t>p65p_2022</t>
    <phoneticPr fontId="5" type="noConversion"/>
  </si>
  <si>
    <t>p65p_2023</t>
  </si>
  <si>
    <t>p65p_2024</t>
  </si>
  <si>
    <t>PopDens_2022</t>
    <phoneticPr fontId="5" type="noConversion"/>
  </si>
  <si>
    <t>PopDens_2023</t>
  </si>
  <si>
    <t>re_2022</t>
    <phoneticPr fontId="5" type="noConversion"/>
  </si>
  <si>
    <t>re_2023</t>
  </si>
  <si>
    <t>re_2024</t>
  </si>
  <si>
    <t>INT_ARR_2022</t>
    <phoneticPr fontId="5" type="noConversion"/>
  </si>
  <si>
    <t>ve_siv</t>
    <phoneticPr fontId="5" type="noConversion"/>
  </si>
  <si>
    <t>ve_siv_lower95ci</t>
    <phoneticPr fontId="5" type="noConversion"/>
  </si>
  <si>
    <t>ve_siv_upper95ci</t>
    <phoneticPr fontId="5" type="noConversion"/>
  </si>
  <si>
    <t>ve_siv_cidifference</t>
    <phoneticPr fontId="5" type="noConversion"/>
  </si>
  <si>
    <t>logor_siv</t>
    <phoneticPr fontId="5" type="noConversion"/>
  </si>
  <si>
    <t>age</t>
    <phoneticPr fontId="5" type="noConversion"/>
  </si>
  <si>
    <t>type</t>
    <phoneticPr fontId="5" type="noConversion"/>
  </si>
  <si>
    <t>all</t>
    <phoneticPr fontId="5" type="noConversion"/>
  </si>
  <si>
    <t>startyear</t>
    <phoneticPr fontId="5" type="noConversion"/>
  </si>
  <si>
    <t>endyear</t>
    <phoneticPr fontId="5" type="noConversion"/>
  </si>
  <si>
    <t>USA</t>
    <phoneticPr fontId="5" type="noConversion"/>
  </si>
  <si>
    <t>BEL</t>
    <phoneticPr fontId="5" type="noConversion"/>
  </si>
  <si>
    <t>A</t>
    <phoneticPr fontId="5" type="noConversion"/>
  </si>
  <si>
    <t>Brazil</t>
    <phoneticPr fontId="5" type="noConversion"/>
  </si>
  <si>
    <t>KOR</t>
    <phoneticPr fontId="5" type="noConversion"/>
  </si>
  <si>
    <t>AvgSAT_2024</t>
    <phoneticPr fontId="5" type="noConversion"/>
  </si>
  <si>
    <t>GDP</t>
    <phoneticPr fontId="8" type="noConversion"/>
  </si>
  <si>
    <t>WHO_region</t>
    <phoneticPr fontId="5" type="noConversion"/>
  </si>
  <si>
    <t>Argentina</t>
    <phoneticPr fontId="8" type="noConversion"/>
  </si>
  <si>
    <t>AMR</t>
    <phoneticPr fontId="8" type="noConversion"/>
  </si>
  <si>
    <t>WPR</t>
    <phoneticPr fontId="8" type="noConversion"/>
  </si>
  <si>
    <t>EUR</t>
    <phoneticPr fontId="8" type="noConversion"/>
  </si>
  <si>
    <t>SEAR</t>
    <phoneticPr fontId="8" type="noConversion"/>
  </si>
  <si>
    <t>InfVax6m_2022</t>
    <phoneticPr fontId="5" type="noConversion"/>
  </si>
  <si>
    <t>None</t>
    <phoneticPr fontId="5" type="noConversion"/>
  </si>
  <si>
    <t>InfVax6m_2022</t>
    <phoneticPr fontId="8" type="noConversion"/>
  </si>
  <si>
    <t>perGDP_2022</t>
    <phoneticPr fontId="5" type="noConversion"/>
  </si>
  <si>
    <t>perGDP_2023</t>
    <phoneticPr fontId="5" type="noConversion"/>
  </si>
  <si>
    <t>perGDP_2024</t>
    <phoneticPr fontId="5" type="noConversion"/>
  </si>
  <si>
    <t>GDP_2023</t>
    <phoneticPr fontId="8" type="noConversion"/>
  </si>
  <si>
    <t>GDP_2024</t>
    <phoneticPr fontId="8" type="noConversion"/>
  </si>
  <si>
    <t>WB_region</t>
    <phoneticPr fontId="5" type="noConversion"/>
  </si>
  <si>
    <t>Income_region</t>
    <phoneticPr fontId="5" type="noConversion"/>
  </si>
  <si>
    <t>GBD_region</t>
    <phoneticPr fontId="5" type="noConversion"/>
  </si>
  <si>
    <t>WB_region</t>
    <phoneticPr fontId="8" type="noConversion"/>
  </si>
  <si>
    <t>NO.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</si>
</sst>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Arial"/>
      <family val="2"/>
    </font>
    <font>
      <sz val="11"/>
      <color theme="1"/>
      <name val="Times New Roman Uni"/>
      <family val="1"/>
      <charset val="134"/>
    </font>
    <font>
      <sz val="9"/>
      <name val="宋体"/>
      <family val="3"/>
      <charset val="134"/>
      <scheme val="minor"/>
    </font>
    <font>
      <sz val="11"/>
      <color rgb="FFFF0000"/>
      <name val="Times New Roman Uni"/>
      <family val="1"/>
      <charset val="134"/>
    </font>
    <font>
      <sz val="7"/>
      <color rgb="FF1B1B1B"/>
      <name val="Times New Roman Uni"/>
      <family val="1"/>
      <charset val="134"/>
    </font>
    <font>
      <sz val="11"/>
      <name val="Times New Roman Uni"/>
      <family val="1"/>
      <charset val="134"/>
    </font>
    <font>
      <sz val="10"/>
      <name val="Times New Roman Uni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>
      <alignment vertical="center"/>
    </xf>
    <xf numFmtId="0" fontId="3" fillId="0" borderId="0"/>
    <xf numFmtId="0" fontId="6" fillId="0" borderId="0" applyNumberForma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  <xf numFmtId="0" fontId="1" fillId="0" borderId="0"/>
  </cellStyleXfs>
  <cellXfs count="16">
    <xf numFmtId="0" fontId="0" fillId="0" borderId="0" xfId="0">
      <alignment vertical="center"/>
    </xf>
    <xf numFmtId="0" fontId="3" fillId="0" borderId="0" xfId="1"/>
    <xf numFmtId="0" fontId="0" fillId="0" borderId="0" xfId="0" applyAlignment="1"/>
    <xf numFmtId="0" fontId="7" fillId="2" borderId="1" xfId="0" applyFont="1" applyFill="1" applyBorder="1" applyAlignment="1">
      <alignment horizontal="center" vertical="center"/>
    </xf>
    <xf numFmtId="49" fontId="9" fillId="2" borderId="1" xfId="1" applyNumberFormat="1" applyFont="1" applyFill="1" applyBorder="1" applyAlignment="1">
      <alignment horizontal="center"/>
    </xf>
    <xf numFmtId="49" fontId="9" fillId="2" borderId="1" xfId="7" applyNumberFormat="1" applyFont="1" applyFill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7" fillId="2" borderId="1" xfId="4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/>
    </xf>
    <xf numFmtId="49" fontId="11" fillId="2" borderId="1" xfId="1" applyNumberFormat="1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 wrapText="1"/>
    </xf>
    <xf numFmtId="3" fontId="12" fillId="2" borderId="1" xfId="2" applyNumberFormat="1" applyFont="1" applyFill="1" applyBorder="1" applyAlignment="1">
      <alignment horizontal="center"/>
    </xf>
  </cellXfs>
  <cellStyles count="10">
    <cellStyle name="ANCLAS,REZONES Y SUS PARTES,DE FUNDICION,DE HIERRO O DE ACERO" xfId="2" xr:uid="{0BB6BB01-BB57-4E06-AB9F-7DC72126CF25}"/>
    <cellStyle name="常规" xfId="0" builtinId="0"/>
    <cellStyle name="常规 2" xfId="1" xr:uid="{5BB2A8AD-ABAC-4D9D-A612-9561D26ADBA1}"/>
    <cellStyle name="常规 2 2" xfId="4" xr:uid="{100DD7CF-5399-4A38-B18C-46D470D30C18}"/>
    <cellStyle name="常规 2 3" xfId="7" xr:uid="{2C7ABBE4-49EB-471C-9205-C5CB4BF7F1DD}"/>
    <cellStyle name="常规 2 3 2" xfId="9" xr:uid="{9246FEB8-75C0-4BC6-9D2F-F3C9D8D5E1F8}"/>
    <cellStyle name="常规 2 4" xfId="8" xr:uid="{EF6B3AAC-F21D-4795-B7E4-9AC3D8893201}"/>
    <cellStyle name="常规 3" xfId="3" xr:uid="{C85DD0BA-C3F8-437C-9D78-DFC74B9B01D8}"/>
    <cellStyle name="常规 3 2" xfId="5" xr:uid="{56D8BB41-C957-44F8-9DE4-AE096EA589CD}"/>
    <cellStyle name="常规 4" xfId="6" xr:uid="{F952CC87-267E-4788-9BC3-252E765E6B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7169;&#22411;&#37096;&#20998;/who-regions-ref.csv.xlsx" TargetMode="External"/><Relationship Id="rId2" Type="http://schemas.openxmlformats.org/officeDocument/2006/relationships/externalLinkPath" Target="file:///C:\Users\xyllan\Desktop\working\&#30740;&#31350;&#29983;\&#27969;&#24863;meta\&#27169;&#22411;&#37096;&#20998;\who-regions-ref.csv.xlsx" TargetMode="External"/><Relationship Id="rId1" Type="http://schemas.openxmlformats.org/officeDocument/2006/relationships/externalLinkPath" Target="/Users/xyllan/Desktop/working/&#30740;&#31350;&#29983;/&#27969;&#24863;meta/&#27169;&#22411;&#37096;&#20998;/who-regions-ref.csv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7169;&#22411;&#37096;&#20998;/GDP_per_capita_wb_26.1.28.xls" TargetMode="External"/><Relationship Id="rId2" Type="http://schemas.openxmlformats.org/officeDocument/2006/relationships/externalLinkPath" Target="file:///C:\Users\xyllan\Desktop\working\&#30740;&#31350;&#29983;\&#27969;&#24863;meta\&#27169;&#22411;&#37096;&#20998;\GDP_per_capita_wb_26.1.28.xls" TargetMode="External"/><Relationship Id="rId1" Type="http://schemas.openxmlformats.org/officeDocument/2006/relationships/externalLinkPath" Target="/Users/xyllan/Desktop/working/&#30740;&#31350;&#29983;/&#27969;&#24863;meta/&#27169;&#22411;&#37096;&#20998;/GDP_per_capita_wb_26.1.28.xls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GBD_list.csv.xlsx" TargetMode="External"/><Relationship Id="rId2" Type="http://schemas.openxmlformats.org/officeDocument/2006/relationships/externalLinkPath" Target="file:///C:\Users\xyllan\Desktop\working\&#30740;&#31350;&#29983;\&#27969;&#24863;meta\GBD_list.csv.xlsx" TargetMode="External"/><Relationship Id="rId1" Type="http://schemas.openxmlformats.org/officeDocument/2006/relationships/externalLinkPath" Target="/Users/xyllan/Desktop/working/&#30740;&#31350;&#29983;/&#27969;&#24863;meta/GBD_list.csv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7169;&#22411;&#37096;&#20998;/Average_Mean_Surface_Air_Temperature_cckp.xls" TargetMode="External"/><Relationship Id="rId2" Type="http://schemas.openxmlformats.org/officeDocument/2006/relationships/externalLinkPath" Target="file:///C:\Users\xyllan\Desktop\working\&#30740;&#31350;&#29983;\&#27969;&#24863;meta\&#27169;&#22411;&#37096;&#20998;\Average_Mean_Surface_Air_Temperature_cckp.xls" TargetMode="External"/><Relationship Id="rId1" Type="http://schemas.openxmlformats.org/officeDocument/2006/relationships/externalLinkPath" Target="/Users/xyllan/Desktop/working/&#30740;&#31350;&#29983;/&#27969;&#24863;meta/&#27169;&#22411;&#37096;&#20998;/Average_Mean_Surface_Air_Temperature_cckp.xls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7169;&#22411;&#37096;&#20998;/Influenza_all_persons_above_&#8805;6_months_who.xlsx" TargetMode="External"/><Relationship Id="rId2" Type="http://schemas.openxmlformats.org/officeDocument/2006/relationships/externalLinkPath" Target="file:///C:\Users\xyllan\Desktop\working\&#30740;&#31350;&#29983;\&#27969;&#24863;meta\&#27169;&#22411;&#37096;&#20998;\Influenza_all_persons_above_&#8805;6_months_who.xlsx" TargetMode="External"/><Relationship Id="rId1" Type="http://schemas.openxmlformats.org/officeDocument/2006/relationships/externalLinkPath" Target="/Users/xyllan/Desktop/working/&#30740;&#31350;&#29983;/&#27969;&#24863;meta/&#27169;&#22411;&#37096;&#20998;/Influenza_all_persons_above_&#8805;6_months_who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7169;&#22411;&#37096;&#20998;/Influenza_vaccination_coverage_older_who.xlsx" TargetMode="External"/><Relationship Id="rId2" Type="http://schemas.openxmlformats.org/officeDocument/2006/relationships/externalLinkPath" Target="file:///C:\Users\xyllan\Desktop\working\&#30740;&#31350;&#29983;\&#27969;&#24863;meta\&#27169;&#22411;&#37096;&#20998;\Influenza_vaccination_coverage_older_who.xlsx" TargetMode="External"/><Relationship Id="rId1" Type="http://schemas.openxmlformats.org/officeDocument/2006/relationships/externalLinkPath" Target="/Users/xyllan/Desktop/working/&#30740;&#31350;&#29983;/&#27969;&#24863;meta/&#27169;&#22411;&#37096;&#20998;/Influenza_vaccination_coverage_older_who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7169;&#22411;&#37096;&#20998;/Relative_Humidity%20(hurs)_CCKP.xls" TargetMode="External"/><Relationship Id="rId2" Type="http://schemas.openxmlformats.org/officeDocument/2006/relationships/externalLinkPath" Target="file:///C:\Users\xyllan\Desktop\working\&#30740;&#31350;&#29983;\&#27969;&#24863;meta\&#27169;&#22411;&#37096;&#20998;\Relative_Humidity%20(hurs)_CCKP.xls" TargetMode="External"/><Relationship Id="rId1" Type="http://schemas.openxmlformats.org/officeDocument/2006/relationships/externalLinkPath" Target="/Users/xyllan/Desktop/working/&#30740;&#31350;&#29983;/&#27969;&#24863;meta/&#27169;&#22411;&#37096;&#20998;/Relative_Humidity%20(hurs)_CCKP.xls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R&#20195;&#30721;%201.26/model_input_NEWGDP.xlsx" TargetMode="External"/><Relationship Id="rId2" Type="http://schemas.openxmlformats.org/officeDocument/2006/relationships/externalLinkPath" Target="file:///C:\Users\xyllan\Desktop\R&#20195;&#30721;%201.26\model_input_NEWGDP.xlsx" TargetMode="External"/><Relationship Id="rId1" Type="http://schemas.openxmlformats.org/officeDocument/2006/relationships/externalLinkPath" Target="/Users/xyllan/Desktop/R&#20195;&#30721;%201.26/model_input_NEWGD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ho-regions"/>
    </sheetNames>
    <sheetDataSet>
      <sheetData sheetId="0">
        <row r="1">
          <cell r="B1" t="str">
            <v>Code</v>
          </cell>
          <cell r="C1" t="str">
            <v>Year</v>
          </cell>
          <cell r="D1" t="str">
            <v>World regions according to WHO</v>
          </cell>
        </row>
        <row r="2">
          <cell r="B2" t="str">
            <v>AFG</v>
          </cell>
          <cell r="C2">
            <v>2023</v>
          </cell>
          <cell r="D2" t="str">
            <v>EMR</v>
          </cell>
        </row>
        <row r="3">
          <cell r="B3" t="str">
            <v>ALB</v>
          </cell>
          <cell r="C3">
            <v>2023</v>
          </cell>
          <cell r="D3" t="str">
            <v>EUR</v>
          </cell>
        </row>
        <row r="4">
          <cell r="B4" t="str">
            <v>DZA</v>
          </cell>
          <cell r="C4">
            <v>2023</v>
          </cell>
          <cell r="D4" t="str">
            <v>AFR</v>
          </cell>
        </row>
        <row r="5">
          <cell r="B5" t="str">
            <v>ASM</v>
          </cell>
          <cell r="C5">
            <v>2023</v>
          </cell>
          <cell r="D5" t="str">
            <v>WPR</v>
          </cell>
        </row>
        <row r="6">
          <cell r="B6" t="str">
            <v>AND</v>
          </cell>
          <cell r="C6">
            <v>2023</v>
          </cell>
          <cell r="D6" t="str">
            <v>EUR</v>
          </cell>
        </row>
        <row r="7">
          <cell r="B7" t="str">
            <v>AGO</v>
          </cell>
          <cell r="C7">
            <v>2023</v>
          </cell>
          <cell r="D7" t="str">
            <v>AFR</v>
          </cell>
        </row>
        <row r="8">
          <cell r="B8" t="str">
            <v>AIA</v>
          </cell>
          <cell r="C8">
            <v>2023</v>
          </cell>
          <cell r="D8" t="str">
            <v>AMR</v>
          </cell>
        </row>
        <row r="9">
          <cell r="B9" t="str">
            <v>ATG</v>
          </cell>
          <cell r="C9">
            <v>2023</v>
          </cell>
          <cell r="D9" t="str">
            <v>AMR</v>
          </cell>
        </row>
        <row r="10">
          <cell r="B10" t="str">
            <v>ARG</v>
          </cell>
          <cell r="C10">
            <v>2023</v>
          </cell>
          <cell r="D10" t="str">
            <v>AMR</v>
          </cell>
        </row>
        <row r="11">
          <cell r="B11" t="str">
            <v>ARM</v>
          </cell>
          <cell r="C11">
            <v>2023</v>
          </cell>
          <cell r="D11" t="str">
            <v>EUR</v>
          </cell>
        </row>
        <row r="12">
          <cell r="B12" t="str">
            <v>AUS</v>
          </cell>
          <cell r="C12">
            <v>2023</v>
          </cell>
          <cell r="D12" t="str">
            <v>WPR</v>
          </cell>
        </row>
        <row r="13">
          <cell r="B13" t="str">
            <v>AUT</v>
          </cell>
          <cell r="C13">
            <v>2023</v>
          </cell>
          <cell r="D13" t="str">
            <v>EUR</v>
          </cell>
        </row>
        <row r="14">
          <cell r="B14" t="str">
            <v>AZE</v>
          </cell>
          <cell r="C14">
            <v>2023</v>
          </cell>
          <cell r="D14" t="str">
            <v>EUR</v>
          </cell>
        </row>
        <row r="15">
          <cell r="B15" t="str">
            <v>BHS</v>
          </cell>
          <cell r="C15">
            <v>2023</v>
          </cell>
          <cell r="D15" t="str">
            <v>AMR</v>
          </cell>
        </row>
        <row r="16">
          <cell r="B16" t="str">
            <v>BHR</v>
          </cell>
          <cell r="C16">
            <v>2023</v>
          </cell>
          <cell r="D16" t="str">
            <v>EMR</v>
          </cell>
        </row>
        <row r="17">
          <cell r="B17" t="str">
            <v>BGD</v>
          </cell>
          <cell r="C17">
            <v>2023</v>
          </cell>
          <cell r="D17" t="str">
            <v>SEAR</v>
          </cell>
        </row>
        <row r="18">
          <cell r="B18" t="str">
            <v>BRB</v>
          </cell>
          <cell r="C18">
            <v>2023</v>
          </cell>
          <cell r="D18" t="str">
            <v>AMR</v>
          </cell>
        </row>
        <row r="19">
          <cell r="B19" t="str">
            <v>BLR</v>
          </cell>
          <cell r="C19">
            <v>2023</v>
          </cell>
          <cell r="D19" t="str">
            <v>EUR</v>
          </cell>
        </row>
        <row r="20">
          <cell r="B20" t="str">
            <v>BEL</v>
          </cell>
          <cell r="C20">
            <v>2023</v>
          </cell>
          <cell r="D20" t="str">
            <v>EUR</v>
          </cell>
        </row>
        <row r="21">
          <cell r="B21" t="str">
            <v>BLZ</v>
          </cell>
          <cell r="C21">
            <v>2023</v>
          </cell>
          <cell r="D21" t="str">
            <v>AMR</v>
          </cell>
        </row>
        <row r="22">
          <cell r="B22" t="str">
            <v>BEN</v>
          </cell>
          <cell r="C22">
            <v>2023</v>
          </cell>
          <cell r="D22" t="str">
            <v>AFR</v>
          </cell>
        </row>
        <row r="23">
          <cell r="B23" t="str">
            <v>BTN</v>
          </cell>
          <cell r="C23">
            <v>2023</v>
          </cell>
          <cell r="D23" t="str">
            <v>SEAR</v>
          </cell>
        </row>
        <row r="24">
          <cell r="B24" t="str">
            <v>BOL</v>
          </cell>
          <cell r="C24">
            <v>2023</v>
          </cell>
          <cell r="D24" t="str">
            <v>AMR</v>
          </cell>
        </row>
        <row r="25">
          <cell r="B25" t="str">
            <v>BIH</v>
          </cell>
          <cell r="C25">
            <v>2023</v>
          </cell>
          <cell r="D25" t="str">
            <v>EUR</v>
          </cell>
        </row>
        <row r="26">
          <cell r="B26" t="str">
            <v>BWA</v>
          </cell>
          <cell r="C26">
            <v>2023</v>
          </cell>
          <cell r="D26" t="str">
            <v>AFR</v>
          </cell>
        </row>
        <row r="27">
          <cell r="B27" t="str">
            <v>BRA</v>
          </cell>
          <cell r="C27">
            <v>2023</v>
          </cell>
          <cell r="D27" t="str">
            <v>AMR</v>
          </cell>
        </row>
        <row r="28">
          <cell r="B28" t="str">
            <v>BRN</v>
          </cell>
          <cell r="C28">
            <v>2023</v>
          </cell>
          <cell r="D28" t="str">
            <v>WPR</v>
          </cell>
        </row>
        <row r="29">
          <cell r="B29" t="str">
            <v>BGR</v>
          </cell>
          <cell r="C29">
            <v>2023</v>
          </cell>
          <cell r="D29" t="str">
            <v>EUR</v>
          </cell>
        </row>
        <row r="30">
          <cell r="B30" t="str">
            <v>BFA</v>
          </cell>
          <cell r="C30">
            <v>2023</v>
          </cell>
          <cell r="D30" t="str">
            <v>AFR</v>
          </cell>
        </row>
        <row r="31">
          <cell r="B31" t="str">
            <v>BDI</v>
          </cell>
          <cell r="C31">
            <v>2023</v>
          </cell>
          <cell r="D31" t="str">
            <v>AFR</v>
          </cell>
        </row>
        <row r="32">
          <cell r="B32" t="str">
            <v>KHM</v>
          </cell>
          <cell r="C32">
            <v>2023</v>
          </cell>
          <cell r="D32" t="str">
            <v>WPR</v>
          </cell>
        </row>
        <row r="33">
          <cell r="B33" t="str">
            <v>CMR</v>
          </cell>
          <cell r="C33">
            <v>2023</v>
          </cell>
          <cell r="D33" t="str">
            <v>AFR</v>
          </cell>
        </row>
        <row r="34">
          <cell r="B34" t="str">
            <v>CAN</v>
          </cell>
          <cell r="C34">
            <v>2023</v>
          </cell>
          <cell r="D34" t="str">
            <v>AMR</v>
          </cell>
        </row>
        <row r="35">
          <cell r="B35" t="str">
            <v>CPV</v>
          </cell>
          <cell r="C35">
            <v>2023</v>
          </cell>
          <cell r="D35" t="str">
            <v>AFR</v>
          </cell>
        </row>
        <row r="36">
          <cell r="B36" t="str">
            <v>CYM</v>
          </cell>
          <cell r="C36">
            <v>2023</v>
          </cell>
          <cell r="D36" t="str">
            <v>AMR</v>
          </cell>
        </row>
        <row r="37">
          <cell r="B37" t="str">
            <v>CAF</v>
          </cell>
          <cell r="C37">
            <v>2023</v>
          </cell>
          <cell r="D37" t="str">
            <v>AFR</v>
          </cell>
        </row>
        <row r="38">
          <cell r="B38" t="str">
            <v>TCD</v>
          </cell>
          <cell r="C38">
            <v>2023</v>
          </cell>
          <cell r="D38" t="str">
            <v>AFR</v>
          </cell>
        </row>
        <row r="39">
          <cell r="B39" t="str">
            <v>CHL</v>
          </cell>
          <cell r="C39">
            <v>2023</v>
          </cell>
          <cell r="D39" t="str">
            <v>AMR</v>
          </cell>
        </row>
        <row r="40">
          <cell r="B40" t="str">
            <v>CHN</v>
          </cell>
          <cell r="C40">
            <v>2023</v>
          </cell>
          <cell r="D40" t="str">
            <v>WPR</v>
          </cell>
        </row>
        <row r="41">
          <cell r="B41" t="str">
            <v>COL</v>
          </cell>
          <cell r="C41">
            <v>2023</v>
          </cell>
          <cell r="D41" t="str">
            <v>AMR</v>
          </cell>
        </row>
        <row r="42">
          <cell r="B42" t="str">
            <v>COM</v>
          </cell>
          <cell r="C42">
            <v>2023</v>
          </cell>
          <cell r="D42" t="str">
            <v>AFR</v>
          </cell>
        </row>
        <row r="43">
          <cell r="B43" t="str">
            <v>COG</v>
          </cell>
          <cell r="C43">
            <v>2023</v>
          </cell>
          <cell r="D43" t="str">
            <v>AFR</v>
          </cell>
        </row>
        <row r="44">
          <cell r="B44" t="str">
            <v>COK</v>
          </cell>
          <cell r="C44">
            <v>2023</v>
          </cell>
          <cell r="D44" t="str">
            <v>WPR</v>
          </cell>
        </row>
        <row r="45">
          <cell r="B45" t="str">
            <v>CRI</v>
          </cell>
          <cell r="C45">
            <v>2023</v>
          </cell>
          <cell r="D45" t="str">
            <v>AMR</v>
          </cell>
        </row>
        <row r="46">
          <cell r="B46" t="str">
            <v>CIV</v>
          </cell>
          <cell r="C46">
            <v>2023</v>
          </cell>
          <cell r="D46" t="str">
            <v>AFR</v>
          </cell>
        </row>
        <row r="47">
          <cell r="B47" t="str">
            <v>HRV</v>
          </cell>
          <cell r="C47">
            <v>2023</v>
          </cell>
          <cell r="D47" t="str">
            <v>EUR</v>
          </cell>
        </row>
        <row r="48">
          <cell r="B48" t="str">
            <v>CUB</v>
          </cell>
          <cell r="C48">
            <v>2023</v>
          </cell>
          <cell r="D48" t="str">
            <v>AMR</v>
          </cell>
        </row>
        <row r="49">
          <cell r="B49" t="str">
            <v>CYP</v>
          </cell>
          <cell r="C49">
            <v>2023</v>
          </cell>
          <cell r="D49" t="str">
            <v>EUR</v>
          </cell>
        </row>
        <row r="50">
          <cell r="B50" t="str">
            <v>CZE</v>
          </cell>
          <cell r="C50">
            <v>2023</v>
          </cell>
          <cell r="D50" t="str">
            <v>EUR</v>
          </cell>
        </row>
        <row r="51">
          <cell r="B51" t="str">
            <v>COD</v>
          </cell>
          <cell r="C51">
            <v>2023</v>
          </cell>
          <cell r="D51" t="str">
            <v>AFR</v>
          </cell>
        </row>
        <row r="52">
          <cell r="B52" t="str">
            <v>DNK</v>
          </cell>
          <cell r="C52">
            <v>2023</v>
          </cell>
          <cell r="D52" t="str">
            <v>EUR</v>
          </cell>
        </row>
        <row r="53">
          <cell r="B53" t="str">
            <v>DJI</v>
          </cell>
          <cell r="C53">
            <v>2023</v>
          </cell>
          <cell r="D53" t="str">
            <v>EMR</v>
          </cell>
        </row>
        <row r="54">
          <cell r="B54" t="str">
            <v>DMA</v>
          </cell>
          <cell r="C54">
            <v>2023</v>
          </cell>
          <cell r="D54" t="str">
            <v>AMR</v>
          </cell>
        </row>
        <row r="55">
          <cell r="B55" t="str">
            <v>DOM</v>
          </cell>
          <cell r="C55">
            <v>2023</v>
          </cell>
          <cell r="D55" t="str">
            <v>AMR</v>
          </cell>
        </row>
        <row r="56">
          <cell r="B56" t="str">
            <v>TLS</v>
          </cell>
          <cell r="C56">
            <v>2023</v>
          </cell>
          <cell r="D56" t="str">
            <v>SEAR</v>
          </cell>
        </row>
        <row r="57">
          <cell r="B57" t="str">
            <v>ECU</v>
          </cell>
          <cell r="C57">
            <v>2023</v>
          </cell>
          <cell r="D57" t="str">
            <v>AMR</v>
          </cell>
        </row>
        <row r="58">
          <cell r="B58" t="str">
            <v>EGY</v>
          </cell>
          <cell r="C58">
            <v>2023</v>
          </cell>
          <cell r="D58" t="str">
            <v>EMR</v>
          </cell>
        </row>
        <row r="59">
          <cell r="B59" t="str">
            <v>SLV</v>
          </cell>
          <cell r="C59">
            <v>2023</v>
          </cell>
          <cell r="D59" t="str">
            <v>AMR</v>
          </cell>
        </row>
        <row r="60">
          <cell r="B60" t="str">
            <v>GNQ</v>
          </cell>
          <cell r="C60">
            <v>2023</v>
          </cell>
          <cell r="D60" t="str">
            <v>AFR</v>
          </cell>
        </row>
        <row r="61">
          <cell r="B61" t="str">
            <v>ERI</v>
          </cell>
          <cell r="C61">
            <v>2023</v>
          </cell>
          <cell r="D61" t="str">
            <v>AFR</v>
          </cell>
        </row>
        <row r="62">
          <cell r="B62" t="str">
            <v>EST</v>
          </cell>
          <cell r="C62">
            <v>2023</v>
          </cell>
          <cell r="D62" t="str">
            <v>EUR</v>
          </cell>
        </row>
        <row r="63">
          <cell r="B63" t="str">
            <v>SWZ</v>
          </cell>
          <cell r="C63">
            <v>2023</v>
          </cell>
          <cell r="D63" t="str">
            <v>AFR</v>
          </cell>
        </row>
        <row r="64">
          <cell r="B64" t="str">
            <v>ETH</v>
          </cell>
          <cell r="C64">
            <v>2023</v>
          </cell>
          <cell r="D64" t="str">
            <v>AFR</v>
          </cell>
        </row>
        <row r="65">
          <cell r="B65" t="str">
            <v>FJI</v>
          </cell>
          <cell r="C65">
            <v>2023</v>
          </cell>
          <cell r="D65" t="str">
            <v>WPR</v>
          </cell>
        </row>
        <row r="66">
          <cell r="B66" t="str">
            <v>FIN</v>
          </cell>
          <cell r="C66">
            <v>2023</v>
          </cell>
          <cell r="D66" t="str">
            <v>EUR</v>
          </cell>
        </row>
        <row r="67">
          <cell r="B67" t="str">
            <v>FRA</v>
          </cell>
          <cell r="C67">
            <v>2023</v>
          </cell>
          <cell r="D67" t="str">
            <v>EUR</v>
          </cell>
        </row>
        <row r="68">
          <cell r="B68" t="str">
            <v>GUF</v>
          </cell>
          <cell r="C68">
            <v>2023</v>
          </cell>
          <cell r="D68" t="str">
            <v>AMR</v>
          </cell>
        </row>
        <row r="69">
          <cell r="B69" t="str">
            <v>PYF</v>
          </cell>
          <cell r="C69">
            <v>2023</v>
          </cell>
          <cell r="D69" t="str">
            <v>WPR</v>
          </cell>
        </row>
        <row r="70">
          <cell r="B70" t="str">
            <v>GAB</v>
          </cell>
          <cell r="C70">
            <v>2023</v>
          </cell>
          <cell r="D70" t="str">
            <v>AFR</v>
          </cell>
        </row>
        <row r="71">
          <cell r="B71" t="str">
            <v>GMB</v>
          </cell>
          <cell r="C71">
            <v>2023</v>
          </cell>
          <cell r="D71" t="str">
            <v>AFR</v>
          </cell>
        </row>
        <row r="72">
          <cell r="B72" t="str">
            <v>GEO</v>
          </cell>
          <cell r="C72">
            <v>2023</v>
          </cell>
          <cell r="D72" t="str">
            <v>EUR</v>
          </cell>
        </row>
        <row r="73">
          <cell r="B73" t="str">
            <v>DEU</v>
          </cell>
          <cell r="C73">
            <v>2023</v>
          </cell>
          <cell r="D73" t="str">
            <v>EUR</v>
          </cell>
        </row>
        <row r="74">
          <cell r="B74" t="str">
            <v>GHA</v>
          </cell>
          <cell r="C74">
            <v>2023</v>
          </cell>
          <cell r="D74" t="str">
            <v>AFR</v>
          </cell>
        </row>
        <row r="75">
          <cell r="B75" t="str">
            <v>GRC</v>
          </cell>
          <cell r="C75">
            <v>2023</v>
          </cell>
          <cell r="D75" t="str">
            <v>EUR</v>
          </cell>
        </row>
        <row r="76">
          <cell r="B76" t="str">
            <v>GRD</v>
          </cell>
          <cell r="C76">
            <v>2023</v>
          </cell>
          <cell r="D76" t="str">
            <v>AMR</v>
          </cell>
        </row>
        <row r="77">
          <cell r="B77" t="str">
            <v>GUM</v>
          </cell>
          <cell r="C77">
            <v>2023</v>
          </cell>
          <cell r="D77" t="str">
            <v>WPR</v>
          </cell>
        </row>
        <row r="78">
          <cell r="B78" t="str">
            <v>GTM</v>
          </cell>
          <cell r="C78">
            <v>2023</v>
          </cell>
          <cell r="D78" t="str">
            <v>AMR</v>
          </cell>
        </row>
        <row r="79">
          <cell r="B79" t="str">
            <v>GIN</v>
          </cell>
          <cell r="C79">
            <v>2023</v>
          </cell>
          <cell r="D79" t="str">
            <v>AFR</v>
          </cell>
        </row>
        <row r="80">
          <cell r="B80" t="str">
            <v>GNB</v>
          </cell>
          <cell r="C80">
            <v>2023</v>
          </cell>
          <cell r="D80" t="str">
            <v>AFR</v>
          </cell>
        </row>
        <row r="81">
          <cell r="B81" t="str">
            <v>GUY</v>
          </cell>
          <cell r="C81">
            <v>2023</v>
          </cell>
          <cell r="D81" t="str">
            <v>AMR</v>
          </cell>
        </row>
        <row r="82">
          <cell r="B82" t="str">
            <v>HTI</v>
          </cell>
          <cell r="C82">
            <v>2023</v>
          </cell>
          <cell r="D82" t="str">
            <v>AMR</v>
          </cell>
        </row>
        <row r="83">
          <cell r="B83" t="str">
            <v>HND</v>
          </cell>
          <cell r="C83">
            <v>2023</v>
          </cell>
          <cell r="D83" t="str">
            <v>AMR</v>
          </cell>
        </row>
        <row r="84">
          <cell r="B84" t="str">
            <v>HKG</v>
          </cell>
          <cell r="C84">
            <v>2023</v>
          </cell>
          <cell r="D84" t="str">
            <v>WPR</v>
          </cell>
        </row>
        <row r="85">
          <cell r="B85" t="str">
            <v>HUN</v>
          </cell>
          <cell r="C85">
            <v>2023</v>
          </cell>
          <cell r="D85" t="str">
            <v>EUR</v>
          </cell>
        </row>
        <row r="86">
          <cell r="B86" t="str">
            <v>ISL</v>
          </cell>
          <cell r="C86">
            <v>2023</v>
          </cell>
          <cell r="D86" t="str">
            <v>EUR</v>
          </cell>
        </row>
        <row r="87">
          <cell r="B87" t="str">
            <v>IND</v>
          </cell>
          <cell r="C87">
            <v>2023</v>
          </cell>
          <cell r="D87" t="str">
            <v>SEAR</v>
          </cell>
        </row>
        <row r="88">
          <cell r="B88" t="str">
            <v>IDN</v>
          </cell>
          <cell r="C88">
            <v>2023</v>
          </cell>
          <cell r="D88" t="str">
            <v>SEAR</v>
          </cell>
        </row>
        <row r="89">
          <cell r="B89" t="str">
            <v>IRN</v>
          </cell>
          <cell r="C89">
            <v>2023</v>
          </cell>
          <cell r="D89" t="str">
            <v>EMR</v>
          </cell>
        </row>
        <row r="90">
          <cell r="B90" t="str">
            <v>IRQ</v>
          </cell>
          <cell r="C90">
            <v>2023</v>
          </cell>
          <cell r="D90" t="str">
            <v>EMR</v>
          </cell>
        </row>
        <row r="91">
          <cell r="B91" t="str">
            <v>IRL</v>
          </cell>
          <cell r="C91">
            <v>2023</v>
          </cell>
          <cell r="D91" t="str">
            <v>EUR</v>
          </cell>
        </row>
        <row r="92">
          <cell r="B92" t="str">
            <v>ISR</v>
          </cell>
          <cell r="C92">
            <v>2023</v>
          </cell>
          <cell r="D92" t="str">
            <v>EUR</v>
          </cell>
        </row>
        <row r="93">
          <cell r="B93" t="str">
            <v>ITA</v>
          </cell>
          <cell r="C93">
            <v>2023</v>
          </cell>
          <cell r="D93" t="str">
            <v>EUR</v>
          </cell>
        </row>
        <row r="94">
          <cell r="B94" t="str">
            <v>JAM</v>
          </cell>
          <cell r="C94">
            <v>2023</v>
          </cell>
          <cell r="D94" t="str">
            <v>AMR</v>
          </cell>
        </row>
        <row r="95">
          <cell r="B95" t="str">
            <v>JPN</v>
          </cell>
          <cell r="C95">
            <v>2023</v>
          </cell>
          <cell r="D95" t="str">
            <v>WPR</v>
          </cell>
        </row>
        <row r="96">
          <cell r="B96" t="str">
            <v>JOR</v>
          </cell>
          <cell r="C96">
            <v>2023</v>
          </cell>
          <cell r="D96" t="str">
            <v>EMR</v>
          </cell>
        </row>
        <row r="97">
          <cell r="B97" t="str">
            <v>KAZ</v>
          </cell>
          <cell r="C97">
            <v>2023</v>
          </cell>
          <cell r="D97" t="str">
            <v>EUR</v>
          </cell>
        </row>
        <row r="98">
          <cell r="B98" t="str">
            <v>KEN</v>
          </cell>
          <cell r="C98">
            <v>2023</v>
          </cell>
          <cell r="D98" t="str">
            <v>AFR</v>
          </cell>
        </row>
        <row r="99">
          <cell r="B99" t="str">
            <v>KIR</v>
          </cell>
          <cell r="C99">
            <v>2023</v>
          </cell>
          <cell r="D99" t="str">
            <v>WPR</v>
          </cell>
        </row>
        <row r="100">
          <cell r="B100" t="str">
            <v>KWT</v>
          </cell>
          <cell r="C100">
            <v>2023</v>
          </cell>
          <cell r="D100" t="str">
            <v>EMR</v>
          </cell>
        </row>
        <row r="101">
          <cell r="B101" t="str">
            <v>KGZ</v>
          </cell>
          <cell r="C101">
            <v>2023</v>
          </cell>
          <cell r="D101" t="str">
            <v>EUR</v>
          </cell>
        </row>
        <row r="102">
          <cell r="B102" t="str">
            <v>LAO</v>
          </cell>
          <cell r="C102">
            <v>2023</v>
          </cell>
          <cell r="D102" t="str">
            <v>WPR</v>
          </cell>
        </row>
        <row r="103">
          <cell r="B103" t="str">
            <v>LVA</v>
          </cell>
          <cell r="C103">
            <v>2023</v>
          </cell>
          <cell r="D103" t="str">
            <v>EUR</v>
          </cell>
        </row>
        <row r="104">
          <cell r="B104" t="str">
            <v>LBN</v>
          </cell>
          <cell r="C104">
            <v>2023</v>
          </cell>
          <cell r="D104" t="str">
            <v>EMR</v>
          </cell>
        </row>
        <row r="105">
          <cell r="B105" t="str">
            <v>LSO</v>
          </cell>
          <cell r="C105">
            <v>2023</v>
          </cell>
          <cell r="D105" t="str">
            <v>AFR</v>
          </cell>
        </row>
        <row r="106">
          <cell r="B106" t="str">
            <v>LBR</v>
          </cell>
          <cell r="C106">
            <v>2023</v>
          </cell>
          <cell r="D106" t="str">
            <v>AFR</v>
          </cell>
        </row>
        <row r="107">
          <cell r="B107" t="str">
            <v>LBY</v>
          </cell>
          <cell r="C107">
            <v>2023</v>
          </cell>
          <cell r="D107" t="str">
            <v>EMR</v>
          </cell>
        </row>
        <row r="108">
          <cell r="B108" t="str">
            <v>LTU</v>
          </cell>
          <cell r="C108">
            <v>2023</v>
          </cell>
          <cell r="D108" t="str">
            <v>EUR</v>
          </cell>
        </row>
        <row r="109">
          <cell r="B109" t="str">
            <v>LUX</v>
          </cell>
          <cell r="C109">
            <v>2023</v>
          </cell>
          <cell r="D109" t="str">
            <v>EUR</v>
          </cell>
        </row>
        <row r="110">
          <cell r="B110" t="str">
            <v>MAC</v>
          </cell>
          <cell r="C110">
            <v>2023</v>
          </cell>
          <cell r="D110" t="str">
            <v>WPR</v>
          </cell>
        </row>
        <row r="111">
          <cell r="B111" t="str">
            <v>MDG</v>
          </cell>
          <cell r="C111">
            <v>2023</v>
          </cell>
          <cell r="D111" t="str">
            <v>AFR</v>
          </cell>
        </row>
        <row r="112">
          <cell r="B112" t="str">
            <v>MWI</v>
          </cell>
          <cell r="C112">
            <v>2023</v>
          </cell>
          <cell r="D112" t="str">
            <v>AFR</v>
          </cell>
        </row>
        <row r="113">
          <cell r="B113" t="str">
            <v>MYS</v>
          </cell>
          <cell r="C113">
            <v>2023</v>
          </cell>
          <cell r="D113" t="str">
            <v>WPR</v>
          </cell>
        </row>
        <row r="114">
          <cell r="B114" t="str">
            <v>MDV</v>
          </cell>
          <cell r="C114">
            <v>2023</v>
          </cell>
          <cell r="D114" t="str">
            <v>SEAR</v>
          </cell>
        </row>
        <row r="115">
          <cell r="B115" t="str">
            <v>MLI</v>
          </cell>
          <cell r="C115">
            <v>2023</v>
          </cell>
          <cell r="D115" t="str">
            <v>AFR</v>
          </cell>
        </row>
        <row r="116">
          <cell r="B116" t="str">
            <v>MLT</v>
          </cell>
          <cell r="C116">
            <v>2023</v>
          </cell>
          <cell r="D116" t="str">
            <v>EUR</v>
          </cell>
        </row>
        <row r="117">
          <cell r="B117" t="str">
            <v>MHL</v>
          </cell>
          <cell r="C117">
            <v>2023</v>
          </cell>
          <cell r="D117" t="str">
            <v>WPR</v>
          </cell>
        </row>
        <row r="118">
          <cell r="B118" t="str">
            <v>MRT</v>
          </cell>
          <cell r="C118">
            <v>2023</v>
          </cell>
          <cell r="D118" t="str">
            <v>AFR</v>
          </cell>
        </row>
        <row r="119">
          <cell r="B119" t="str">
            <v>MUS</v>
          </cell>
          <cell r="C119">
            <v>2023</v>
          </cell>
          <cell r="D119" t="str">
            <v>AFR</v>
          </cell>
        </row>
        <row r="120">
          <cell r="B120" t="str">
            <v>MEX</v>
          </cell>
          <cell r="C120">
            <v>2023</v>
          </cell>
          <cell r="D120" t="str">
            <v>AMR</v>
          </cell>
        </row>
        <row r="121">
          <cell r="B121" t="str">
            <v>FSM</v>
          </cell>
          <cell r="C121">
            <v>2023</v>
          </cell>
          <cell r="D121" t="str">
            <v>WPR</v>
          </cell>
        </row>
        <row r="122">
          <cell r="B122" t="str">
            <v>MDA</v>
          </cell>
          <cell r="C122">
            <v>2023</v>
          </cell>
          <cell r="D122" t="str">
            <v>EUR</v>
          </cell>
        </row>
        <row r="123">
          <cell r="B123" t="str">
            <v>MCO</v>
          </cell>
          <cell r="C123">
            <v>2023</v>
          </cell>
          <cell r="D123" t="str">
            <v>EUR</v>
          </cell>
        </row>
        <row r="124">
          <cell r="B124" t="str">
            <v>MNG</v>
          </cell>
          <cell r="C124">
            <v>2023</v>
          </cell>
          <cell r="D124" t="str">
            <v>WPR</v>
          </cell>
        </row>
        <row r="125">
          <cell r="B125" t="str">
            <v>MNE</v>
          </cell>
          <cell r="C125">
            <v>2023</v>
          </cell>
          <cell r="D125" t="str">
            <v>EUR</v>
          </cell>
        </row>
        <row r="126">
          <cell r="B126" t="str">
            <v>MSR</v>
          </cell>
          <cell r="C126">
            <v>2023</v>
          </cell>
          <cell r="D126" t="str">
            <v>AMR</v>
          </cell>
        </row>
        <row r="127">
          <cell r="B127" t="str">
            <v>MAR</v>
          </cell>
          <cell r="C127">
            <v>2023</v>
          </cell>
          <cell r="D127" t="str">
            <v>EMR</v>
          </cell>
        </row>
        <row r="128">
          <cell r="B128" t="str">
            <v>MOZ</v>
          </cell>
          <cell r="C128">
            <v>2023</v>
          </cell>
          <cell r="D128" t="str">
            <v>AFR</v>
          </cell>
        </row>
        <row r="129">
          <cell r="B129" t="str">
            <v>MMR</v>
          </cell>
          <cell r="C129">
            <v>2023</v>
          </cell>
          <cell r="D129" t="str">
            <v>SEAR</v>
          </cell>
        </row>
        <row r="130">
          <cell r="B130" t="str">
            <v>NAM</v>
          </cell>
          <cell r="C130">
            <v>2023</v>
          </cell>
          <cell r="D130" t="str">
            <v>AFR</v>
          </cell>
        </row>
        <row r="131">
          <cell r="B131" t="str">
            <v>NRU</v>
          </cell>
          <cell r="C131">
            <v>2023</v>
          </cell>
          <cell r="D131" t="str">
            <v>WPR</v>
          </cell>
        </row>
        <row r="132">
          <cell r="B132" t="str">
            <v>NPL</v>
          </cell>
          <cell r="C132">
            <v>2023</v>
          </cell>
          <cell r="D132" t="str">
            <v>SEAR</v>
          </cell>
        </row>
        <row r="133">
          <cell r="B133" t="str">
            <v>NLD</v>
          </cell>
          <cell r="C133">
            <v>2023</v>
          </cell>
          <cell r="D133" t="str">
            <v>EUR</v>
          </cell>
        </row>
        <row r="134">
          <cell r="B134" t="str">
            <v>NCL</v>
          </cell>
          <cell r="C134">
            <v>2023</v>
          </cell>
          <cell r="D134" t="str">
            <v>WPR</v>
          </cell>
        </row>
        <row r="135">
          <cell r="B135" t="str">
            <v>NZL</v>
          </cell>
          <cell r="C135">
            <v>2023</v>
          </cell>
          <cell r="D135" t="str">
            <v>WPR</v>
          </cell>
        </row>
        <row r="136">
          <cell r="B136" t="str">
            <v>NIC</v>
          </cell>
          <cell r="C136">
            <v>2023</v>
          </cell>
          <cell r="D136" t="str">
            <v>AMR</v>
          </cell>
        </row>
        <row r="137">
          <cell r="B137" t="str">
            <v>NER</v>
          </cell>
          <cell r="C137">
            <v>2023</v>
          </cell>
          <cell r="D137" t="str">
            <v>AFR</v>
          </cell>
        </row>
        <row r="138">
          <cell r="B138" t="str">
            <v>NGA</v>
          </cell>
          <cell r="C138">
            <v>2023</v>
          </cell>
          <cell r="D138" t="str">
            <v>AFR</v>
          </cell>
        </row>
        <row r="139">
          <cell r="B139" t="str">
            <v>NIU</v>
          </cell>
          <cell r="C139">
            <v>2023</v>
          </cell>
          <cell r="D139" t="str">
            <v>WPR</v>
          </cell>
        </row>
        <row r="140">
          <cell r="B140" t="str">
            <v>PRK</v>
          </cell>
          <cell r="C140">
            <v>2023</v>
          </cell>
          <cell r="D140" t="str">
            <v>SEAR</v>
          </cell>
        </row>
        <row r="141">
          <cell r="B141" t="str">
            <v>MKD</v>
          </cell>
          <cell r="C141">
            <v>2023</v>
          </cell>
          <cell r="D141" t="str">
            <v>EUR</v>
          </cell>
        </row>
        <row r="142">
          <cell r="B142" t="str">
            <v>MNP</v>
          </cell>
          <cell r="C142">
            <v>2023</v>
          </cell>
          <cell r="D142" t="str">
            <v>WPR</v>
          </cell>
        </row>
        <row r="143">
          <cell r="B143" t="str">
            <v>NOR</v>
          </cell>
          <cell r="C143">
            <v>2023</v>
          </cell>
          <cell r="D143" t="str">
            <v>EUR</v>
          </cell>
        </row>
        <row r="144">
          <cell r="B144" t="str">
            <v>OMN</v>
          </cell>
          <cell r="C144">
            <v>2023</v>
          </cell>
          <cell r="D144" t="str">
            <v>EMR</v>
          </cell>
        </row>
        <row r="145">
          <cell r="B145" t="str">
            <v>PAK</v>
          </cell>
          <cell r="C145">
            <v>2023</v>
          </cell>
          <cell r="D145" t="str">
            <v>EMR</v>
          </cell>
        </row>
        <row r="146">
          <cell r="B146" t="str">
            <v>PLW</v>
          </cell>
          <cell r="C146">
            <v>2023</v>
          </cell>
          <cell r="D146" t="str">
            <v>WPR</v>
          </cell>
        </row>
        <row r="147">
          <cell r="B147" t="str">
            <v>PAN</v>
          </cell>
          <cell r="C147">
            <v>2023</v>
          </cell>
          <cell r="D147" t="str">
            <v>AMR</v>
          </cell>
        </row>
        <row r="148">
          <cell r="B148" t="str">
            <v>PNG</v>
          </cell>
          <cell r="C148">
            <v>2023</v>
          </cell>
          <cell r="D148" t="str">
            <v>WPR</v>
          </cell>
        </row>
        <row r="149">
          <cell r="B149" t="str">
            <v>PRY</v>
          </cell>
          <cell r="C149">
            <v>2023</v>
          </cell>
          <cell r="D149" t="str">
            <v>AMR</v>
          </cell>
        </row>
        <row r="150">
          <cell r="B150" t="str">
            <v>PER</v>
          </cell>
          <cell r="C150">
            <v>2023</v>
          </cell>
          <cell r="D150" t="str">
            <v>AMR</v>
          </cell>
        </row>
        <row r="151">
          <cell r="B151" t="str">
            <v>PHL</v>
          </cell>
          <cell r="C151">
            <v>2023</v>
          </cell>
          <cell r="D151" t="str">
            <v>WPR</v>
          </cell>
        </row>
        <row r="152">
          <cell r="B152" t="str">
            <v>POL</v>
          </cell>
          <cell r="C152">
            <v>2023</v>
          </cell>
          <cell r="D152" t="str">
            <v>EUR</v>
          </cell>
        </row>
        <row r="153">
          <cell r="B153" t="str">
            <v>PRT</v>
          </cell>
          <cell r="C153">
            <v>2023</v>
          </cell>
          <cell r="D153" t="str">
            <v>EUR</v>
          </cell>
        </row>
        <row r="154">
          <cell r="B154" t="str">
            <v>PRI</v>
          </cell>
          <cell r="C154">
            <v>2023</v>
          </cell>
          <cell r="D154" t="str">
            <v>AMR</v>
          </cell>
        </row>
        <row r="155">
          <cell r="B155" t="str">
            <v>QAT</v>
          </cell>
          <cell r="C155">
            <v>2023</v>
          </cell>
          <cell r="D155" t="str">
            <v>EMR</v>
          </cell>
        </row>
        <row r="156">
          <cell r="B156" t="str">
            <v>ROU</v>
          </cell>
          <cell r="C156">
            <v>2023</v>
          </cell>
          <cell r="D156" t="str">
            <v>EUR</v>
          </cell>
        </row>
        <row r="157">
          <cell r="B157" t="str">
            <v>RUS</v>
          </cell>
          <cell r="C157">
            <v>2023</v>
          </cell>
          <cell r="D157" t="str">
            <v>EUR</v>
          </cell>
        </row>
        <row r="158">
          <cell r="B158" t="str">
            <v>RWA</v>
          </cell>
          <cell r="C158">
            <v>2023</v>
          </cell>
          <cell r="D158" t="str">
            <v>AFR</v>
          </cell>
        </row>
        <row r="159">
          <cell r="B159" t="str">
            <v>KNA</v>
          </cell>
          <cell r="C159">
            <v>2023</v>
          </cell>
          <cell r="D159" t="str">
            <v>AMR</v>
          </cell>
        </row>
        <row r="160">
          <cell r="B160" t="str">
            <v>LCA</v>
          </cell>
          <cell r="C160">
            <v>2023</v>
          </cell>
          <cell r="D160" t="str">
            <v>AMR</v>
          </cell>
        </row>
        <row r="161">
          <cell r="B161" t="str">
            <v>WSM</v>
          </cell>
          <cell r="C161">
            <v>2023</v>
          </cell>
          <cell r="D161" t="str">
            <v>WPR</v>
          </cell>
        </row>
        <row r="162">
          <cell r="B162" t="str">
            <v>SMR</v>
          </cell>
          <cell r="C162">
            <v>2023</v>
          </cell>
          <cell r="D162" t="str">
            <v>EUR</v>
          </cell>
        </row>
        <row r="163">
          <cell r="B163" t="str">
            <v>STP</v>
          </cell>
          <cell r="C163">
            <v>2023</v>
          </cell>
          <cell r="D163" t="str">
            <v>AFR</v>
          </cell>
        </row>
        <row r="164">
          <cell r="B164" t="str">
            <v>SAU</v>
          </cell>
          <cell r="C164">
            <v>2023</v>
          </cell>
          <cell r="D164" t="str">
            <v>EMR</v>
          </cell>
        </row>
        <row r="165">
          <cell r="B165" t="str">
            <v>SEN</v>
          </cell>
          <cell r="C165">
            <v>2023</v>
          </cell>
          <cell r="D165" t="str">
            <v>AFR</v>
          </cell>
        </row>
        <row r="166">
          <cell r="B166" t="str">
            <v>SRB</v>
          </cell>
          <cell r="C166">
            <v>2023</v>
          </cell>
          <cell r="D166" t="str">
            <v>EUR</v>
          </cell>
        </row>
        <row r="167">
          <cell r="B167" t="str">
            <v>SYC</v>
          </cell>
          <cell r="C167">
            <v>2023</v>
          </cell>
          <cell r="D167" t="str">
            <v>AFR</v>
          </cell>
        </row>
        <row r="168">
          <cell r="B168" t="str">
            <v>SLE</v>
          </cell>
          <cell r="C168">
            <v>2023</v>
          </cell>
          <cell r="D168" t="str">
            <v>AFR</v>
          </cell>
        </row>
        <row r="169">
          <cell r="B169" t="str">
            <v>SGP</v>
          </cell>
          <cell r="C169">
            <v>2023</v>
          </cell>
          <cell r="D169" t="str">
            <v>WPR</v>
          </cell>
        </row>
        <row r="170">
          <cell r="B170" t="str">
            <v>SVK</v>
          </cell>
          <cell r="C170">
            <v>2023</v>
          </cell>
          <cell r="D170" t="str">
            <v>EUR</v>
          </cell>
        </row>
        <row r="171">
          <cell r="B171" t="str">
            <v>SVN</v>
          </cell>
          <cell r="C171">
            <v>2023</v>
          </cell>
          <cell r="D171" t="str">
            <v>EUR</v>
          </cell>
        </row>
        <row r="172">
          <cell r="B172" t="str">
            <v>SLB</v>
          </cell>
          <cell r="C172">
            <v>2023</v>
          </cell>
          <cell r="D172" t="str">
            <v>WPR</v>
          </cell>
        </row>
        <row r="173">
          <cell r="B173" t="str">
            <v>SOM</v>
          </cell>
          <cell r="C173">
            <v>2023</v>
          </cell>
          <cell r="D173" t="str">
            <v>EMR</v>
          </cell>
        </row>
        <row r="174">
          <cell r="B174" t="str">
            <v>ZAF</v>
          </cell>
          <cell r="C174">
            <v>2023</v>
          </cell>
          <cell r="D174" t="str">
            <v>AFR</v>
          </cell>
        </row>
        <row r="175">
          <cell r="B175" t="str">
            <v>KOR</v>
          </cell>
          <cell r="C175">
            <v>2023</v>
          </cell>
          <cell r="D175" t="str">
            <v>WPR</v>
          </cell>
        </row>
        <row r="176">
          <cell r="B176" t="str">
            <v>SSD</v>
          </cell>
          <cell r="C176">
            <v>2023</v>
          </cell>
          <cell r="D176" t="str">
            <v>AFR</v>
          </cell>
        </row>
        <row r="177">
          <cell r="B177" t="str">
            <v>ESP</v>
          </cell>
          <cell r="C177">
            <v>2023</v>
          </cell>
          <cell r="D177" t="str">
            <v>EUR</v>
          </cell>
        </row>
        <row r="178">
          <cell r="B178" t="str">
            <v>LKA</v>
          </cell>
          <cell r="C178">
            <v>2023</v>
          </cell>
          <cell r="D178" t="str">
            <v>SEAR</v>
          </cell>
        </row>
        <row r="179">
          <cell r="B179" t="str">
            <v>SDN</v>
          </cell>
          <cell r="C179">
            <v>2023</v>
          </cell>
          <cell r="D179" t="str">
            <v>EMR</v>
          </cell>
        </row>
        <row r="180">
          <cell r="B180" t="str">
            <v>SUR</v>
          </cell>
          <cell r="C180">
            <v>2023</v>
          </cell>
          <cell r="D180" t="str">
            <v>AMR</v>
          </cell>
        </row>
        <row r="181">
          <cell r="B181" t="str">
            <v>SWE</v>
          </cell>
          <cell r="C181">
            <v>2023</v>
          </cell>
          <cell r="D181" t="str">
            <v>EUR</v>
          </cell>
        </row>
        <row r="182">
          <cell r="B182" t="str">
            <v>CHE</v>
          </cell>
          <cell r="C182">
            <v>2023</v>
          </cell>
          <cell r="D182" t="str">
            <v>EUR</v>
          </cell>
        </row>
        <row r="183">
          <cell r="B183" t="str">
            <v>SYR</v>
          </cell>
          <cell r="C183">
            <v>2023</v>
          </cell>
          <cell r="D183" t="str">
            <v>EMR</v>
          </cell>
        </row>
        <row r="184">
          <cell r="B184" t="str">
            <v>TJK</v>
          </cell>
          <cell r="C184">
            <v>2023</v>
          </cell>
          <cell r="D184" t="str">
            <v>EUR</v>
          </cell>
        </row>
        <row r="185">
          <cell r="B185" t="str">
            <v>TZA</v>
          </cell>
          <cell r="C185">
            <v>2023</v>
          </cell>
          <cell r="D185" t="str">
            <v>AFR</v>
          </cell>
        </row>
        <row r="186">
          <cell r="B186" t="str">
            <v>THA</v>
          </cell>
          <cell r="C186">
            <v>2023</v>
          </cell>
          <cell r="D186" t="str">
            <v>SEAR</v>
          </cell>
        </row>
        <row r="187">
          <cell r="B187" t="str">
            <v>TGO</v>
          </cell>
          <cell r="C187">
            <v>2023</v>
          </cell>
          <cell r="D187" t="str">
            <v>AFR</v>
          </cell>
        </row>
        <row r="188">
          <cell r="B188" t="str">
            <v>TON</v>
          </cell>
          <cell r="C188">
            <v>2023</v>
          </cell>
          <cell r="D188" t="str">
            <v>WPR</v>
          </cell>
        </row>
        <row r="189">
          <cell r="B189" t="str">
            <v>TTO</v>
          </cell>
          <cell r="C189">
            <v>2023</v>
          </cell>
          <cell r="D189" t="str">
            <v>AMR</v>
          </cell>
        </row>
        <row r="190">
          <cell r="B190" t="str">
            <v>TUN</v>
          </cell>
          <cell r="C190">
            <v>2023</v>
          </cell>
          <cell r="D190" t="str">
            <v>EMR</v>
          </cell>
        </row>
        <row r="191">
          <cell r="B191" t="str">
            <v>TUR</v>
          </cell>
          <cell r="C191">
            <v>2023</v>
          </cell>
          <cell r="D191" t="str">
            <v>EUR</v>
          </cell>
        </row>
        <row r="192">
          <cell r="B192" t="str">
            <v>TKM</v>
          </cell>
          <cell r="C192">
            <v>2023</v>
          </cell>
          <cell r="D192" t="str">
            <v>EUR</v>
          </cell>
        </row>
        <row r="193">
          <cell r="B193" t="str">
            <v>TUV</v>
          </cell>
          <cell r="C193">
            <v>2023</v>
          </cell>
          <cell r="D193" t="str">
            <v>WPR</v>
          </cell>
        </row>
        <row r="194">
          <cell r="B194" t="str">
            <v>UGA</v>
          </cell>
          <cell r="C194">
            <v>2023</v>
          </cell>
          <cell r="D194" t="str">
            <v>AFR</v>
          </cell>
        </row>
        <row r="195">
          <cell r="B195" t="str">
            <v>UKR</v>
          </cell>
          <cell r="C195">
            <v>2023</v>
          </cell>
          <cell r="D195" t="str">
            <v>EUR</v>
          </cell>
        </row>
        <row r="196">
          <cell r="B196" t="str">
            <v>ARE</v>
          </cell>
          <cell r="C196">
            <v>2023</v>
          </cell>
          <cell r="D196" t="str">
            <v>EMR</v>
          </cell>
        </row>
        <row r="197">
          <cell r="B197" t="str">
            <v>GBR</v>
          </cell>
          <cell r="C197">
            <v>2023</v>
          </cell>
          <cell r="D197" t="str">
            <v>EUR</v>
          </cell>
        </row>
        <row r="198">
          <cell r="B198" t="str">
            <v>USA</v>
          </cell>
          <cell r="C198">
            <v>2023</v>
          </cell>
          <cell r="D198" t="str">
            <v>AMR</v>
          </cell>
        </row>
        <row r="199">
          <cell r="B199" t="str">
            <v>URY</v>
          </cell>
          <cell r="C199">
            <v>2023</v>
          </cell>
          <cell r="D199" t="str">
            <v>AMR</v>
          </cell>
        </row>
        <row r="200">
          <cell r="B200" t="str">
            <v>UZB</v>
          </cell>
          <cell r="C200">
            <v>2023</v>
          </cell>
          <cell r="D200" t="str">
            <v>EUR</v>
          </cell>
        </row>
        <row r="201">
          <cell r="B201" t="str">
            <v>VUT</v>
          </cell>
          <cell r="C201">
            <v>2023</v>
          </cell>
          <cell r="D201" t="str">
            <v>WPR</v>
          </cell>
        </row>
        <row r="202">
          <cell r="B202" t="str">
            <v>VEN</v>
          </cell>
          <cell r="C202">
            <v>2023</v>
          </cell>
          <cell r="D202" t="str">
            <v>AMR</v>
          </cell>
        </row>
        <row r="203">
          <cell r="B203" t="str">
            <v>VNM</v>
          </cell>
          <cell r="C203">
            <v>2023</v>
          </cell>
          <cell r="D203" t="str">
            <v>WPR</v>
          </cell>
        </row>
        <row r="204">
          <cell r="B204" t="str">
            <v>YEM</v>
          </cell>
          <cell r="C204">
            <v>2023</v>
          </cell>
          <cell r="D204" t="str">
            <v>EMR</v>
          </cell>
        </row>
        <row r="205">
          <cell r="B205" t="str">
            <v>ZMB</v>
          </cell>
          <cell r="C205">
            <v>2023</v>
          </cell>
          <cell r="D205" t="str">
            <v>AFR</v>
          </cell>
        </row>
        <row r="206">
          <cell r="B206" t="str">
            <v>ZWE</v>
          </cell>
          <cell r="C206">
            <v>2023</v>
          </cell>
          <cell r="D206" t="str">
            <v>AFR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Metadata - Countries"/>
      <sheetName val="Metadata - Indicators"/>
    </sheetNames>
    <sheetDataSet>
      <sheetData sheetId="0">
        <row r="1">
          <cell r="B1" t="str">
            <v>Country Code</v>
          </cell>
          <cell r="C1" t="str">
            <v>Indicator Name</v>
          </cell>
          <cell r="D1" t="str">
            <v>Indicator Code</v>
          </cell>
          <cell r="E1" t="str">
            <v>2022</v>
          </cell>
          <cell r="F1" t="str">
            <v>2023</v>
          </cell>
          <cell r="G1" t="str">
            <v>2024</v>
          </cell>
        </row>
        <row r="2">
          <cell r="B2" t="str">
            <v>ABW</v>
          </cell>
          <cell r="C2" t="str">
            <v>GDP per capita (current US$)</v>
          </cell>
          <cell r="D2" t="str">
            <v>NY.GDP.PCAP.CD</v>
          </cell>
          <cell r="E2">
            <v>30975.9989121779</v>
          </cell>
          <cell r="F2">
            <v>35718.753119163441</v>
          </cell>
          <cell r="G2">
            <v>39498.594129379671</v>
          </cell>
        </row>
        <row r="3">
          <cell r="B3" t="str">
            <v>AFE</v>
          </cell>
          <cell r="C3" t="str">
            <v>GDP per capita (current US$)</v>
          </cell>
          <cell r="D3" t="str">
            <v>NY.GDP.PCAP.CD</v>
          </cell>
          <cell r="E3">
            <v>1679.3276216646611</v>
          </cell>
          <cell r="F3">
            <v>1571.4491891898058</v>
          </cell>
          <cell r="G3">
            <v>1615.3963556284921</v>
          </cell>
        </row>
        <row r="4">
          <cell r="B4" t="str">
            <v>AFG</v>
          </cell>
          <cell r="C4" t="str">
            <v>GDP per capita (current US$)</v>
          </cell>
          <cell r="D4" t="str">
            <v>NY.GDP.PCAP.CD</v>
          </cell>
          <cell r="E4">
            <v>357.26115279814388</v>
          </cell>
          <cell r="F4">
            <v>413.75789470530316</v>
          </cell>
        </row>
        <row r="5">
          <cell r="B5" t="str">
            <v>AFW</v>
          </cell>
          <cell r="C5" t="str">
            <v>GDP per capita (current US$)</v>
          </cell>
          <cell r="D5" t="str">
            <v>NY.GDP.PCAP.CD</v>
          </cell>
          <cell r="E5">
            <v>2138.4731525991306</v>
          </cell>
          <cell r="F5">
            <v>1841.8550635486711</v>
          </cell>
          <cell r="G5">
            <v>1411.3370293847581</v>
          </cell>
        </row>
        <row r="6">
          <cell r="B6" t="str">
            <v>AGO</v>
          </cell>
          <cell r="C6" t="str">
            <v>GDP per capita (current US$)</v>
          </cell>
          <cell r="D6" t="str">
            <v>NY.GDP.PCAP.CD</v>
          </cell>
          <cell r="E6">
            <v>3682.1131513697969</v>
          </cell>
          <cell r="F6">
            <v>2916.1366328427462</v>
          </cell>
          <cell r="G6">
            <v>2665.8744477675268</v>
          </cell>
        </row>
        <row r="7">
          <cell r="B7" t="str">
            <v>ALB</v>
          </cell>
          <cell r="C7" t="str">
            <v>GDP per capita (current US$)</v>
          </cell>
          <cell r="D7" t="str">
            <v>NY.GDP.PCAP.CD</v>
          </cell>
          <cell r="E7">
            <v>7756.9618874425323</v>
          </cell>
          <cell r="F7">
            <v>9730.8692190689344</v>
          </cell>
          <cell r="G7">
            <v>11377.775743109876</v>
          </cell>
        </row>
        <row r="8">
          <cell r="B8" t="str">
            <v>AND</v>
          </cell>
          <cell r="C8" t="str">
            <v>GDP per capita (current US$)</v>
          </cell>
          <cell r="D8" t="str">
            <v>NY.GDP.PCAP.CD</v>
          </cell>
          <cell r="E8">
            <v>42414.047986122772</v>
          </cell>
          <cell r="F8">
            <v>46812.426101310244</v>
          </cell>
          <cell r="G8">
            <v>49303.64916743357</v>
          </cell>
        </row>
        <row r="9">
          <cell r="B9" t="str">
            <v>ARB</v>
          </cell>
          <cell r="C9" t="str">
            <v>GDP per capita (current US$)</v>
          </cell>
          <cell r="D9" t="str">
            <v>NY.GDP.PCAP.CD</v>
          </cell>
          <cell r="E9">
            <v>7950.3558197567245</v>
          </cell>
          <cell r="F9">
            <v>7513.8990788074907</v>
          </cell>
          <cell r="G9">
            <v>7583.8117007814471</v>
          </cell>
        </row>
        <row r="10">
          <cell r="B10" t="str">
            <v>ARE</v>
          </cell>
          <cell r="C10" t="str">
            <v>GDP per capita (current US$)</v>
          </cell>
          <cell r="D10" t="str">
            <v>NY.GDP.PCAP.CD</v>
          </cell>
          <cell r="E10">
            <v>50759.758923119138</v>
          </cell>
          <cell r="F10">
            <v>49850.687217516395</v>
          </cell>
          <cell r="G10">
            <v>50273.506046983675</v>
          </cell>
        </row>
        <row r="11">
          <cell r="B11" t="str">
            <v>ARG</v>
          </cell>
          <cell r="C11" t="str">
            <v>GDP per capita (current US$)</v>
          </cell>
          <cell r="D11" t="str">
            <v>NY.GDP.PCAP.CD</v>
          </cell>
          <cell r="E11">
            <v>13962.189408722319</v>
          </cell>
          <cell r="F11">
            <v>14261.846566794789</v>
          </cell>
          <cell r="G11">
            <v>13969.78366037374</v>
          </cell>
        </row>
        <row r="12">
          <cell r="B12" t="str">
            <v>ARM</v>
          </cell>
          <cell r="C12" t="str">
            <v>GDP per capita (current US$)</v>
          </cell>
          <cell r="D12" t="str">
            <v>NY.GDP.PCAP.CD</v>
          </cell>
          <cell r="E12">
            <v>6571.974455450988</v>
          </cell>
          <cell r="F12">
            <v>8159.0872096799585</v>
          </cell>
          <cell r="G12">
            <v>8556.2140695671933</v>
          </cell>
        </row>
        <row r="13">
          <cell r="B13" t="str">
            <v>ASM</v>
          </cell>
          <cell r="C13" t="str">
            <v>GDP per capita (current US$)</v>
          </cell>
          <cell r="D13" t="str">
            <v>NY.GDP.PCAP.CD</v>
          </cell>
          <cell r="E13">
            <v>18017.458938397252</v>
          </cell>
        </row>
        <row r="14">
          <cell r="B14" t="str">
            <v>ATG</v>
          </cell>
          <cell r="C14" t="str">
            <v>GDP per capita (current US$)</v>
          </cell>
          <cell r="D14" t="str">
            <v>NY.GDP.PCAP.CD</v>
          </cell>
          <cell r="E14">
            <v>20105.198908516442</v>
          </cell>
          <cell r="F14">
            <v>21494.547400072708</v>
          </cell>
          <cell r="G14">
            <v>23542.452694557796</v>
          </cell>
        </row>
        <row r="15">
          <cell r="B15" t="str">
            <v>AUS</v>
          </cell>
          <cell r="C15" t="str">
            <v>GDP per capita (current US$)</v>
          </cell>
          <cell r="D15" t="str">
            <v>NY.GDP.PCAP.CD</v>
          </cell>
          <cell r="E15">
            <v>65169.519111865666</v>
          </cell>
          <cell r="F15">
            <v>65058.37731466737</v>
          </cell>
          <cell r="G15">
            <v>64603.985630846415</v>
          </cell>
        </row>
        <row r="16">
          <cell r="B16" t="str">
            <v>AUT</v>
          </cell>
          <cell r="C16" t="str">
            <v>GDP per capita (current US$)</v>
          </cell>
          <cell r="D16" t="str">
            <v>NY.GDP.PCAP.CD</v>
          </cell>
          <cell r="E16">
            <v>52336.772522375766</v>
          </cell>
          <cell r="F16">
            <v>56579.504175467991</v>
          </cell>
          <cell r="G16">
            <v>58268.878765160116</v>
          </cell>
        </row>
        <row r="17">
          <cell r="B17" t="str">
            <v>AZE</v>
          </cell>
          <cell r="C17" t="str">
            <v>GDP per capita (current US$)</v>
          </cell>
          <cell r="D17" t="str">
            <v>NY.GDP.PCAP.CD</v>
          </cell>
          <cell r="E17">
            <v>7770.5942233509959</v>
          </cell>
          <cell r="F17">
            <v>7133.0283804832843</v>
          </cell>
          <cell r="G17">
            <v>7283.8499076179041</v>
          </cell>
        </row>
        <row r="18">
          <cell r="B18" t="str">
            <v>BDI</v>
          </cell>
          <cell r="C18" t="str">
            <v>GDP per capita (current US$)</v>
          </cell>
          <cell r="D18" t="str">
            <v>NY.GDP.PCAP.CD</v>
          </cell>
          <cell r="E18">
            <v>302.99250526355235</v>
          </cell>
          <cell r="F18">
            <v>250.62725309725457</v>
          </cell>
          <cell r="G18">
            <v>219.42483088269827</v>
          </cell>
        </row>
        <row r="19">
          <cell r="B19" t="str">
            <v>BEL</v>
          </cell>
          <cell r="C19" t="str">
            <v>GDP per capita (current US$)</v>
          </cell>
          <cell r="D19" t="str">
            <v>NY.GDP.PCAP.CD</v>
          </cell>
          <cell r="E19">
            <v>50605.749667708616</v>
          </cell>
          <cell r="F19">
            <v>55291.475454132938</v>
          </cell>
          <cell r="G19">
            <v>56614.567949903583</v>
          </cell>
        </row>
        <row r="20">
          <cell r="B20" t="str">
            <v>BEN</v>
          </cell>
          <cell r="C20" t="str">
            <v>GDP per capita (current US$)</v>
          </cell>
          <cell r="D20" t="str">
            <v>NY.GDP.PCAP.CD</v>
          </cell>
          <cell r="E20">
            <v>1266.4271103190442</v>
          </cell>
          <cell r="F20">
            <v>1394.1778472183137</v>
          </cell>
          <cell r="G20">
            <v>1485.3801888513431</v>
          </cell>
        </row>
        <row r="21">
          <cell r="B21" t="str">
            <v>BFA</v>
          </cell>
          <cell r="C21" t="str">
            <v>GDP per capita (current US$)</v>
          </cell>
          <cell r="D21" t="str">
            <v>NY.GDP.PCAP.CD</v>
          </cell>
          <cell r="E21">
            <v>827.33084348666114</v>
          </cell>
          <cell r="F21">
            <v>873.48258965100251</v>
          </cell>
          <cell r="G21">
            <v>981.99264976908148</v>
          </cell>
        </row>
        <row r="22">
          <cell r="B22" t="str">
            <v>BGD</v>
          </cell>
          <cell r="C22" t="str">
            <v>GDP per capita (current US$)</v>
          </cell>
          <cell r="D22" t="str">
            <v>NY.GDP.PCAP.CD</v>
          </cell>
          <cell r="E22">
            <v>2716.4859278043114</v>
          </cell>
          <cell r="F22">
            <v>2551.017738273069</v>
          </cell>
          <cell r="G22">
            <v>2593.4161168077444</v>
          </cell>
        </row>
        <row r="23">
          <cell r="B23" t="str">
            <v>BGR</v>
          </cell>
          <cell r="C23" t="str">
            <v>GDP per capita (current US$)</v>
          </cell>
          <cell r="D23" t="str">
            <v>NY.GDP.PCAP.CD</v>
          </cell>
          <cell r="E23">
            <v>13999.194953095564</v>
          </cell>
          <cell r="F23">
            <v>15853.208636704016</v>
          </cell>
          <cell r="G23">
            <v>17596.017366352113</v>
          </cell>
        </row>
        <row r="24">
          <cell r="B24" t="str">
            <v>BHR</v>
          </cell>
          <cell r="C24" t="str">
            <v>GDP per capita (current US$)</v>
          </cell>
          <cell r="D24" t="str">
            <v>NY.GDP.PCAP.CD</v>
          </cell>
          <cell r="E24">
            <v>30470.52192760228</v>
          </cell>
          <cell r="F24">
            <v>29290.128421509831</v>
          </cell>
          <cell r="G24">
            <v>29653.568273153414</v>
          </cell>
        </row>
        <row r="25">
          <cell r="B25" t="str">
            <v>BHS</v>
          </cell>
          <cell r="C25" t="str">
            <v>GDP per capita (current US$)</v>
          </cell>
          <cell r="D25" t="str">
            <v>NY.GDP.PCAP.CD</v>
          </cell>
          <cell r="E25">
            <v>34957.161327973678</v>
          </cell>
          <cell r="F25">
            <v>38231.774484277987</v>
          </cell>
          <cell r="G25">
            <v>39455.446654854553</v>
          </cell>
        </row>
        <row r="26">
          <cell r="B26" t="str">
            <v>BIH</v>
          </cell>
          <cell r="C26" t="str">
            <v>GDP per capita (current US$)</v>
          </cell>
          <cell r="D26" t="str">
            <v>NY.GDP.PCAP.CD</v>
          </cell>
          <cell r="E26">
            <v>7655.5942102438285</v>
          </cell>
          <cell r="F26">
            <v>8663.0232645862925</v>
          </cell>
          <cell r="G26">
            <v>9358.7876895113404</v>
          </cell>
        </row>
        <row r="27">
          <cell r="B27" t="str">
            <v>BLR</v>
          </cell>
          <cell r="C27" t="str">
            <v>GDP per capita (current US$)</v>
          </cell>
          <cell r="D27" t="str">
            <v>NY.GDP.PCAP.CD</v>
          </cell>
          <cell r="E27">
            <v>7994.6480607488857</v>
          </cell>
          <cell r="F27">
            <v>7896.7538829558362</v>
          </cell>
          <cell r="G27">
            <v>8317.6339991379209</v>
          </cell>
        </row>
        <row r="28">
          <cell r="B28" t="str">
            <v>BLZ</v>
          </cell>
          <cell r="C28" t="str">
            <v>GDP per capita (current US$)</v>
          </cell>
          <cell r="D28" t="str">
            <v>NY.GDP.PCAP.CD</v>
          </cell>
          <cell r="E28">
            <v>7068.2172804314523</v>
          </cell>
          <cell r="F28">
            <v>7424.7582132102179</v>
          </cell>
          <cell r="G28">
            <v>7681.2440058311277</v>
          </cell>
        </row>
        <row r="29">
          <cell r="B29" t="str">
            <v>BMU</v>
          </cell>
          <cell r="C29" t="str">
            <v>GDP per capita (current US$)</v>
          </cell>
          <cell r="D29" t="str">
            <v>NY.GDP.PCAP.CD</v>
          </cell>
          <cell r="E29">
            <v>121613.9399836291</v>
          </cell>
          <cell r="F29">
            <v>132604.43908621595</v>
          </cell>
          <cell r="G29">
            <v>142855.37471378178</v>
          </cell>
        </row>
        <row r="30">
          <cell r="B30" t="str">
            <v>BOL</v>
          </cell>
          <cell r="C30" t="str">
            <v>GDP per capita (current US$)</v>
          </cell>
          <cell r="D30" t="str">
            <v>NY.GDP.PCAP.CD</v>
          </cell>
          <cell r="E30">
            <v>4219.4611374244541</v>
          </cell>
          <cell r="F30">
            <v>4274.7082054761304</v>
          </cell>
          <cell r="G30">
            <v>4421.1660988999884</v>
          </cell>
        </row>
        <row r="31">
          <cell r="B31" t="str">
            <v>BRA</v>
          </cell>
          <cell r="C31" t="str">
            <v>GDP per capita (current US$)</v>
          </cell>
          <cell r="D31" t="str">
            <v>NY.GDP.PCAP.CD</v>
          </cell>
          <cell r="E31">
            <v>9281.3328213686418</v>
          </cell>
          <cell r="F31">
            <v>10377.58977191948</v>
          </cell>
          <cell r="G31">
            <v>10310.548877816553</v>
          </cell>
        </row>
        <row r="32">
          <cell r="B32" t="str">
            <v>BRB</v>
          </cell>
          <cell r="C32" t="str">
            <v>GDP per capita (current US$)</v>
          </cell>
          <cell r="D32" t="str">
            <v>NY.GDP.PCAP.CD</v>
          </cell>
          <cell r="E32">
            <v>24387.038729376094</v>
          </cell>
          <cell r="F32">
            <v>25583.878782726963</v>
          </cell>
          <cell r="G32">
            <v>26544.870728262063</v>
          </cell>
        </row>
        <row r="33">
          <cell r="B33" t="str">
            <v>BRN</v>
          </cell>
          <cell r="C33" t="str">
            <v>GDP per capita (current US$)</v>
          </cell>
          <cell r="D33" t="str">
            <v>NY.GDP.PCAP.CD</v>
          </cell>
          <cell r="E33">
            <v>36632.928095215539</v>
          </cell>
          <cell r="F33">
            <v>32890.549181201932</v>
          </cell>
          <cell r="G33">
            <v>33153.473891351328</v>
          </cell>
        </row>
        <row r="34">
          <cell r="B34" t="str">
            <v>BTN</v>
          </cell>
          <cell r="C34" t="str">
            <v>GDP per capita (current US$)</v>
          </cell>
          <cell r="D34" t="str">
            <v>NY.GDP.PCAP.CD</v>
          </cell>
          <cell r="E34">
            <v>3711.3276798159091</v>
          </cell>
          <cell r="F34">
            <v>3831.3253549460869</v>
          </cell>
        </row>
        <row r="35">
          <cell r="B35" t="str">
            <v>BWA</v>
          </cell>
          <cell r="C35" t="str">
            <v>GDP per capita (current US$)</v>
          </cell>
          <cell r="D35" t="str">
            <v>NY.GDP.PCAP.CD</v>
          </cell>
          <cell r="E35">
            <v>8328.7090572666002</v>
          </cell>
          <cell r="F35">
            <v>7826.353764832983</v>
          </cell>
          <cell r="G35">
            <v>7695.7531944516504</v>
          </cell>
        </row>
        <row r="36">
          <cell r="B36" t="str">
            <v>CAF</v>
          </cell>
          <cell r="C36" t="str">
            <v>GDP per capita (current US$)</v>
          </cell>
          <cell r="D36" t="str">
            <v>NY.GDP.PCAP.CD</v>
          </cell>
          <cell r="E36">
            <v>467.35982502623835</v>
          </cell>
          <cell r="F36">
            <v>495.97889728872059</v>
          </cell>
          <cell r="G36">
            <v>516.16099999603625</v>
          </cell>
        </row>
        <row r="37">
          <cell r="B37" t="str">
            <v>CAN</v>
          </cell>
          <cell r="C37" t="str">
            <v>GDP per capita (current US$)</v>
          </cell>
          <cell r="D37" t="str">
            <v>NY.GDP.PCAP.CD</v>
          </cell>
          <cell r="E37">
            <v>56256.800726401452</v>
          </cell>
          <cell r="F37">
            <v>54220.328503987526</v>
          </cell>
          <cell r="G37">
            <v>54340.347722473263</v>
          </cell>
        </row>
        <row r="38">
          <cell r="B38" t="str">
            <v>CEB</v>
          </cell>
          <cell r="C38" t="str">
            <v>GDP per capita (current US$)</v>
          </cell>
          <cell r="D38" t="str">
            <v>NY.GDP.PCAP.CD</v>
          </cell>
          <cell r="E38">
            <v>19530.155323217219</v>
          </cell>
          <cell r="F38">
            <v>22690.373617421632</v>
          </cell>
          <cell r="G38">
            <v>24604.806859560391</v>
          </cell>
        </row>
        <row r="39">
          <cell r="B39" t="str">
            <v>CHE</v>
          </cell>
          <cell r="C39" t="str">
            <v>GDP per capita (current US$)</v>
          </cell>
          <cell r="D39" t="str">
            <v>NY.GDP.PCAP.CD</v>
          </cell>
          <cell r="E39">
            <v>94394.510680352454</v>
          </cell>
          <cell r="F39">
            <v>100623.54962729648</v>
          </cell>
          <cell r="G39">
            <v>103998.18668560409</v>
          </cell>
        </row>
        <row r="40">
          <cell r="B40" t="str">
            <v>CHI</v>
          </cell>
          <cell r="C40" t="str">
            <v>GDP per capita (current US$)</v>
          </cell>
          <cell r="D40" t="str">
            <v>NY.GDP.PCAP.CD</v>
          </cell>
          <cell r="E40">
            <v>67627.141734790697</v>
          </cell>
          <cell r="F40">
            <v>74585.522409629426</v>
          </cell>
        </row>
        <row r="41">
          <cell r="B41" t="str">
            <v>CHL</v>
          </cell>
          <cell r="C41" t="str">
            <v>GDP per capita (current US$)</v>
          </cell>
          <cell r="D41" t="str">
            <v>NY.GDP.PCAP.CD</v>
          </cell>
          <cell r="E41">
            <v>15405.616577407298</v>
          </cell>
          <cell r="F41">
            <v>17067.036479915365</v>
          </cell>
          <cell r="G41">
            <v>16709.889397230672</v>
          </cell>
        </row>
        <row r="42">
          <cell r="B42" t="str">
            <v>CHN</v>
          </cell>
          <cell r="C42" t="str">
            <v>GDP per capita (current US$)</v>
          </cell>
          <cell r="D42" t="str">
            <v>NY.GDP.PCAP.CD</v>
          </cell>
          <cell r="E42">
            <v>12970.605641432652</v>
          </cell>
          <cell r="F42">
            <v>12951.178239704273</v>
          </cell>
          <cell r="G42">
            <v>13303.148154386816</v>
          </cell>
        </row>
        <row r="43">
          <cell r="B43" t="str">
            <v>CIV</v>
          </cell>
          <cell r="C43" t="str">
            <v>GDP per capita (current US$)</v>
          </cell>
          <cell r="D43" t="str">
            <v>NY.GDP.PCAP.CD</v>
          </cell>
          <cell r="E43">
            <v>2333.3712830125887</v>
          </cell>
          <cell r="F43">
            <v>2591.9659048118979</v>
          </cell>
          <cell r="G43">
            <v>2727.8935220697044</v>
          </cell>
        </row>
        <row r="44">
          <cell r="B44" t="str">
            <v>CMR</v>
          </cell>
          <cell r="C44" t="str">
            <v>GDP per capita (current US$)</v>
          </cell>
          <cell r="D44" t="str">
            <v>NY.GDP.PCAP.CD</v>
          </cell>
          <cell r="E44">
            <v>1604.8772695489472</v>
          </cell>
          <cell r="F44">
            <v>1720.4751015450624</v>
          </cell>
          <cell r="G44">
            <v>1830.0083368472697</v>
          </cell>
        </row>
        <row r="45">
          <cell r="B45" t="str">
            <v>COD</v>
          </cell>
          <cell r="C45" t="str">
            <v>GDP per capita (current US$)</v>
          </cell>
          <cell r="D45" t="str">
            <v>NY.GDP.PCAP.CD</v>
          </cell>
          <cell r="E45">
            <v>687.73858755468507</v>
          </cell>
          <cell r="F45">
            <v>660.21205238997027</v>
          </cell>
          <cell r="G45">
            <v>649.38333855672454</v>
          </cell>
        </row>
        <row r="46">
          <cell r="B46" t="str">
            <v>COG</v>
          </cell>
          <cell r="C46" t="str">
            <v>GDP per capita (current US$)</v>
          </cell>
          <cell r="D46" t="str">
            <v>NY.GDP.PCAP.CD</v>
          </cell>
          <cell r="E46">
            <v>2620.8380426740187</v>
          </cell>
          <cell r="F46">
            <v>2477.9784554486619</v>
          </cell>
          <cell r="G46">
            <v>2482.2489948455991</v>
          </cell>
        </row>
        <row r="47">
          <cell r="B47" t="str">
            <v>COL</v>
          </cell>
          <cell r="C47" t="str">
            <v>GDP per capita (current US$)</v>
          </cell>
          <cell r="D47" t="str">
            <v>NY.GDP.PCAP.CD</v>
          </cell>
          <cell r="E47">
            <v>6680.4450685448091</v>
          </cell>
          <cell r="F47">
            <v>7000.8366050104623</v>
          </cell>
          <cell r="G47">
            <v>7919.2088682534495</v>
          </cell>
        </row>
        <row r="48">
          <cell r="B48" t="str">
            <v>COM</v>
          </cell>
          <cell r="C48" t="str">
            <v>GDP per capita (current US$)</v>
          </cell>
          <cell r="D48" t="str">
            <v>NY.GDP.PCAP.CD</v>
          </cell>
          <cell r="E48">
            <v>1465.4796428619959</v>
          </cell>
          <cell r="F48">
            <v>1560.2737847685466</v>
          </cell>
          <cell r="G48">
            <v>1662.7566331250366</v>
          </cell>
        </row>
        <row r="49">
          <cell r="B49" t="str">
            <v>CPV</v>
          </cell>
          <cell r="C49" t="str">
            <v>GDP per capita (current US$)</v>
          </cell>
          <cell r="D49" t="str">
            <v>NY.GDP.PCAP.CD</v>
          </cell>
          <cell r="E49">
            <v>4323.3136203270869</v>
          </cell>
          <cell r="F49">
            <v>4794.901219172586</v>
          </cell>
          <cell r="G49">
            <v>5192.4815732587813</v>
          </cell>
        </row>
        <row r="50">
          <cell r="B50" t="str">
            <v>CRI</v>
          </cell>
          <cell r="C50" t="str">
            <v>GDP per capita (current US$)</v>
          </cell>
          <cell r="D50" t="str">
            <v>NY.GDP.PCAP.CD</v>
          </cell>
          <cell r="E50">
            <v>13625.900849132848</v>
          </cell>
          <cell r="F50">
            <v>16942.026811937547</v>
          </cell>
          <cell r="G50">
            <v>18587.153220348158</v>
          </cell>
        </row>
        <row r="51">
          <cell r="B51" t="str">
            <v>CSS</v>
          </cell>
          <cell r="C51" t="str">
            <v>GDP per capita (current US$)</v>
          </cell>
          <cell r="D51" t="str">
            <v>NY.GDP.PCAP.CD</v>
          </cell>
          <cell r="E51">
            <v>17456.308484567646</v>
          </cell>
          <cell r="F51">
            <v>17596.54042496124</v>
          </cell>
          <cell r="G51">
            <v>19903.811231190757</v>
          </cell>
        </row>
        <row r="52">
          <cell r="B52" t="str">
            <v>CUB</v>
          </cell>
          <cell r="C52" t="str">
            <v>GDP per capita (current US$)</v>
          </cell>
          <cell r="D52" t="str">
            <v>NY.GDP.PCAP.CD</v>
          </cell>
        </row>
        <row r="53">
          <cell r="B53" t="str">
            <v>CUW</v>
          </cell>
          <cell r="C53" t="str">
            <v>GDP per capita (current US$)</v>
          </cell>
          <cell r="D53" t="str">
            <v>NY.GDP.PCAP.CD</v>
          </cell>
          <cell r="E53">
            <v>20057.140474717537</v>
          </cell>
          <cell r="F53">
            <v>21217.811032178481</v>
          </cell>
          <cell r="G53">
            <v>22832.895395866653</v>
          </cell>
        </row>
        <row r="54">
          <cell r="B54" t="str">
            <v>CYM</v>
          </cell>
          <cell r="C54" t="str">
            <v>GDP per capita (current US$)</v>
          </cell>
          <cell r="D54" t="str">
            <v>NY.GDP.PCAP.CD</v>
          </cell>
          <cell r="E54">
            <v>93030.705144780324</v>
          </cell>
          <cell r="F54">
            <v>99143.518024312303</v>
          </cell>
        </row>
        <row r="55">
          <cell r="B55" t="str">
            <v>CYP</v>
          </cell>
          <cell r="C55" t="str">
            <v>GDP per capita (current US$)</v>
          </cell>
          <cell r="D55" t="str">
            <v>NY.GDP.PCAP.CD</v>
          </cell>
          <cell r="E55">
            <v>33231.04296875</v>
          </cell>
          <cell r="F55">
            <v>36623.69140625</v>
          </cell>
          <cell r="G55">
            <v>38674.29296875</v>
          </cell>
        </row>
        <row r="56">
          <cell r="B56" t="str">
            <v>CZE</v>
          </cell>
          <cell r="C56" t="str">
            <v>GDP per capita (current US$)</v>
          </cell>
          <cell r="D56" t="str">
            <v>NY.GDP.PCAP.CD</v>
          </cell>
          <cell r="E56">
            <v>28282.223671585671</v>
          </cell>
          <cell r="F56">
            <v>31761.594410249065</v>
          </cell>
          <cell r="G56">
            <v>31823.307829056383</v>
          </cell>
        </row>
        <row r="57">
          <cell r="B57" t="str">
            <v>DEU</v>
          </cell>
          <cell r="C57" t="str">
            <v>GDP per capita (current US$)</v>
          </cell>
          <cell r="D57" t="str">
            <v>NY.GDP.PCAP.CD</v>
          </cell>
          <cell r="E57">
            <v>50506.517963854327</v>
          </cell>
          <cell r="F57">
            <v>54776.766823549093</v>
          </cell>
          <cell r="G57">
            <v>56103.732318255446</v>
          </cell>
        </row>
        <row r="58">
          <cell r="B58" t="str">
            <v>DJI</v>
          </cell>
          <cell r="C58" t="str">
            <v>GDP per capita (current US$)</v>
          </cell>
          <cell r="D58" t="str">
            <v>NY.GDP.PCAP.CD</v>
          </cell>
          <cell r="E58">
            <v>3133.2577977246297</v>
          </cell>
          <cell r="F58">
            <v>3381.2977971072178</v>
          </cell>
          <cell r="G58">
            <v>3552.7233507922178</v>
          </cell>
        </row>
        <row r="59">
          <cell r="B59" t="str">
            <v>DMA</v>
          </cell>
          <cell r="C59" t="str">
            <v>GDP per capita (current US$)</v>
          </cell>
          <cell r="D59" t="str">
            <v>NY.GDP.PCAP.CD</v>
          </cell>
          <cell r="E59">
            <v>9323.660894905619</v>
          </cell>
          <cell r="F59">
            <v>9912.9621276666821</v>
          </cell>
          <cell r="G59">
            <v>10405.278777758196</v>
          </cell>
        </row>
        <row r="60">
          <cell r="B60" t="str">
            <v>DNK</v>
          </cell>
          <cell r="C60" t="str">
            <v>GDP per capita (current US$)</v>
          </cell>
          <cell r="D60" t="str">
            <v>NY.GDP.PCAP.CD</v>
          </cell>
          <cell r="E60">
            <v>67781.094093951397</v>
          </cell>
          <cell r="F60">
            <v>68043.546697124315</v>
          </cell>
          <cell r="G60">
            <v>71026.483227189703</v>
          </cell>
        </row>
        <row r="61">
          <cell r="B61" t="str">
            <v>DOM</v>
          </cell>
          <cell r="C61" t="str">
            <v>GDP per capita (current US$)</v>
          </cell>
          <cell r="D61" t="str">
            <v>NY.GDP.PCAP.CD</v>
          </cell>
          <cell r="E61">
            <v>10104.244934908073</v>
          </cell>
          <cell r="F61">
            <v>10630.431743829022</v>
          </cell>
          <cell r="G61">
            <v>10875.661844309196</v>
          </cell>
        </row>
        <row r="62">
          <cell r="B62" t="str">
            <v>DZA</v>
          </cell>
          <cell r="C62" t="str">
            <v>GDP per capita (current US$)</v>
          </cell>
          <cell r="D62" t="str">
            <v>NY.GDP.PCAP.CD</v>
          </cell>
          <cell r="E62">
            <v>4960.3033433288756</v>
          </cell>
          <cell r="F62">
            <v>5370.4772350780049</v>
          </cell>
          <cell r="G62">
            <v>5752.9907665146548</v>
          </cell>
        </row>
        <row r="63">
          <cell r="B63" t="str">
            <v>EAP</v>
          </cell>
          <cell r="C63" t="str">
            <v>GDP per capita (current US$)</v>
          </cell>
          <cell r="D63" t="str">
            <v>NY.GDP.PCAP.CD</v>
          </cell>
          <cell r="E63">
            <v>10106.993597781371</v>
          </cell>
          <cell r="F63">
            <v>10125.909520864456</v>
          </cell>
          <cell r="G63">
            <v>10396.795740505122</v>
          </cell>
        </row>
        <row r="64">
          <cell r="B64" t="str">
            <v>EAR</v>
          </cell>
          <cell r="C64" t="str">
            <v>GDP per capita (current US$)</v>
          </cell>
          <cell r="D64" t="str">
            <v>NY.GDP.PCAP.CD</v>
          </cell>
          <cell r="E64">
            <v>4043.8277633156822</v>
          </cell>
          <cell r="F64">
            <v>4252.5973341578556</v>
          </cell>
          <cell r="G64">
            <v>4450.1871193738525</v>
          </cell>
        </row>
        <row r="65">
          <cell r="B65" t="str">
            <v>EAS</v>
          </cell>
          <cell r="C65" t="str">
            <v>GDP per capita (current US$)</v>
          </cell>
          <cell r="D65" t="str">
            <v>NY.GDP.PCAP.CD</v>
          </cell>
          <cell r="E65">
            <v>13139.210981361151</v>
          </cell>
          <cell r="F65">
            <v>13176.178605563478</v>
          </cell>
          <cell r="G65">
            <v>13405.735673015028</v>
          </cell>
        </row>
        <row r="66">
          <cell r="B66" t="str">
            <v>ECA</v>
          </cell>
          <cell r="C66" t="str">
            <v>GDP per capita (current US$)</v>
          </cell>
          <cell r="D66" t="str">
            <v>NY.GDP.PCAP.CD</v>
          </cell>
          <cell r="E66">
            <v>7266.0224315419955</v>
          </cell>
          <cell r="F66">
            <v>8617.0484098632951</v>
          </cell>
          <cell r="G66">
            <v>9793.6920580943188</v>
          </cell>
        </row>
        <row r="67">
          <cell r="B67" t="str">
            <v>ECS</v>
          </cell>
          <cell r="C67" t="str">
            <v>GDP per capita (current US$)</v>
          </cell>
          <cell r="D67" t="str">
            <v>NY.GDP.PCAP.CD</v>
          </cell>
          <cell r="E67">
            <v>27913.588233164472</v>
          </cell>
          <cell r="F67">
            <v>29988.902290310831</v>
          </cell>
          <cell r="G67">
            <v>31555.520789065689</v>
          </cell>
        </row>
        <row r="68">
          <cell r="B68" t="str">
            <v>ECU</v>
          </cell>
          <cell r="C68" t="str">
            <v>GDP per capita (current US$)</v>
          </cell>
          <cell r="D68" t="str">
            <v>NY.GDP.PCAP.CD</v>
          </cell>
          <cell r="E68">
            <v>6515.5852841833639</v>
          </cell>
          <cell r="F68">
            <v>6737.8474837963759</v>
          </cell>
          <cell r="G68">
            <v>6874.7057397659992</v>
          </cell>
        </row>
        <row r="69">
          <cell r="B69" t="str">
            <v>EGY</v>
          </cell>
          <cell r="C69" t="str">
            <v>GDP per capita (current US$)</v>
          </cell>
          <cell r="D69" t="str">
            <v>NY.GDP.PCAP.CD</v>
          </cell>
          <cell r="E69">
            <v>4233.3078374485631</v>
          </cell>
          <cell r="F69">
            <v>3456.7896845625296</v>
          </cell>
          <cell r="G69">
            <v>3338.4737139589452</v>
          </cell>
        </row>
        <row r="70">
          <cell r="B70" t="str">
            <v>EMU</v>
          </cell>
          <cell r="C70" t="str">
            <v>GDP per capita (current US$)</v>
          </cell>
          <cell r="D70" t="str">
            <v>NY.GDP.PCAP.CD</v>
          </cell>
          <cell r="E70">
            <v>41608.712327559799</v>
          </cell>
          <cell r="F70">
            <v>45330.109301576798</v>
          </cell>
          <cell r="G70">
            <v>46945.418823442749</v>
          </cell>
        </row>
        <row r="71">
          <cell r="B71" t="str">
            <v>ERI</v>
          </cell>
          <cell r="C71" t="str">
            <v>GDP per capita (current US$)</v>
          </cell>
          <cell r="D71" t="str">
            <v>NY.GDP.PCAP.CD</v>
          </cell>
        </row>
        <row r="72">
          <cell r="B72" t="str">
            <v>ESP</v>
          </cell>
          <cell r="C72" t="str">
            <v>GDP per capita (current US$)</v>
          </cell>
          <cell r="D72" t="str">
            <v>NY.GDP.PCAP.CD</v>
          </cell>
          <cell r="E72">
            <v>30319.498719661635</v>
          </cell>
          <cell r="F72">
            <v>33493.222540911127</v>
          </cell>
          <cell r="G72">
            <v>35326.768306927806</v>
          </cell>
        </row>
        <row r="73">
          <cell r="B73" t="str">
            <v>EST</v>
          </cell>
          <cell r="C73" t="str">
            <v>GDP per capita (current US$)</v>
          </cell>
          <cell r="D73" t="str">
            <v>NY.GDP.PCAP.CD</v>
          </cell>
          <cell r="E73">
            <v>28340.382654940564</v>
          </cell>
          <cell r="F73">
            <v>30264.006488505736</v>
          </cell>
          <cell r="G73">
            <v>31428.354781610396</v>
          </cell>
        </row>
        <row r="74">
          <cell r="B74" t="str">
            <v>ETH</v>
          </cell>
          <cell r="C74" t="str">
            <v>GDP per capita (current US$)</v>
          </cell>
          <cell r="D74" t="str">
            <v>NY.GDP.PCAP.CD</v>
          </cell>
          <cell r="E74">
            <v>982.10316150699168</v>
          </cell>
          <cell r="F74">
            <v>1055.8109159252658</v>
          </cell>
          <cell r="G74">
            <v>1133.8827968171868</v>
          </cell>
        </row>
        <row r="75">
          <cell r="B75" t="str">
            <v>EUU</v>
          </cell>
          <cell r="C75" t="str">
            <v>GDP per capita (current US$)</v>
          </cell>
          <cell r="D75" t="str">
            <v>NY.GDP.PCAP.CD</v>
          </cell>
          <cell r="E75">
            <v>38066.884489262382</v>
          </cell>
          <cell r="F75">
            <v>41566.574110078524</v>
          </cell>
          <cell r="G75">
            <v>43304.964256133113</v>
          </cell>
        </row>
        <row r="76">
          <cell r="B76" t="str">
            <v>FCS</v>
          </cell>
          <cell r="C76" t="str">
            <v>GDP per capita (current US$)</v>
          </cell>
          <cell r="D76" t="str">
            <v>NY.GDP.PCAP.CD</v>
          </cell>
          <cell r="E76">
            <v>1850.9174305476918</v>
          </cell>
          <cell r="F76">
            <v>1682.7505884547568</v>
          </cell>
          <cell r="G76">
            <v>1527.9580951403664</v>
          </cell>
        </row>
        <row r="77">
          <cell r="B77" t="str">
            <v>FIN</v>
          </cell>
          <cell r="C77" t="str">
            <v>GDP per capita (current US$)</v>
          </cell>
          <cell r="D77" t="str">
            <v>NY.GDP.PCAP.CD</v>
          </cell>
          <cell r="E77">
            <v>50440.56022497404</v>
          </cell>
          <cell r="F77">
            <v>52834.291675270309</v>
          </cell>
          <cell r="G77">
            <v>53149.767193405052</v>
          </cell>
        </row>
        <row r="78">
          <cell r="B78" t="str">
            <v>FJI</v>
          </cell>
          <cell r="C78" t="str">
            <v>GDP per capita (current US$)</v>
          </cell>
          <cell r="D78" t="str">
            <v>NY.GDP.PCAP.CD</v>
          </cell>
          <cell r="E78">
            <v>5414.1209211908808</v>
          </cell>
          <cell r="F78">
            <v>5926.205863947629</v>
          </cell>
          <cell r="G78">
            <v>6425.741517157122</v>
          </cell>
        </row>
        <row r="79">
          <cell r="B79" t="str">
            <v>FRA</v>
          </cell>
          <cell r="C79" t="str">
            <v>GDP per capita (current US$)</v>
          </cell>
          <cell r="D79" t="str">
            <v>NY.GDP.PCAP.CD</v>
          </cell>
          <cell r="E79">
            <v>40988.639640657944</v>
          </cell>
          <cell r="F79">
            <v>44700.138417754366</v>
          </cell>
          <cell r="G79">
            <v>46103.084085588387</v>
          </cell>
        </row>
        <row r="80">
          <cell r="B80" t="str">
            <v>FRO</v>
          </cell>
          <cell r="C80" t="str">
            <v>GDP per capita (current US$)</v>
          </cell>
          <cell r="D80" t="str">
            <v>NY.GDP.PCAP.CD</v>
          </cell>
          <cell r="E80">
            <v>67058.202264812571</v>
          </cell>
          <cell r="F80">
            <v>72465.376966021533</v>
          </cell>
          <cell r="G80">
            <v>74119.660755387886</v>
          </cell>
        </row>
        <row r="81">
          <cell r="B81" t="str">
            <v>FSM</v>
          </cell>
          <cell r="C81" t="str">
            <v>GDP per capita (current US$)</v>
          </cell>
          <cell r="D81" t="str">
            <v>NY.GDP.PCAP.CD</v>
          </cell>
          <cell r="E81">
            <v>3710.1245161175234</v>
          </cell>
          <cell r="F81">
            <v>3919.6430791085854</v>
          </cell>
          <cell r="G81">
            <v>4166.0047674856396</v>
          </cell>
        </row>
        <row r="82">
          <cell r="B82" t="str">
            <v>GAB</v>
          </cell>
          <cell r="C82" t="str">
            <v>GDP per capita (current US$)</v>
          </cell>
          <cell r="D82" t="str">
            <v>NY.GDP.PCAP.CD</v>
          </cell>
          <cell r="E82">
            <v>8409.2074145028018</v>
          </cell>
          <cell r="F82">
            <v>7802.8243327613818</v>
          </cell>
          <cell r="G82">
            <v>8230.0431145115072</v>
          </cell>
        </row>
        <row r="83">
          <cell r="B83" t="str">
            <v>GBR</v>
          </cell>
          <cell r="C83" t="str">
            <v>GDP per capita (current US$)</v>
          </cell>
          <cell r="D83" t="str">
            <v>NY.GDP.PCAP.CD</v>
          </cell>
          <cell r="E83">
            <v>47057.043229178962</v>
          </cell>
          <cell r="F83">
            <v>49944.470212420143</v>
          </cell>
          <cell r="G83">
            <v>53246.367614510847</v>
          </cell>
        </row>
        <row r="84">
          <cell r="B84" t="str">
            <v>GEO</v>
          </cell>
          <cell r="C84" t="str">
            <v>GDP per capita (current US$)</v>
          </cell>
          <cell r="D84" t="str">
            <v>NY.GDP.PCAP.CD</v>
          </cell>
          <cell r="E84">
            <v>6729.8465993028331</v>
          </cell>
          <cell r="F84">
            <v>8283.6696065226115</v>
          </cell>
          <cell r="G84">
            <v>9241.4912231371309</v>
          </cell>
        </row>
        <row r="85">
          <cell r="B85" t="str">
            <v>GHA</v>
          </cell>
          <cell r="C85" t="str">
            <v>GDP per capita (current US$)</v>
          </cell>
          <cell r="D85" t="str">
            <v>NY.GDP.PCAP.CD</v>
          </cell>
          <cell r="E85">
            <v>2229.8912264780301</v>
          </cell>
          <cell r="F85">
            <v>2383.9041048341815</v>
          </cell>
          <cell r="G85">
            <v>2390.7723765271498</v>
          </cell>
        </row>
        <row r="86">
          <cell r="B86" t="str">
            <v>GIB</v>
          </cell>
          <cell r="C86" t="str">
            <v>GDP per capita (current US$)</v>
          </cell>
          <cell r="D86" t="str">
            <v>NY.GDP.PCAP.CD</v>
          </cell>
        </row>
        <row r="87">
          <cell r="B87" t="str">
            <v>GIN</v>
          </cell>
          <cell r="C87" t="str">
            <v>GDP per capita (current US$)</v>
          </cell>
          <cell r="D87" t="str">
            <v>NY.GDP.PCAP.CD</v>
          </cell>
          <cell r="E87">
            <v>1416.5961201176417</v>
          </cell>
          <cell r="F87">
            <v>1555.4937580686064</v>
          </cell>
          <cell r="G87">
            <v>1694.9537586219271</v>
          </cell>
        </row>
        <row r="88">
          <cell r="B88" t="str">
            <v>GMB</v>
          </cell>
          <cell r="C88" t="str">
            <v>GDP per capita (current US$)</v>
          </cell>
          <cell r="D88" t="str">
            <v>NY.GDP.PCAP.CD</v>
          </cell>
          <cell r="E88">
            <v>836.24487586847567</v>
          </cell>
          <cell r="F88">
            <v>883.02411171980873</v>
          </cell>
          <cell r="G88">
            <v>871.34029177629372</v>
          </cell>
        </row>
        <row r="89">
          <cell r="B89" t="str">
            <v>GNB</v>
          </cell>
          <cell r="C89" t="str">
            <v>GDP per capita (current US$)</v>
          </cell>
          <cell r="D89" t="str">
            <v>NY.GDP.PCAP.CD</v>
          </cell>
          <cell r="E89">
            <v>883.19913145783119</v>
          </cell>
          <cell r="F89">
            <v>988.08788635702194</v>
          </cell>
          <cell r="G89">
            <v>1007.7415172802815</v>
          </cell>
        </row>
        <row r="90">
          <cell r="B90" t="str">
            <v>GNQ</v>
          </cell>
          <cell r="C90" t="str">
            <v>GDP per capita (current US$)</v>
          </cell>
          <cell r="D90" t="str">
            <v>NY.GDP.PCAP.CD</v>
          </cell>
          <cell r="E90">
            <v>7589.2996490938131</v>
          </cell>
          <cell r="F90">
            <v>6677.793435386001</v>
          </cell>
          <cell r="G90">
            <v>6745.4001324491601</v>
          </cell>
        </row>
        <row r="91">
          <cell r="B91" t="str">
            <v>GRC</v>
          </cell>
          <cell r="C91" t="str">
            <v>GDP per capita (current US$)</v>
          </cell>
          <cell r="D91" t="str">
            <v>NY.GDP.PCAP.CD</v>
          </cell>
          <cell r="E91">
            <v>20886.524308762862</v>
          </cell>
          <cell r="F91">
            <v>23343.710396456216</v>
          </cell>
          <cell r="G91">
            <v>24626.148185897262</v>
          </cell>
        </row>
        <row r="92">
          <cell r="B92" t="str">
            <v>GRD</v>
          </cell>
          <cell r="C92" t="str">
            <v>GDP per capita (current US$)</v>
          </cell>
          <cell r="D92" t="str">
            <v>NY.GDP.PCAP.CD</v>
          </cell>
          <cell r="E92">
            <v>10469.386701285634</v>
          </cell>
          <cell r="F92">
            <v>11414.478169118118</v>
          </cell>
          <cell r="G92">
            <v>11705.090297665825</v>
          </cell>
        </row>
        <row r="93">
          <cell r="B93" t="str">
            <v>GRL</v>
          </cell>
          <cell r="C93" t="str">
            <v>GDP per capita (current US$)</v>
          </cell>
          <cell r="D93" t="str">
            <v>NY.GDP.PCAP.CD</v>
          </cell>
          <cell r="E93">
            <v>55635.000649122259</v>
          </cell>
          <cell r="F93">
            <v>58498.970797360933</v>
          </cell>
        </row>
        <row r="94">
          <cell r="B94" t="str">
            <v>GTM</v>
          </cell>
          <cell r="C94" t="str">
            <v>GDP per capita (current US$)</v>
          </cell>
          <cell r="D94" t="str">
            <v>NY.GDP.PCAP.CD</v>
          </cell>
          <cell r="E94">
            <v>5358.7015699767699</v>
          </cell>
          <cell r="F94">
            <v>5758.3276084785166</v>
          </cell>
          <cell r="G94">
            <v>6150.0257143850531</v>
          </cell>
        </row>
        <row r="95">
          <cell r="B95" t="str">
            <v>GUM</v>
          </cell>
          <cell r="C95" t="str">
            <v>GDP per capita (current US$)</v>
          </cell>
          <cell r="D95" t="str">
            <v>NY.GDP.PCAP.CD</v>
          </cell>
          <cell r="E95">
            <v>41833.151713282481</v>
          </cell>
        </row>
        <row r="96">
          <cell r="B96" t="str">
            <v>GUY</v>
          </cell>
          <cell r="C96" t="str">
            <v>GDP per capita (current US$)</v>
          </cell>
          <cell r="D96" t="str">
            <v>NY.GDP.PCAP.CD</v>
          </cell>
          <cell r="E96">
            <v>17913.492806687907</v>
          </cell>
          <cell r="F96">
            <v>20473.700219061713</v>
          </cell>
          <cell r="G96">
            <v>29675.244387331641</v>
          </cell>
        </row>
        <row r="97">
          <cell r="B97" t="str">
            <v>HIC</v>
          </cell>
          <cell r="C97" t="str">
            <v>GDP per capita (current US$)</v>
          </cell>
          <cell r="D97" t="str">
            <v>NY.GDP.PCAP.CD</v>
          </cell>
          <cell r="E97">
            <v>46553.115018138255</v>
          </cell>
          <cell r="F97">
            <v>48608.194766589455</v>
          </cell>
          <cell r="G97">
            <v>50302.605212951319</v>
          </cell>
        </row>
        <row r="98">
          <cell r="B98" t="str">
            <v>HKG</v>
          </cell>
          <cell r="C98" t="str">
            <v>GDP per capita (current US$)</v>
          </cell>
          <cell r="D98" t="str">
            <v>NY.GDP.PCAP.CD</v>
          </cell>
          <cell r="E98">
            <v>48825.844187353592</v>
          </cell>
          <cell r="F98">
            <v>50562.363314437898</v>
          </cell>
          <cell r="G98">
            <v>54074.692851947948</v>
          </cell>
        </row>
        <row r="99">
          <cell r="B99" t="str">
            <v>HND</v>
          </cell>
          <cell r="C99" t="str">
            <v>GDP per capita (current US$)</v>
          </cell>
          <cell r="D99" t="str">
            <v>NY.GDP.PCAP.CD</v>
          </cell>
          <cell r="E99">
            <v>3003.2899682639932</v>
          </cell>
          <cell r="F99">
            <v>3227.4576250977575</v>
          </cell>
          <cell r="G99">
            <v>3426.4348332892264</v>
          </cell>
        </row>
        <row r="100">
          <cell r="B100" t="str">
            <v>HPC</v>
          </cell>
          <cell r="C100" t="str">
            <v>GDP per capita (current US$)</v>
          </cell>
          <cell r="D100" t="str">
            <v>NY.GDP.PCAP.CD</v>
          </cell>
          <cell r="E100">
            <v>1121.4838731198167</v>
          </cell>
          <cell r="F100">
            <v>1155.9044527992439</v>
          </cell>
          <cell r="G100">
            <v>1216.3750847256438</v>
          </cell>
        </row>
        <row r="101">
          <cell r="B101" t="str">
            <v>HRV</v>
          </cell>
          <cell r="C101" t="str">
            <v>GDP per capita (current US$)</v>
          </cell>
          <cell r="D101" t="str">
            <v>NY.GDP.PCAP.CD</v>
          </cell>
          <cell r="E101">
            <v>18465.54144203637</v>
          </cell>
          <cell r="F101">
            <v>22184.227930484161</v>
          </cell>
          <cell r="G101">
            <v>24050.439793313548</v>
          </cell>
        </row>
        <row r="102">
          <cell r="B102" t="str">
            <v>HTI</v>
          </cell>
          <cell r="C102" t="str">
            <v>GDP per capita (current US$)</v>
          </cell>
          <cell r="D102" t="str">
            <v>NY.GDP.PCAP.CD</v>
          </cell>
          <cell r="E102">
            <v>1760.626356687774</v>
          </cell>
          <cell r="F102">
            <v>1705.7580846099909</v>
          </cell>
          <cell r="G102">
            <v>2142.6233052678831</v>
          </cell>
        </row>
        <row r="103">
          <cell r="B103" t="str">
            <v>HUN</v>
          </cell>
          <cell r="C103" t="str">
            <v>GDP per capita (current US$)</v>
          </cell>
          <cell r="D103" t="str">
            <v>NY.GDP.PCAP.CD</v>
          </cell>
          <cell r="E103">
            <v>18428.02882561399</v>
          </cell>
          <cell r="F103">
            <v>22230.627787518693</v>
          </cell>
          <cell r="G103">
            <v>23292.326388247828</v>
          </cell>
        </row>
        <row r="104">
          <cell r="B104" t="str">
            <v>IBD</v>
          </cell>
          <cell r="C104" t="str">
            <v>GDP per capita (current US$)</v>
          </cell>
          <cell r="D104" t="str">
            <v>NY.GDP.PCAP.CD</v>
          </cell>
          <cell r="E104">
            <v>7699.2325882618588</v>
          </cell>
          <cell r="F104">
            <v>7925.3992413749011</v>
          </cell>
          <cell r="G104">
            <v>8219.9126570384396</v>
          </cell>
        </row>
        <row r="105">
          <cell r="B105" t="str">
            <v>IBT</v>
          </cell>
          <cell r="C105" t="str">
            <v>GDP per capita (current US$)</v>
          </cell>
          <cell r="D105" t="str">
            <v>NY.GDP.PCAP.CD</v>
          </cell>
          <cell r="E105">
            <v>6036.8137440708933</v>
          </cell>
          <cell r="F105">
            <v>6149.5055455894553</v>
          </cell>
          <cell r="G105">
            <v>6327.1439970486945</v>
          </cell>
        </row>
        <row r="106">
          <cell r="B106" t="str">
            <v>IDA</v>
          </cell>
          <cell r="C106" t="str">
            <v>GDP per capita (current US$)</v>
          </cell>
          <cell r="D106" t="str">
            <v>NY.GDP.PCAP.CD</v>
          </cell>
          <cell r="E106">
            <v>1647.5273246030733</v>
          </cell>
          <cell r="F106">
            <v>1536.0871923709838</v>
          </cell>
          <cell r="G106">
            <v>1485.9222740563303</v>
          </cell>
        </row>
        <row r="107">
          <cell r="B107" t="str">
            <v>IDB</v>
          </cell>
          <cell r="C107" t="str">
            <v>GDP per capita (current US$)</v>
          </cell>
          <cell r="D107" t="str">
            <v>NY.GDP.PCAP.CD</v>
          </cell>
          <cell r="E107">
            <v>2234.8361620648266</v>
          </cell>
          <cell r="F107">
            <v>1915.3132843342162</v>
          </cell>
          <cell r="G107">
            <v>1650.6378811304924</v>
          </cell>
        </row>
        <row r="108">
          <cell r="B108" t="str">
            <v>IDN</v>
          </cell>
          <cell r="C108" t="str">
            <v>GDP per capita (current US$)</v>
          </cell>
          <cell r="D108" t="str">
            <v>NY.GDP.PCAP.CD</v>
          </cell>
          <cell r="E108">
            <v>4730.8348483610689</v>
          </cell>
          <cell r="F108">
            <v>4876.3077451225245</v>
          </cell>
          <cell r="G108">
            <v>4925.4304875186144</v>
          </cell>
        </row>
        <row r="109">
          <cell r="B109" t="str">
            <v>IDX</v>
          </cell>
          <cell r="C109" t="str">
            <v>GDP per capita (current US$)</v>
          </cell>
          <cell r="D109" t="str">
            <v>NY.GDP.PCAP.CD</v>
          </cell>
          <cell r="E109">
            <v>1332.3173017870797</v>
          </cell>
          <cell r="F109">
            <v>1333.209719790256</v>
          </cell>
          <cell r="G109">
            <v>1398.1118126403339</v>
          </cell>
        </row>
        <row r="110">
          <cell r="B110" t="str">
            <v>IMN</v>
          </cell>
          <cell r="C110" t="str">
            <v>GDP per capita (current US$)</v>
          </cell>
          <cell r="D110" t="str">
            <v>NY.GDP.PCAP.CD</v>
          </cell>
          <cell r="E110">
            <v>88328.548125887028</v>
          </cell>
        </row>
        <row r="111">
          <cell r="B111" t="str">
            <v>IND</v>
          </cell>
          <cell r="C111" t="str">
            <v>GDP per capita (current US$)</v>
          </cell>
          <cell r="D111" t="str">
            <v>NY.GDP.PCAP.CD</v>
          </cell>
          <cell r="E111">
            <v>2347.4482943462317</v>
          </cell>
          <cell r="F111">
            <v>2530.1203127820381</v>
          </cell>
          <cell r="G111">
            <v>2694.7378085996111</v>
          </cell>
        </row>
        <row r="112">
          <cell r="B112" t="str">
            <v>INX</v>
          </cell>
          <cell r="C112" t="str">
            <v>GDP per capita (current US$)</v>
          </cell>
          <cell r="D112" t="str">
            <v>NY.GDP.PCAP.CD</v>
          </cell>
        </row>
        <row r="113">
          <cell r="B113" t="str">
            <v>IRL</v>
          </cell>
          <cell r="C113" t="str">
            <v>GDP per capita (current US$)</v>
          </cell>
          <cell r="D113" t="str">
            <v>NY.GDP.PCAP.CD</v>
          </cell>
          <cell r="E113">
            <v>105190.68595273084</v>
          </cell>
          <cell r="F113">
            <v>106818.91713080389</v>
          </cell>
          <cell r="G113">
            <v>112894.95324080539</v>
          </cell>
        </row>
        <row r="114">
          <cell r="B114" t="str">
            <v>IRN</v>
          </cell>
          <cell r="C114" t="str">
            <v>GDP per capita (current US$)</v>
          </cell>
          <cell r="D114" t="str">
            <v>NY.GDP.PCAP.CD</v>
          </cell>
          <cell r="E114">
            <v>4721.2043709998425</v>
          </cell>
          <cell r="F114">
            <v>5049.2993164275395</v>
          </cell>
          <cell r="G114">
            <v>5190.1695902482134</v>
          </cell>
        </row>
        <row r="115">
          <cell r="B115" t="str">
            <v>IRQ</v>
          </cell>
          <cell r="C115" t="str">
            <v>GDP per capita (current US$)</v>
          </cell>
          <cell r="D115" t="str">
            <v>NY.GDP.PCAP.CD</v>
          </cell>
          <cell r="E115">
            <v>6520.7315456058404</v>
          </cell>
          <cell r="F115">
            <v>5965.318350777613</v>
          </cell>
          <cell r="G115">
            <v>6073.610323427084</v>
          </cell>
        </row>
        <row r="116">
          <cell r="B116" t="str">
            <v>ISL</v>
          </cell>
          <cell r="C116" t="str">
            <v>GDP per capita (current US$)</v>
          </cell>
          <cell r="D116" t="str">
            <v>NY.GDP.PCAP.CD</v>
          </cell>
          <cell r="E116">
            <v>76350.455041650246</v>
          </cell>
          <cell r="F116">
            <v>82138.789297355674</v>
          </cell>
          <cell r="G116">
            <v>86040.530985128789</v>
          </cell>
        </row>
        <row r="117">
          <cell r="B117" t="str">
            <v>ISR</v>
          </cell>
          <cell r="C117" t="str">
            <v>GDP per capita (current US$)</v>
          </cell>
          <cell r="D117" t="str">
            <v>NY.GDP.PCAP.CD</v>
          </cell>
          <cell r="E117">
            <v>54949.621556429011</v>
          </cell>
          <cell r="F117">
            <v>52003.720072999691</v>
          </cell>
          <cell r="G117">
            <v>54176.684438330223</v>
          </cell>
        </row>
        <row r="118">
          <cell r="B118" t="str">
            <v>ITA</v>
          </cell>
          <cell r="C118" t="str">
            <v>GDP per capita (current US$)</v>
          </cell>
          <cell r="D118" t="str">
            <v>NY.GDP.PCAP.CD</v>
          </cell>
          <cell r="E118">
            <v>35653.904210349501</v>
          </cell>
          <cell r="F118">
            <v>39277.083878391779</v>
          </cell>
          <cell r="G118">
            <v>40385.341395766904</v>
          </cell>
        </row>
        <row r="119">
          <cell r="B119" t="str">
            <v>JAM</v>
          </cell>
          <cell r="C119" t="str">
            <v>GDP per capita (current US$)</v>
          </cell>
          <cell r="D119" t="str">
            <v>NY.GDP.PCAP.CD</v>
          </cell>
          <cell r="E119">
            <v>6626.4750238853849</v>
          </cell>
          <cell r="F119">
            <v>7542.4008427534518</v>
          </cell>
          <cell r="G119">
            <v>7753.8006955431983</v>
          </cell>
        </row>
        <row r="120">
          <cell r="B120" t="str">
            <v>JOR</v>
          </cell>
          <cell r="C120" t="str">
            <v>GDP per capita (current US$)</v>
          </cell>
          <cell r="D120" t="str">
            <v>NY.GDP.PCAP.CD</v>
          </cell>
          <cell r="E120">
            <v>4332.2515989793146</v>
          </cell>
          <cell r="F120">
            <v>4466.0831420857512</v>
          </cell>
          <cell r="G120">
            <v>4618.0959249856742</v>
          </cell>
        </row>
        <row r="121">
          <cell r="B121" t="str">
            <v>JPN</v>
          </cell>
          <cell r="C121" t="str">
            <v>GDP per capita (current US$)</v>
          </cell>
          <cell r="D121" t="str">
            <v>NY.GDP.PCAP.CD</v>
          </cell>
          <cell r="E121">
            <v>34065.64389625263</v>
          </cell>
          <cell r="F121">
            <v>33836.175627161712</v>
          </cell>
          <cell r="G121">
            <v>32487.07780475674</v>
          </cell>
        </row>
        <row r="122">
          <cell r="B122" t="str">
            <v>KAZ</v>
          </cell>
          <cell r="C122" t="str">
            <v>GDP per capita (current US$)</v>
          </cell>
          <cell r="D122" t="str">
            <v>NY.GDP.PCAP.CD</v>
          </cell>
          <cell r="E122">
            <v>11255.339643788113</v>
          </cell>
          <cell r="F122">
            <v>12879.427525797384</v>
          </cell>
          <cell r="G122">
            <v>14154.632495807635</v>
          </cell>
        </row>
        <row r="123">
          <cell r="B123" t="str">
            <v>KEN</v>
          </cell>
          <cell r="C123" t="str">
            <v>GDP per capita (current US$)</v>
          </cell>
          <cell r="D123" t="str">
            <v>NY.GDP.PCAP.CD</v>
          </cell>
          <cell r="E123">
            <v>2109.562885131375</v>
          </cell>
          <cell r="F123">
            <v>1942.5880275619108</v>
          </cell>
          <cell r="G123">
            <v>2132.4345209764665</v>
          </cell>
        </row>
        <row r="124">
          <cell r="B124" t="str">
            <v>KGZ</v>
          </cell>
          <cell r="C124" t="str">
            <v>GDP per capita (current US$)</v>
          </cell>
          <cell r="D124" t="str">
            <v>NY.GDP.PCAP.CD</v>
          </cell>
          <cell r="E124">
            <v>1739.7201834417447</v>
          </cell>
          <cell r="F124">
            <v>2138.2221021147798</v>
          </cell>
          <cell r="G124">
            <v>2420.1854228383149</v>
          </cell>
        </row>
        <row r="125">
          <cell r="B125" t="str">
            <v>KHM</v>
          </cell>
          <cell r="C125" t="str">
            <v>GDP per capita (current US$)</v>
          </cell>
          <cell r="D125" t="str">
            <v>NY.GDP.PCAP.CD</v>
          </cell>
          <cell r="E125">
            <v>2325.0305004084116</v>
          </cell>
          <cell r="F125">
            <v>2429.7485345283822</v>
          </cell>
          <cell r="G125">
            <v>2627.8796975622413</v>
          </cell>
        </row>
        <row r="126">
          <cell r="B126" t="str">
            <v>KIR</v>
          </cell>
          <cell r="C126" t="str">
            <v>GDP per capita (current US$)</v>
          </cell>
          <cell r="D126" t="str">
            <v>NY.GDP.PCAP.CD</v>
          </cell>
          <cell r="E126">
            <v>2069.7671726924987</v>
          </cell>
          <cell r="F126">
            <v>2177.7012581226231</v>
          </cell>
          <cell r="G126">
            <v>2288.6347142368409</v>
          </cell>
        </row>
        <row r="127">
          <cell r="B127" t="str">
            <v>KNA</v>
          </cell>
          <cell r="C127" t="str">
            <v>GDP per capita (current US$)</v>
          </cell>
          <cell r="D127" t="str">
            <v>NY.GDP.PCAP.CD</v>
          </cell>
          <cell r="E127">
            <v>21011.5744209816</v>
          </cell>
          <cell r="F127">
            <v>22576.924843916589</v>
          </cell>
          <cell r="G127">
            <v>23960.653435708406</v>
          </cell>
        </row>
        <row r="128">
          <cell r="B128" t="str">
            <v>KOR</v>
          </cell>
          <cell r="C128" t="str">
            <v>GDP per capita (current US$)</v>
          </cell>
          <cell r="D128" t="str">
            <v>NY.GDP.PCAP.CD</v>
          </cell>
          <cell r="E128">
            <v>34822.404840497111</v>
          </cell>
          <cell r="F128">
            <v>35674.095995632029</v>
          </cell>
          <cell r="G128">
            <v>36238.639908314988</v>
          </cell>
        </row>
        <row r="129">
          <cell r="B129" t="str">
            <v>KWT</v>
          </cell>
          <cell r="C129" t="str">
            <v>GDP per capita (current US$)</v>
          </cell>
          <cell r="D129" t="str">
            <v>NY.GDP.PCAP.CD</v>
          </cell>
          <cell r="E129">
            <v>39981.769103583334</v>
          </cell>
          <cell r="F129">
            <v>34075.849012909021</v>
          </cell>
          <cell r="G129">
            <v>32717.718663125463</v>
          </cell>
        </row>
        <row r="130">
          <cell r="B130" t="str">
            <v>LAC</v>
          </cell>
          <cell r="C130" t="str">
            <v>GDP per capita (current US$)</v>
          </cell>
          <cell r="D130" t="str">
            <v>NY.GDP.PCAP.CD</v>
          </cell>
          <cell r="E130">
            <v>9111.3492708476897</v>
          </cell>
          <cell r="F130">
            <v>10196.271088969024</v>
          </cell>
          <cell r="G130">
            <v>10382.391112515194</v>
          </cell>
        </row>
        <row r="131">
          <cell r="B131" t="str">
            <v>LAO</v>
          </cell>
          <cell r="C131" t="str">
            <v>GDP per capita (current US$)</v>
          </cell>
          <cell r="D131" t="str">
            <v>NY.GDP.PCAP.CD</v>
          </cell>
          <cell r="E131">
            <v>2046.4044025562052</v>
          </cell>
          <cell r="F131">
            <v>2066.9497977695714</v>
          </cell>
          <cell r="G131">
            <v>2123.9790941510914</v>
          </cell>
        </row>
        <row r="132">
          <cell r="B132" t="str">
            <v>LBN</v>
          </cell>
          <cell r="C132" t="str">
            <v>GDP per capita (current US$)</v>
          </cell>
          <cell r="D132" t="str">
            <v>NY.GDP.PCAP.CD</v>
          </cell>
          <cell r="E132">
            <v>3654.3584553487849</v>
          </cell>
          <cell r="F132">
            <v>3477.7248984268376</v>
          </cell>
        </row>
        <row r="133">
          <cell r="B133" t="str">
            <v>LBR</v>
          </cell>
          <cell r="C133" t="str">
            <v>GDP per capita (current US$)</v>
          </cell>
          <cell r="D133" t="str">
            <v>NY.GDP.PCAP.CD</v>
          </cell>
          <cell r="E133">
            <v>744.61717523738696</v>
          </cell>
          <cell r="F133">
            <v>799.19447022964187</v>
          </cell>
          <cell r="G133">
            <v>851.4977238702063</v>
          </cell>
        </row>
        <row r="134">
          <cell r="B134" t="str">
            <v>LBY</v>
          </cell>
          <cell r="C134" t="str">
            <v>GDP per capita (current US$)</v>
          </cell>
          <cell r="D134" t="str">
            <v>NY.GDP.PCAP.CD</v>
          </cell>
          <cell r="E134">
            <v>5986.6369485125806</v>
          </cell>
          <cell r="F134">
            <v>6026.5151870881191</v>
          </cell>
          <cell r="G134">
            <v>6569.1640867864844</v>
          </cell>
        </row>
        <row r="135">
          <cell r="B135" t="str">
            <v>LCA</v>
          </cell>
          <cell r="C135" t="str">
            <v>GDP per capita (current US$)</v>
          </cell>
          <cell r="D135" t="str">
            <v>NY.GDP.PCAP.CD</v>
          </cell>
          <cell r="E135">
            <v>13103.824314747175</v>
          </cell>
          <cell r="F135">
            <v>13554.768478493274</v>
          </cell>
          <cell r="G135">
            <v>14181.630335159798</v>
          </cell>
        </row>
        <row r="136">
          <cell r="B136" t="str">
            <v>LCN</v>
          </cell>
          <cell r="C136" t="str">
            <v>GDP per capita (current US$)</v>
          </cell>
          <cell r="D136" t="str">
            <v>NY.GDP.PCAP.CD</v>
          </cell>
          <cell r="E136">
            <v>9408.8482024915629</v>
          </cell>
          <cell r="F136">
            <v>10508.647254802478</v>
          </cell>
          <cell r="G136">
            <v>10737.646353865175</v>
          </cell>
        </row>
        <row r="137">
          <cell r="B137" t="str">
            <v>LDC</v>
          </cell>
          <cell r="C137" t="str">
            <v>GDP per capita (current US$)</v>
          </cell>
          <cell r="D137" t="str">
            <v>NY.GDP.PCAP.CD</v>
          </cell>
          <cell r="E137">
            <v>1299.3617242308235</v>
          </cell>
          <cell r="F137">
            <v>1257.698066993313</v>
          </cell>
          <cell r="G137">
            <v>1293.4010032293231</v>
          </cell>
        </row>
        <row r="138">
          <cell r="B138" t="str">
            <v>LIC</v>
          </cell>
          <cell r="C138" t="str">
            <v>GDP per capita (current US$)</v>
          </cell>
          <cell r="D138" t="str">
            <v>NY.GDP.PCAP.CD</v>
          </cell>
          <cell r="E138">
            <v>734.20411759535727</v>
          </cell>
          <cell r="F138">
            <v>714.15176424276183</v>
          </cell>
          <cell r="G138">
            <v>751.32276404223285</v>
          </cell>
        </row>
        <row r="139">
          <cell r="B139" t="str">
            <v>LIE</v>
          </cell>
          <cell r="C139" t="str">
            <v>GDP per capita (current US$)</v>
          </cell>
          <cell r="D139" t="str">
            <v>NY.GDP.PCAP.CD</v>
          </cell>
          <cell r="E139">
            <v>188055.00323534798</v>
          </cell>
          <cell r="F139">
            <v>206780.59035338453</v>
          </cell>
        </row>
        <row r="140">
          <cell r="B140" t="str">
            <v>LKA</v>
          </cell>
          <cell r="C140" t="str">
            <v>GDP per capita (current US$)</v>
          </cell>
          <cell r="D140" t="str">
            <v>NY.GDP.PCAP.CD</v>
          </cell>
          <cell r="E140">
            <v>3342.636502538553</v>
          </cell>
          <cell r="F140">
            <v>3798.8901657301144</v>
          </cell>
          <cell r="G140">
            <v>4515.56787322732</v>
          </cell>
        </row>
        <row r="141">
          <cell r="B141" t="str">
            <v>LMC</v>
          </cell>
          <cell r="C141" t="str">
            <v>GDP per capita (current US$)</v>
          </cell>
          <cell r="D141" t="str">
            <v>NY.GDP.PCAP.CD</v>
          </cell>
          <cell r="E141">
            <v>2493.6148737135627</v>
          </cell>
          <cell r="F141">
            <v>2493.3898525365139</v>
          </cell>
          <cell r="G141">
            <v>2544.4924545775207</v>
          </cell>
        </row>
        <row r="142">
          <cell r="B142" t="str">
            <v>LMY</v>
          </cell>
          <cell r="C142" t="str">
            <v>GDP per capita (current US$)</v>
          </cell>
          <cell r="D142" t="str">
            <v>NY.GDP.PCAP.CD</v>
          </cell>
          <cell r="E142">
            <v>5741.7838188295236</v>
          </cell>
          <cell r="F142">
            <v>5856.2949519592166</v>
          </cell>
          <cell r="G142">
            <v>6002.451207652588</v>
          </cell>
        </row>
        <row r="143">
          <cell r="B143" t="str">
            <v>LSO</v>
          </cell>
          <cell r="C143" t="str">
            <v>GDP per capita (current US$)</v>
          </cell>
          <cell r="D143" t="str">
            <v>NY.GDP.PCAP.CD</v>
          </cell>
          <cell r="E143">
            <v>1030.1258294775712</v>
          </cell>
          <cell r="F143">
            <v>916.28297698380345</v>
          </cell>
          <cell r="G143">
            <v>971.90771824828971</v>
          </cell>
        </row>
        <row r="144">
          <cell r="B144" t="str">
            <v>LTE</v>
          </cell>
          <cell r="C144" t="str">
            <v>GDP per capita (current US$)</v>
          </cell>
          <cell r="D144" t="str">
            <v>NY.GDP.PCAP.CD</v>
          </cell>
          <cell r="E144">
            <v>12286.084681216946</v>
          </cell>
          <cell r="F144">
            <v>12437.986172190664</v>
          </cell>
          <cell r="G144">
            <v>12874.167913797166</v>
          </cell>
        </row>
        <row r="145">
          <cell r="B145" t="str">
            <v>LTU</v>
          </cell>
          <cell r="C145" t="str">
            <v>GDP per capita (current US$)</v>
          </cell>
          <cell r="D145" t="str">
            <v>NY.GDP.PCAP.CD</v>
          </cell>
          <cell r="E145">
            <v>25085.784063499046</v>
          </cell>
          <cell r="F145">
            <v>27786.005782927572</v>
          </cell>
          <cell r="G145">
            <v>29384.018959866335</v>
          </cell>
        </row>
        <row r="146">
          <cell r="B146" t="str">
            <v>LUX</v>
          </cell>
          <cell r="C146" t="str">
            <v>GDP per capita (current US$)</v>
          </cell>
          <cell r="D146" t="str">
            <v>NY.GDP.PCAP.CD</v>
          </cell>
          <cell r="E146">
            <v>123719.6589159963</v>
          </cell>
          <cell r="F146">
            <v>133230.6191788991</v>
          </cell>
          <cell r="G146">
            <v>137781.68165912307</v>
          </cell>
        </row>
        <row r="147">
          <cell r="B147" t="str">
            <v>LVA</v>
          </cell>
          <cell r="C147" t="str">
            <v>GDP per capita (current US$)</v>
          </cell>
          <cell r="D147" t="str">
            <v>NY.GDP.PCAP.CD</v>
          </cell>
          <cell r="E147">
            <v>20221.103686109032</v>
          </cell>
          <cell r="F147">
            <v>22710.263754419742</v>
          </cell>
          <cell r="G147">
            <v>23409.084515477498</v>
          </cell>
        </row>
        <row r="148">
          <cell r="B148" t="str">
            <v>MAC</v>
          </cell>
          <cell r="C148" t="str">
            <v>GDP per capita (current US$)</v>
          </cell>
          <cell r="D148" t="str">
            <v>NY.GDP.PCAP.CD</v>
          </cell>
          <cell r="E148">
            <v>36806.891255460985</v>
          </cell>
          <cell r="F148">
            <v>67216.363111212369</v>
          </cell>
          <cell r="G148">
            <v>72004.743702073349</v>
          </cell>
        </row>
        <row r="149">
          <cell r="B149" t="str">
            <v>MAF</v>
          </cell>
          <cell r="C149" t="str">
            <v>GDP per capita (current US$)</v>
          </cell>
          <cell r="D149" t="str">
            <v>NY.GDP.PCAP.CD</v>
          </cell>
        </row>
        <row r="150">
          <cell r="B150" t="str">
            <v>MAR</v>
          </cell>
          <cell r="C150" t="str">
            <v>GDP per capita (current US$)</v>
          </cell>
          <cell r="D150" t="str">
            <v>NY.GDP.PCAP.CD</v>
          </cell>
          <cell r="E150">
            <v>3463.1376953125</v>
          </cell>
          <cell r="F150">
            <v>3813.72607421875</v>
          </cell>
          <cell r="G150">
            <v>4153.1943359375</v>
          </cell>
        </row>
        <row r="151">
          <cell r="B151" t="str">
            <v>MCO</v>
          </cell>
          <cell r="C151" t="str">
            <v>GDP per capita (current US$)</v>
          </cell>
          <cell r="D151" t="str">
            <v>NY.GDP.PCAP.CD</v>
          </cell>
          <cell r="E151">
            <v>226052.00190520074</v>
          </cell>
          <cell r="F151">
            <v>256799.78861280595</v>
          </cell>
          <cell r="G151">
            <v>288001.43336904061</v>
          </cell>
        </row>
        <row r="152">
          <cell r="B152" t="str">
            <v>MDA</v>
          </cell>
          <cell r="C152" t="str">
            <v>GDP per capita (current US$)</v>
          </cell>
          <cell r="D152" t="str">
            <v>NY.GDP.PCAP.CD</v>
          </cell>
          <cell r="E152">
            <v>5744.2961843443491</v>
          </cell>
          <cell r="F152">
            <v>6799.5859464457562</v>
          </cell>
          <cell r="G152">
            <v>7576.195894133255</v>
          </cell>
        </row>
        <row r="153">
          <cell r="B153" t="str">
            <v>MDG</v>
          </cell>
          <cell r="C153" t="str">
            <v>GDP per capita (current US$)</v>
          </cell>
          <cell r="D153" t="str">
            <v>NY.GDP.PCAP.CD</v>
          </cell>
          <cell r="E153">
            <v>503.51453347295961</v>
          </cell>
          <cell r="F153">
            <v>508.71842770559078</v>
          </cell>
          <cell r="G153">
            <v>544.98750100338384</v>
          </cell>
        </row>
        <row r="154">
          <cell r="B154" t="str">
            <v>MDV</v>
          </cell>
          <cell r="C154" t="str">
            <v>GDP per capita (current US$)</v>
          </cell>
          <cell r="D154" t="str">
            <v>NY.GDP.PCAP.CD</v>
          </cell>
          <cell r="E154">
            <v>11786.019149298254</v>
          </cell>
          <cell r="F154">
            <v>12587.612603865125</v>
          </cell>
          <cell r="G154">
            <v>13379.351357722368</v>
          </cell>
        </row>
        <row r="155">
          <cell r="B155" t="str">
            <v>MEA</v>
          </cell>
          <cell r="C155" t="str">
            <v>GDP per capita (current US$)</v>
          </cell>
          <cell r="D155" t="str">
            <v>NY.GDP.PCAP.CD</v>
          </cell>
          <cell r="E155">
            <v>6430.5355348575349</v>
          </cell>
          <cell r="F155">
            <v>6149.0611989349991</v>
          </cell>
          <cell r="G155">
            <v>6265.444452474524</v>
          </cell>
        </row>
        <row r="156">
          <cell r="B156" t="str">
            <v>MEX</v>
          </cell>
          <cell r="C156" t="str">
            <v>GDP per capita (current US$)</v>
          </cell>
          <cell r="D156" t="str">
            <v>NY.GDP.PCAP.CD</v>
          </cell>
          <cell r="E156">
            <v>11405.79404737593</v>
          </cell>
          <cell r="F156">
            <v>13860.959780932561</v>
          </cell>
          <cell r="G156">
            <v>14185.781224852855</v>
          </cell>
        </row>
        <row r="157">
          <cell r="B157" t="str">
            <v>MHL</v>
          </cell>
          <cell r="C157" t="str">
            <v>GDP per capita (current US$)</v>
          </cell>
          <cell r="D157" t="str">
            <v>NY.GDP.PCAP.CD</v>
          </cell>
          <cell r="E157">
            <v>6455.6606218576244</v>
          </cell>
          <cell r="F157">
            <v>6793.2449589585594</v>
          </cell>
          <cell r="G157">
            <v>7726.3366887779366</v>
          </cell>
        </row>
        <row r="158">
          <cell r="B158" t="str">
            <v>MIC</v>
          </cell>
          <cell r="C158" t="str">
            <v>GDP per capita (current US$)</v>
          </cell>
          <cell r="D158" t="str">
            <v>NY.GDP.PCAP.CD</v>
          </cell>
          <cell r="E158">
            <v>6248.0096201469723</v>
          </cell>
          <cell r="F158">
            <v>6386.3024638783845</v>
          </cell>
          <cell r="G158">
            <v>6554.3705493349726</v>
          </cell>
        </row>
        <row r="159">
          <cell r="B159" t="str">
            <v>MKD</v>
          </cell>
          <cell r="C159" t="str">
            <v>GDP per capita (current US$)</v>
          </cell>
          <cell r="D159" t="str">
            <v>NY.GDP.PCAP.CD</v>
          </cell>
          <cell r="E159">
            <v>7606.2375253797018</v>
          </cell>
          <cell r="F159">
            <v>8674.3584632748534</v>
          </cell>
          <cell r="G159">
            <v>9291.85661671864</v>
          </cell>
        </row>
        <row r="160">
          <cell r="B160" t="str">
            <v>MLI</v>
          </cell>
          <cell r="C160" t="str">
            <v>GDP per capita (current US$)</v>
          </cell>
          <cell r="D160" t="str">
            <v>NY.GDP.PCAP.CD</v>
          </cell>
          <cell r="E160">
            <v>976.91411640645185</v>
          </cell>
          <cell r="F160">
            <v>1043.9533853528012</v>
          </cell>
          <cell r="G160">
            <v>1094.6194926579924</v>
          </cell>
        </row>
        <row r="161">
          <cell r="B161" t="str">
            <v>MLT</v>
          </cell>
          <cell r="C161" t="str">
            <v>GDP per capita (current US$)</v>
          </cell>
          <cell r="D161" t="str">
            <v>NY.GDP.PCAP.CD</v>
          </cell>
          <cell r="E161">
            <v>35638.886945740596</v>
          </cell>
          <cell r="F161">
            <v>40905.805958505691</v>
          </cell>
          <cell r="G161">
            <v>43898.578180859666</v>
          </cell>
        </row>
        <row r="162">
          <cell r="B162" t="str">
            <v>MMR</v>
          </cell>
          <cell r="C162" t="str">
            <v>GDP per capita (current US$)</v>
          </cell>
          <cell r="D162" t="str">
            <v>NY.GDP.PCAP.CD</v>
          </cell>
          <cell r="E162">
            <v>1158.0500505597558</v>
          </cell>
          <cell r="F162">
            <v>1233.1966620926912</v>
          </cell>
          <cell r="G162">
            <v>1359.0500156010662</v>
          </cell>
        </row>
        <row r="163">
          <cell r="B163" t="str">
            <v>MNA</v>
          </cell>
          <cell r="C163" t="str">
            <v>GDP per capita (current US$)</v>
          </cell>
          <cell r="D163" t="str">
            <v>NY.GDP.PCAP.CD</v>
          </cell>
          <cell r="E163">
            <v>3015.7557973385037</v>
          </cell>
          <cell r="F163">
            <v>2873.0392930273506</v>
          </cell>
          <cell r="G163">
            <v>2971.0546265155845</v>
          </cell>
        </row>
        <row r="164">
          <cell r="B164" t="str">
            <v>MNE</v>
          </cell>
          <cell r="C164" t="str">
            <v>GDP per capita (current US$)</v>
          </cell>
          <cell r="D164" t="str">
            <v>NY.GDP.PCAP.CD</v>
          </cell>
          <cell r="E164">
            <v>10024.543561620851</v>
          </cell>
          <cell r="F164">
            <v>12259.877503443637</v>
          </cell>
          <cell r="G164">
            <v>13263.328127769921</v>
          </cell>
        </row>
        <row r="165">
          <cell r="B165" t="str">
            <v>MNG</v>
          </cell>
          <cell r="C165" t="str">
            <v>GDP per capita (current US$)</v>
          </cell>
          <cell r="D165" t="str">
            <v>NY.GDP.PCAP.CD</v>
          </cell>
          <cell r="E165">
            <v>4993.5148746349541</v>
          </cell>
          <cell r="F165">
            <v>5838.6310808390235</v>
          </cell>
          <cell r="G165">
            <v>6750.630115772402</v>
          </cell>
        </row>
        <row r="166">
          <cell r="B166" t="str">
            <v>MNP</v>
          </cell>
          <cell r="C166" t="str">
            <v>GDP per capita (current US$)</v>
          </cell>
          <cell r="D166" t="str">
            <v>NY.GDP.PCAP.CD</v>
          </cell>
          <cell r="E166">
            <v>23785.754590042972</v>
          </cell>
        </row>
        <row r="167">
          <cell r="B167" t="str">
            <v>MOZ</v>
          </cell>
          <cell r="C167" t="str">
            <v>GDP per capita (current US$)</v>
          </cell>
          <cell r="D167" t="str">
            <v>NY.GDP.PCAP.CD</v>
          </cell>
          <cell r="E167">
            <v>578.25166375135097</v>
          </cell>
          <cell r="F167">
            <v>622.00029768282263</v>
          </cell>
          <cell r="G167">
            <v>656.77682463730559</v>
          </cell>
        </row>
        <row r="168">
          <cell r="B168" t="str">
            <v>MRT</v>
          </cell>
          <cell r="C168" t="str">
            <v>GDP per capita (current US$)</v>
          </cell>
          <cell r="D168" t="str">
            <v>NY.GDP.PCAP.CD</v>
          </cell>
          <cell r="E168">
            <v>1960.3524007742351</v>
          </cell>
          <cell r="F168">
            <v>2135.7818760635901</v>
          </cell>
          <cell r="G168">
            <v>2110.1203693818711</v>
          </cell>
        </row>
        <row r="169">
          <cell r="B169" t="str">
            <v>MUS</v>
          </cell>
          <cell r="C169" t="str">
            <v>GDP per capita (current US$)</v>
          </cell>
          <cell r="D169" t="str">
            <v>NY.GDP.PCAP.CD</v>
          </cell>
          <cell r="E169">
            <v>10246.501745555295</v>
          </cell>
          <cell r="F169">
            <v>11269.968446213859</v>
          </cell>
          <cell r="G169">
            <v>11990.77989448369</v>
          </cell>
        </row>
        <row r="170">
          <cell r="B170" t="str">
            <v>MWI</v>
          </cell>
          <cell r="C170" t="str">
            <v>GDP per capita (current US$)</v>
          </cell>
          <cell r="D170" t="str">
            <v>NY.GDP.PCAP.CD</v>
          </cell>
          <cell r="E170">
            <v>604.26974036031731</v>
          </cell>
          <cell r="F170">
            <v>633.21476797869502</v>
          </cell>
          <cell r="G170">
            <v>522.57039364254717</v>
          </cell>
        </row>
        <row r="171">
          <cell r="B171" t="str">
            <v>MYS</v>
          </cell>
          <cell r="C171" t="str">
            <v>GDP per capita (current US$)</v>
          </cell>
          <cell r="D171" t="str">
            <v>NY.GDP.PCAP.CD</v>
          </cell>
          <cell r="E171">
            <v>11754.567833624773</v>
          </cell>
          <cell r="F171">
            <v>11386.039563652774</v>
          </cell>
          <cell r="G171">
            <v>11874.427368424476</v>
          </cell>
        </row>
        <row r="172">
          <cell r="B172" t="str">
            <v>NAC</v>
          </cell>
          <cell r="C172" t="str">
            <v>GDP per capita (current US$)</v>
          </cell>
          <cell r="D172" t="str">
            <v>NY.GDP.PCAP.CD</v>
          </cell>
          <cell r="E172">
            <v>74535.636539262909</v>
          </cell>
          <cell r="F172">
            <v>78190.064073553454</v>
          </cell>
          <cell r="G172">
            <v>81275.843678176243</v>
          </cell>
        </row>
        <row r="173">
          <cell r="B173" t="str">
            <v>NAM</v>
          </cell>
          <cell r="C173" t="str">
            <v>GDP per capita (current US$)</v>
          </cell>
          <cell r="D173" t="str">
            <v>NY.GDP.PCAP.CD</v>
          </cell>
          <cell r="E173">
            <v>4349.7990849331418</v>
          </cell>
          <cell r="F173">
            <v>4187.6050039652528</v>
          </cell>
          <cell r="G173">
            <v>4413.1275221157184</v>
          </cell>
        </row>
        <row r="174">
          <cell r="B174" t="str">
            <v>NCL</v>
          </cell>
          <cell r="C174" t="str">
            <v>GDP per capita (current US$)</v>
          </cell>
          <cell r="D174" t="str">
            <v>NY.GDP.PCAP.CD</v>
          </cell>
          <cell r="E174">
            <v>33516.363085906021</v>
          </cell>
          <cell r="F174">
            <v>33701.892332278054</v>
          </cell>
          <cell r="G174">
            <v>29213.192319294649</v>
          </cell>
        </row>
        <row r="175">
          <cell r="B175" t="str">
            <v>NER</v>
          </cell>
          <cell r="C175" t="str">
            <v>GDP per capita (current US$)</v>
          </cell>
          <cell r="D175" t="str">
            <v>NY.GDP.PCAP.CD</v>
          </cell>
          <cell r="E175">
            <v>609.74514757487827</v>
          </cell>
          <cell r="F175">
            <v>638.33608089788697</v>
          </cell>
          <cell r="G175">
            <v>735.27025578722578</v>
          </cell>
        </row>
        <row r="176">
          <cell r="B176" t="str">
            <v>NGA</v>
          </cell>
          <cell r="C176" t="str">
            <v>GDP per capita (current US$)</v>
          </cell>
          <cell r="D176" t="str">
            <v>NY.GDP.PCAP.CD</v>
          </cell>
          <cell r="E176">
            <v>2899.1604747032429</v>
          </cell>
          <cell r="F176">
            <v>2138.7638371998255</v>
          </cell>
          <cell r="G176">
            <v>1084.1604180543611</v>
          </cell>
        </row>
        <row r="177">
          <cell r="B177" t="str">
            <v>NIC</v>
          </cell>
          <cell r="C177" t="str">
            <v>GDP per capita (current US$)</v>
          </cell>
          <cell r="D177" t="str">
            <v>NY.GDP.PCAP.CD</v>
          </cell>
          <cell r="E177">
            <v>2322.8905396458313</v>
          </cell>
          <cell r="F177">
            <v>2609.4449207293078</v>
          </cell>
          <cell r="G177">
            <v>2847.5396633949799</v>
          </cell>
        </row>
        <row r="178">
          <cell r="B178" t="str">
            <v>NLD</v>
          </cell>
          <cell r="C178" t="str">
            <v>GDP per capita (current US$)</v>
          </cell>
          <cell r="D178" t="str">
            <v>NY.GDP.PCAP.CD</v>
          </cell>
          <cell r="E178">
            <v>59123.318556486993</v>
          </cell>
          <cell r="F178">
            <v>63515.603078001921</v>
          </cell>
          <cell r="G178">
            <v>67520.421895628111</v>
          </cell>
        </row>
        <row r="179">
          <cell r="B179" t="str">
            <v>NOR</v>
          </cell>
          <cell r="C179" t="str">
            <v>GDP per capita (current US$)</v>
          </cell>
          <cell r="D179" t="str">
            <v>NY.GDP.PCAP.CD</v>
          </cell>
          <cell r="E179">
            <v>109269.52058029761</v>
          </cell>
          <cell r="F179">
            <v>87497.217964955649</v>
          </cell>
          <cell r="G179">
            <v>86785.433448917611</v>
          </cell>
        </row>
        <row r="180">
          <cell r="B180" t="str">
            <v>NPL</v>
          </cell>
          <cell r="C180" t="str">
            <v>GDP per capita (current US$)</v>
          </cell>
          <cell r="D180" t="str">
            <v>NY.GDP.PCAP.CD</v>
          </cell>
          <cell r="E180">
            <v>1385.9106627485075</v>
          </cell>
          <cell r="F180">
            <v>1382.3305576930356</v>
          </cell>
          <cell r="G180">
            <v>1447.3100445842811</v>
          </cell>
        </row>
        <row r="181">
          <cell r="B181" t="str">
            <v>NRU</v>
          </cell>
          <cell r="C181" t="str">
            <v>GDP per capita (current US$)</v>
          </cell>
          <cell r="D181" t="str">
            <v>NY.GDP.PCAP.CD</v>
          </cell>
          <cell r="E181">
            <v>12911.908644138142</v>
          </cell>
          <cell r="F181">
            <v>12752.472385583755</v>
          </cell>
          <cell r="G181">
            <v>13609.158837551997</v>
          </cell>
        </row>
        <row r="182">
          <cell r="B182" t="str">
            <v>NZL</v>
          </cell>
          <cell r="C182" t="str">
            <v>GDP per capita (current US$)</v>
          </cell>
          <cell r="D182" t="str">
            <v>NY.GDP.PCAP.CD</v>
          </cell>
          <cell r="E182">
            <v>49099.709042335751</v>
          </cell>
          <cell r="F182">
            <v>49075.956283292675</v>
          </cell>
          <cell r="G182">
            <v>49205.179214679243</v>
          </cell>
        </row>
        <row r="183">
          <cell r="B183" t="str">
            <v>OED</v>
          </cell>
          <cell r="C183" t="str">
            <v>GDP per capita (current US$)</v>
          </cell>
          <cell r="D183" t="str">
            <v>NY.GDP.PCAP.CD</v>
          </cell>
          <cell r="E183">
            <v>43950.173710933974</v>
          </cell>
          <cell r="F183">
            <v>46580.444880722614</v>
          </cell>
          <cell r="G183">
            <v>48322.164420487039</v>
          </cell>
        </row>
        <row r="184">
          <cell r="B184" t="str">
            <v>OMN</v>
          </cell>
          <cell r="C184" t="str">
            <v>GDP per capita (current US$)</v>
          </cell>
          <cell r="D184" t="str">
            <v>NY.GDP.PCAP.CD</v>
          </cell>
          <cell r="E184">
            <v>23223.582940593456</v>
          </cell>
          <cell r="F184">
            <v>21027.738477888633</v>
          </cell>
          <cell r="G184">
            <v>20285.227289737661</v>
          </cell>
        </row>
        <row r="185">
          <cell r="B185" t="str">
            <v>OSS</v>
          </cell>
          <cell r="C185" t="str">
            <v>GDP per capita (current US$)</v>
          </cell>
          <cell r="D185" t="str">
            <v>NY.GDP.PCAP.CD</v>
          </cell>
          <cell r="E185">
            <v>14320.77067762878</v>
          </cell>
          <cell r="F185">
            <v>15334.104650222818</v>
          </cell>
          <cell r="G185">
            <v>16094.12661731265</v>
          </cell>
        </row>
        <row r="186">
          <cell r="B186" t="str">
            <v>PAK</v>
          </cell>
          <cell r="C186" t="str">
            <v>GDP per capita (current US$)</v>
          </cell>
          <cell r="D186" t="str">
            <v>NY.GDP.PCAP.CD</v>
          </cell>
          <cell r="E186">
            <v>1538.3228133170996</v>
          </cell>
          <cell r="F186">
            <v>1360.3241775841927</v>
          </cell>
          <cell r="G186">
            <v>1478.7727797799566</v>
          </cell>
        </row>
        <row r="187">
          <cell r="B187" t="str">
            <v>PAN</v>
          </cell>
          <cell r="C187" t="str">
            <v>GDP per capita (current US$)</v>
          </cell>
          <cell r="D187" t="str">
            <v>NY.GDP.PCAP.CD</v>
          </cell>
          <cell r="E187">
            <v>17378.607001755714</v>
          </cell>
          <cell r="F187">
            <v>18797.193399404456</v>
          </cell>
          <cell r="G187">
            <v>19161.218850159614</v>
          </cell>
        </row>
        <row r="188">
          <cell r="B188" t="str">
            <v>PER</v>
          </cell>
          <cell r="C188" t="str">
            <v>GDP per capita (current US$)</v>
          </cell>
          <cell r="D188" t="str">
            <v>NY.GDP.PCAP.CD</v>
          </cell>
          <cell r="E188">
            <v>7350.6303430041735</v>
          </cell>
          <cell r="F188">
            <v>7887.5418592010801</v>
          </cell>
          <cell r="G188">
            <v>8452.3716705662137</v>
          </cell>
        </row>
        <row r="189">
          <cell r="B189" t="str">
            <v>PHL</v>
          </cell>
          <cell r="C189" t="str">
            <v>GDP per capita (current US$)</v>
          </cell>
          <cell r="D189" t="str">
            <v>NY.GDP.PCAP.CD</v>
          </cell>
          <cell r="E189">
            <v>3548.0693057211556</v>
          </cell>
          <cell r="F189">
            <v>3804.0827413109687</v>
          </cell>
          <cell r="G189">
            <v>3984.8315387656016</v>
          </cell>
        </row>
        <row r="190">
          <cell r="B190" t="str">
            <v>PLW</v>
          </cell>
          <cell r="C190" t="str">
            <v>GDP per capita (current US$)</v>
          </cell>
          <cell r="D190" t="str">
            <v>NY.GDP.PCAP.CD</v>
          </cell>
          <cell r="E190">
            <v>13729.760276149613</v>
          </cell>
          <cell r="F190">
            <v>15610.823193103235</v>
          </cell>
        </row>
        <row r="191">
          <cell r="B191" t="str">
            <v>PNG</v>
          </cell>
          <cell r="C191" t="str">
            <v>GDP per capita (current US$)</v>
          </cell>
          <cell r="D191" t="str">
            <v>NY.GDP.PCAP.CD</v>
          </cell>
          <cell r="E191">
            <v>3102.2896859406083</v>
          </cell>
          <cell r="F191">
            <v>2966.0683043205463</v>
          </cell>
          <cell r="G191">
            <v>3006.7056447892346</v>
          </cell>
        </row>
        <row r="192">
          <cell r="B192" t="str">
            <v>POL</v>
          </cell>
          <cell r="C192" t="str">
            <v>GDP per capita (current US$)</v>
          </cell>
          <cell r="D192" t="str">
            <v>NY.GDP.PCAP.CD</v>
          </cell>
          <cell r="E192">
            <v>18891.212116927858</v>
          </cell>
          <cell r="F192">
            <v>22145.266064742871</v>
          </cell>
          <cell r="G192">
            <v>25103.56566142297</v>
          </cell>
        </row>
        <row r="193">
          <cell r="B193" t="str">
            <v>PRE</v>
          </cell>
          <cell r="C193" t="str">
            <v>GDP per capita (current US$)</v>
          </cell>
          <cell r="D193" t="str">
            <v>NY.GDP.PCAP.CD</v>
          </cell>
          <cell r="E193">
            <v>1770.1557903278149</v>
          </cell>
          <cell r="F193">
            <v>1558.3434469340061</v>
          </cell>
          <cell r="G193">
            <v>1366.0657725562166</v>
          </cell>
        </row>
        <row r="194">
          <cell r="B194" t="str">
            <v>PRI</v>
          </cell>
          <cell r="C194" t="str">
            <v>GDP per capita (current US$)</v>
          </cell>
          <cell r="D194" t="str">
            <v>NY.GDP.PCAP.CD</v>
          </cell>
          <cell r="E194">
            <v>35353.682157001393</v>
          </cell>
          <cell r="F194">
            <v>36980.788478428687</v>
          </cell>
          <cell r="G194">
            <v>39343.715466013899</v>
          </cell>
        </row>
        <row r="195">
          <cell r="B195" t="str">
            <v>PRK</v>
          </cell>
          <cell r="C195" t="str">
            <v>GDP per capita (current US$)</v>
          </cell>
          <cell r="D195" t="str">
            <v>NY.GDP.PCAP.CD</v>
          </cell>
        </row>
        <row r="196">
          <cell r="B196" t="str">
            <v>PRT</v>
          </cell>
          <cell r="C196" t="str">
            <v>GDP per capita (current US$)</v>
          </cell>
          <cell r="D196" t="str">
            <v>NY.GDP.PCAP.CD</v>
          </cell>
          <cell r="E196">
            <v>24620.519758718081</v>
          </cell>
          <cell r="F196">
            <v>27634.618313977298</v>
          </cell>
          <cell r="G196">
            <v>29292.242104753037</v>
          </cell>
        </row>
        <row r="197">
          <cell r="B197" t="str">
            <v>PRY</v>
          </cell>
          <cell r="C197" t="str">
            <v>GDP per capita (current US$)</v>
          </cell>
          <cell r="D197" t="str">
            <v>NY.GDP.PCAP.CD</v>
          </cell>
          <cell r="E197">
            <v>6205.6259537931946</v>
          </cell>
          <cell r="F197">
            <v>6299.9902653371346</v>
          </cell>
          <cell r="G197">
            <v>6416.0970897084453</v>
          </cell>
        </row>
        <row r="198">
          <cell r="B198" t="str">
            <v>PSE</v>
          </cell>
          <cell r="C198" t="str">
            <v>GDP per capita (current US$)</v>
          </cell>
          <cell r="D198" t="str">
            <v>NY.GDP.PCAP.CD</v>
          </cell>
          <cell r="E198">
            <v>3799.9552701516295</v>
          </cell>
          <cell r="F198">
            <v>3455.0285291171217</v>
          </cell>
          <cell r="G198">
            <v>2592.30591217647</v>
          </cell>
        </row>
        <row r="199">
          <cell r="B199" t="str">
            <v>PSS</v>
          </cell>
          <cell r="C199" t="str">
            <v>GDP per capita (current US$)</v>
          </cell>
          <cell r="D199" t="str">
            <v>NY.GDP.PCAP.CD</v>
          </cell>
          <cell r="E199">
            <v>3896.8106084735514</v>
          </cell>
          <cell r="F199">
            <v>4173.7996474851252</v>
          </cell>
          <cell r="G199">
            <v>4453.5856128027572</v>
          </cell>
        </row>
        <row r="200">
          <cell r="B200" t="str">
            <v>PST</v>
          </cell>
          <cell r="C200" t="str">
            <v>GDP per capita (current US$)</v>
          </cell>
          <cell r="D200" t="str">
            <v>NY.GDP.PCAP.CD</v>
          </cell>
          <cell r="E200">
            <v>50969.801641013983</v>
          </cell>
          <cell r="F200">
            <v>53813.741830867752</v>
          </cell>
          <cell r="G200">
            <v>55644.314789934018</v>
          </cell>
        </row>
        <row r="201">
          <cell r="B201" t="str">
            <v>PYF</v>
          </cell>
          <cell r="C201" t="str">
            <v>GDP per capita (current US$)</v>
          </cell>
          <cell r="D201" t="str">
            <v>NY.GDP.PCAP.CD</v>
          </cell>
          <cell r="E201">
            <v>20053.956936932169</v>
          </cell>
          <cell r="F201">
            <v>21832.283179556853</v>
          </cell>
          <cell r="G201">
            <v>22439.883874602452</v>
          </cell>
        </row>
        <row r="202">
          <cell r="B202" t="str">
            <v>QAT</v>
          </cell>
          <cell r="C202" t="str">
            <v>GDP per capita (current US$)</v>
          </cell>
          <cell r="D202" t="str">
            <v>NY.GDP.PCAP.CD</v>
          </cell>
          <cell r="E202">
            <v>88701.468976353601</v>
          </cell>
          <cell r="F202">
            <v>81816.979796748114</v>
          </cell>
          <cell r="G202">
            <v>76688.694174317847</v>
          </cell>
        </row>
        <row r="203">
          <cell r="B203" t="str">
            <v>ROU</v>
          </cell>
          <cell r="C203" t="str">
            <v>GDP per capita (current US$)</v>
          </cell>
          <cell r="D203" t="str">
            <v>NY.GDP.PCAP.CD</v>
          </cell>
          <cell r="E203">
            <v>15503.551804597973</v>
          </cell>
          <cell r="F203">
            <v>18244.418687632093</v>
          </cell>
          <cell r="G203">
            <v>20080.209621559497</v>
          </cell>
        </row>
        <row r="204">
          <cell r="B204" t="str">
            <v>RUS</v>
          </cell>
          <cell r="C204" t="str">
            <v>GDP per capita (current US$)</v>
          </cell>
          <cell r="D204" t="str">
            <v>NY.GDP.PCAP.CD</v>
          </cell>
          <cell r="E204">
            <v>15619.6142578125</v>
          </cell>
          <cell r="F204">
            <v>14159.3876953125</v>
          </cell>
          <cell r="G204">
            <v>14889.0185546875</v>
          </cell>
        </row>
        <row r="205">
          <cell r="B205" t="str">
            <v>RWA</v>
          </cell>
          <cell r="C205" t="str">
            <v>GDP per capita (current US$)</v>
          </cell>
          <cell r="D205" t="str">
            <v>NY.GDP.PCAP.CD</v>
          </cell>
          <cell r="E205">
            <v>975.46932373536856</v>
          </cell>
          <cell r="F205">
            <v>1027.0344682656455</v>
          </cell>
          <cell r="G205">
            <v>999.65456165546982</v>
          </cell>
        </row>
        <row r="206">
          <cell r="B206" t="str">
            <v>SAS</v>
          </cell>
          <cell r="C206" t="str">
            <v>GDP per capita (current US$)</v>
          </cell>
          <cell r="D206" t="str">
            <v>NY.GDP.PCAP.CD</v>
          </cell>
          <cell r="E206">
            <v>2385.0834189627144</v>
          </cell>
          <cell r="F206">
            <v>2532.3898899330579</v>
          </cell>
          <cell r="G206">
            <v>2690.078837490028</v>
          </cell>
        </row>
        <row r="207">
          <cell r="B207" t="str">
            <v>SAU</v>
          </cell>
          <cell r="C207" t="str">
            <v>GDP per capita (current US$)</v>
          </cell>
          <cell r="D207" t="str">
            <v>NY.GDP.PCAP.CD</v>
          </cell>
          <cell r="E207">
            <v>38510.227621103739</v>
          </cell>
          <cell r="F207">
            <v>36156.848337700976</v>
          </cell>
          <cell r="G207">
            <v>35121.66286877422</v>
          </cell>
        </row>
        <row r="208">
          <cell r="B208" t="str">
            <v>SDN</v>
          </cell>
          <cell r="C208" t="str">
            <v>GDP per capita (current US$)</v>
          </cell>
          <cell r="D208" t="str">
            <v>NY.GDP.PCAP.CD</v>
          </cell>
          <cell r="E208">
            <v>1046.24084472656</v>
          </cell>
          <cell r="F208">
            <v>797.283447265625</v>
          </cell>
          <cell r="G208">
            <v>984.607666015625</v>
          </cell>
        </row>
        <row r="209">
          <cell r="B209" t="str">
            <v>SEN</v>
          </cell>
          <cell r="C209" t="str">
            <v>GDP per capita (current US$)</v>
          </cell>
          <cell r="D209" t="str">
            <v>NY.GDP.PCAP.CD</v>
          </cell>
          <cell r="E209">
            <v>1574.0281059305996</v>
          </cell>
          <cell r="F209">
            <v>1698.0338730084263</v>
          </cell>
          <cell r="G209">
            <v>1773.218299234481</v>
          </cell>
        </row>
        <row r="210">
          <cell r="B210" t="str">
            <v>SGP</v>
          </cell>
          <cell r="C210" t="str">
            <v>GDP per capita (current US$)</v>
          </cell>
          <cell r="D210" t="str">
            <v>NY.GDP.PCAP.CD</v>
          </cell>
          <cell r="E210">
            <v>90299.069463726904</v>
          </cell>
          <cell r="F210">
            <v>85412.230345235046</v>
          </cell>
          <cell r="G210">
            <v>90674.066632628004</v>
          </cell>
        </row>
        <row r="211">
          <cell r="B211" t="str">
            <v>SLB</v>
          </cell>
          <cell r="C211" t="str">
            <v>GDP per capita (current US$)</v>
          </cell>
          <cell r="D211" t="str">
            <v>NY.GDP.PCAP.CD</v>
          </cell>
          <cell r="E211">
            <v>1877.7810449095555</v>
          </cell>
          <cell r="F211">
            <v>1882.6439414804188</v>
          </cell>
          <cell r="G211">
            <v>1933.55538435227</v>
          </cell>
        </row>
        <row r="212">
          <cell r="B212" t="str">
            <v>SLE</v>
          </cell>
          <cell r="C212" t="str">
            <v>GDP per capita (current US$)</v>
          </cell>
          <cell r="D212" t="str">
            <v>NY.GDP.PCAP.CD</v>
          </cell>
          <cell r="E212">
            <v>860.37106791609642</v>
          </cell>
          <cell r="F212">
            <v>758.32913737824811</v>
          </cell>
          <cell r="G212">
            <v>806.65465041772586</v>
          </cell>
        </row>
        <row r="213">
          <cell r="B213" t="str">
            <v>SLV</v>
          </cell>
          <cell r="C213" t="str">
            <v>GDP per capita (current US$)</v>
          </cell>
          <cell r="D213" t="str">
            <v>NY.GDP.PCAP.CD</v>
          </cell>
          <cell r="E213">
            <v>5074.6021022180557</v>
          </cell>
          <cell r="F213">
            <v>5365.444913991706</v>
          </cell>
          <cell r="G213">
            <v>5579.6596916502858</v>
          </cell>
        </row>
        <row r="214">
          <cell r="B214" t="str">
            <v>SMR</v>
          </cell>
          <cell r="C214" t="str">
            <v>GDP per capita (current US$)</v>
          </cell>
          <cell r="D214" t="str">
            <v>NY.GDP.PCAP.CD</v>
          </cell>
          <cell r="E214">
            <v>54190.841770037157</v>
          </cell>
          <cell r="F214">
            <v>59879.717301565135</v>
          </cell>
        </row>
        <row r="215">
          <cell r="B215" t="str">
            <v>SOM</v>
          </cell>
          <cell r="C215" t="str">
            <v>GDP per capita (current US$)</v>
          </cell>
          <cell r="D215" t="str">
            <v>NY.GDP.PCAP.CD</v>
          </cell>
          <cell r="E215">
            <v>573.14116579822928</v>
          </cell>
          <cell r="F215">
            <v>596.88598513558895</v>
          </cell>
          <cell r="G215">
            <v>629.53889944900743</v>
          </cell>
        </row>
        <row r="216">
          <cell r="B216" t="str">
            <v>SRB</v>
          </cell>
          <cell r="C216" t="str">
            <v>GDP per capita (current US$)</v>
          </cell>
          <cell r="D216" t="str">
            <v>NY.GDP.PCAP.CD</v>
          </cell>
          <cell r="E216">
            <v>10024.819111259634</v>
          </cell>
          <cell r="F216">
            <v>12281.707946166955</v>
          </cell>
          <cell r="G216">
            <v>13679.206598355697</v>
          </cell>
        </row>
        <row r="217">
          <cell r="B217" t="str">
            <v>SSA</v>
          </cell>
          <cell r="C217" t="str">
            <v>GDP per capita (current US$)</v>
          </cell>
          <cell r="D217" t="str">
            <v>NY.GDP.PCAP.CD</v>
          </cell>
          <cell r="E217">
            <v>1963.8033003237426</v>
          </cell>
          <cell r="F217">
            <v>1750.1313683694621</v>
          </cell>
          <cell r="G217">
            <v>1576.6916687519144</v>
          </cell>
        </row>
        <row r="218">
          <cell r="B218" t="str">
            <v>SSD</v>
          </cell>
          <cell r="C218" t="str">
            <v>GDP per capita (current US$)</v>
          </cell>
          <cell r="D218" t="str">
            <v>NY.GDP.PCAP.CD</v>
          </cell>
        </row>
        <row r="219">
          <cell r="B219" t="str">
            <v>SSF</v>
          </cell>
          <cell r="C219" t="str">
            <v>GDP per capita (current US$)</v>
          </cell>
          <cell r="D219" t="str">
            <v>NY.GDP.PCAP.CD</v>
          </cell>
          <cell r="E219">
            <v>1865.1163526069879</v>
          </cell>
          <cell r="F219">
            <v>1680.7796667221833</v>
          </cell>
          <cell r="G219">
            <v>1532.9276355020681</v>
          </cell>
        </row>
        <row r="220">
          <cell r="B220" t="str">
            <v>SST</v>
          </cell>
          <cell r="C220" t="str">
            <v>GDP per capita (current US$)</v>
          </cell>
          <cell r="D220" t="str">
            <v>NY.GDP.PCAP.CD</v>
          </cell>
          <cell r="E220">
            <v>13636.466119078701</v>
          </cell>
          <cell r="F220">
            <v>14346.320278339559</v>
          </cell>
          <cell r="G220">
            <v>15383.342563867382</v>
          </cell>
        </row>
        <row r="221">
          <cell r="B221" t="str">
            <v>STP</v>
          </cell>
          <cell r="C221" t="str">
            <v>GDP per capita (current US$)</v>
          </cell>
          <cell r="D221" t="str">
            <v>NY.GDP.PCAP.CD</v>
          </cell>
          <cell r="E221">
            <v>2389.7372978473672</v>
          </cell>
          <cell r="F221">
            <v>2990.6606143534955</v>
          </cell>
          <cell r="G221">
            <v>3490.5688348655713</v>
          </cell>
        </row>
        <row r="222">
          <cell r="B222" t="str">
            <v>SUR</v>
          </cell>
          <cell r="C222" t="str">
            <v>GDP per capita (current US$)</v>
          </cell>
          <cell r="D222" t="str">
            <v>NY.GDP.PCAP.CD</v>
          </cell>
          <cell r="E222">
            <v>6084.4387673644524</v>
          </cell>
          <cell r="F222">
            <v>5521.97602122638</v>
          </cell>
          <cell r="G222">
            <v>6961.7895596152566</v>
          </cell>
        </row>
        <row r="223">
          <cell r="B223" t="str">
            <v>SVK</v>
          </cell>
          <cell r="C223" t="str">
            <v>GDP per capita (current US$)</v>
          </cell>
          <cell r="D223" t="str">
            <v>NY.GDP.PCAP.CD</v>
          </cell>
          <cell r="E223">
            <v>21317.794398236263</v>
          </cell>
          <cell r="F223">
            <v>24614.87346427939</v>
          </cell>
          <cell r="G223">
            <v>25992.674850204778</v>
          </cell>
        </row>
        <row r="224">
          <cell r="B224" t="str">
            <v>SVN</v>
          </cell>
          <cell r="C224" t="str">
            <v>GDP per capita (current US$)</v>
          </cell>
          <cell r="D224" t="str">
            <v>NY.GDP.PCAP.CD</v>
          </cell>
          <cell r="E224">
            <v>28360.304146726812</v>
          </cell>
          <cell r="F224">
            <v>32660.475358134645</v>
          </cell>
          <cell r="G224">
            <v>34301.031868659353</v>
          </cell>
        </row>
        <row r="225">
          <cell r="B225" t="str">
            <v>SWE</v>
          </cell>
          <cell r="C225" t="str">
            <v>GDP per capita (current US$)</v>
          </cell>
          <cell r="D225" t="str">
            <v>NY.GDP.PCAP.CD</v>
          </cell>
          <cell r="E225">
            <v>54836.890723512355</v>
          </cell>
          <cell r="F225">
            <v>54950.283472562231</v>
          </cell>
          <cell r="G225">
            <v>57117.487744061626</v>
          </cell>
        </row>
        <row r="226">
          <cell r="B226" t="str">
            <v>SWZ</v>
          </cell>
          <cell r="C226" t="str">
            <v>GDP per capita (current US$)</v>
          </cell>
          <cell r="D226" t="str">
            <v>NY.GDP.PCAP.CD</v>
          </cell>
          <cell r="E226">
            <v>3894.1620089869011</v>
          </cell>
          <cell r="F226">
            <v>3755.5211123246368</v>
          </cell>
          <cell r="G226">
            <v>3909.5589237818158</v>
          </cell>
        </row>
        <row r="227">
          <cell r="B227" t="str">
            <v>SXM</v>
          </cell>
          <cell r="C227" t="str">
            <v>GDP per capita (current US$)</v>
          </cell>
          <cell r="D227" t="str">
            <v>NY.GDP.PCAP.CD</v>
          </cell>
          <cell r="E227">
            <v>37793.12843991573</v>
          </cell>
          <cell r="F227">
            <v>39451.822336196303</v>
          </cell>
          <cell r="G227">
            <v>41472.5874498583</v>
          </cell>
        </row>
        <row r="228">
          <cell r="B228" t="str">
            <v>SYC</v>
          </cell>
          <cell r="C228" t="str">
            <v>GDP per capita (current US$)</v>
          </cell>
          <cell r="D228" t="str">
            <v>NY.GDP.PCAP.CD</v>
          </cell>
          <cell r="E228">
            <v>16836.672189538738</v>
          </cell>
          <cell r="F228">
            <v>18262.711584928707</v>
          </cell>
          <cell r="G228">
            <v>17858.822638397822</v>
          </cell>
        </row>
        <row r="229">
          <cell r="B229" t="str">
            <v>SYR</v>
          </cell>
          <cell r="C229" t="str">
            <v>GDP per capita (current US$)</v>
          </cell>
          <cell r="D229" t="str">
            <v>NY.GDP.PCAP.CD</v>
          </cell>
          <cell r="E229">
            <v>1051.6714958746265</v>
          </cell>
        </row>
        <row r="230">
          <cell r="B230" t="str">
            <v>TCA</v>
          </cell>
          <cell r="C230" t="str">
            <v>GDP per capita (current US$)</v>
          </cell>
          <cell r="D230" t="str">
            <v>NY.GDP.PCAP.CD</v>
          </cell>
          <cell r="E230">
            <v>31280.541802080836</v>
          </cell>
          <cell r="F230">
            <v>35470.215160829473</v>
          </cell>
          <cell r="G230">
            <v>37506.779843128825</v>
          </cell>
        </row>
        <row r="231">
          <cell r="B231" t="str">
            <v>TCD</v>
          </cell>
          <cell r="C231" t="str">
            <v>GDP per capita (current US$)</v>
          </cell>
          <cell r="D231" t="str">
            <v>NY.GDP.PCAP.CD</v>
          </cell>
          <cell r="E231">
            <v>966.03646827856767</v>
          </cell>
          <cell r="F231">
            <v>949.33345367459242</v>
          </cell>
          <cell r="G231">
            <v>961.55975562506023</v>
          </cell>
        </row>
        <row r="232">
          <cell r="B232" t="str">
            <v>TEA</v>
          </cell>
          <cell r="C232" t="str">
            <v>GDP per capita (current US$)</v>
          </cell>
          <cell r="D232" t="str">
            <v>NY.GDP.PCAP.CD</v>
          </cell>
          <cell r="E232">
            <v>10220.477443156704</v>
          </cell>
          <cell r="F232">
            <v>10239.81621788164</v>
          </cell>
          <cell r="G232">
            <v>10513.952932303326</v>
          </cell>
        </row>
        <row r="233">
          <cell r="B233" t="str">
            <v>TEC</v>
          </cell>
          <cell r="C233" t="str">
            <v>GDP per capita (current US$)</v>
          </cell>
          <cell r="D233" t="str">
            <v>NY.GDP.PCAP.CD</v>
          </cell>
          <cell r="E233">
            <v>11421.136442700137</v>
          </cell>
          <cell r="F233">
            <v>12129.864115543171</v>
          </cell>
          <cell r="G233">
            <v>13337.438695633742</v>
          </cell>
        </row>
        <row r="234">
          <cell r="B234" t="str">
            <v>TGO</v>
          </cell>
          <cell r="C234" t="str">
            <v>GDP per capita (current US$)</v>
          </cell>
          <cell r="D234" t="str">
            <v>NY.GDP.PCAP.CD</v>
          </cell>
          <cell r="E234">
            <v>951.23237869038655</v>
          </cell>
          <cell r="F234">
            <v>1055.0172787792565</v>
          </cell>
          <cell r="G234">
            <v>1119.3816050942892</v>
          </cell>
        </row>
        <row r="235">
          <cell r="B235" t="str">
            <v>THA</v>
          </cell>
          <cell r="C235" t="str">
            <v>GDP per capita (current US$)</v>
          </cell>
          <cell r="D235" t="str">
            <v>NY.GDP.PCAP.CD</v>
          </cell>
          <cell r="E235">
            <v>6909.3528181582678</v>
          </cell>
          <cell r="F235">
            <v>7195.1013091944869</v>
          </cell>
          <cell r="G235">
            <v>7346.620221421852</v>
          </cell>
        </row>
        <row r="236">
          <cell r="B236" t="str">
            <v>TJK</v>
          </cell>
          <cell r="C236" t="str">
            <v>GDP per capita (current US$)</v>
          </cell>
          <cell r="D236" t="str">
            <v>NY.GDP.PCAP.CD</v>
          </cell>
          <cell r="E236">
            <v>1052.1794948489417</v>
          </cell>
          <cell r="F236">
            <v>1178.4799006024873</v>
          </cell>
          <cell r="G236">
            <v>1341.2022902767226</v>
          </cell>
        </row>
        <row r="237">
          <cell r="B237" t="str">
            <v>TKM</v>
          </cell>
          <cell r="C237" t="str">
            <v>GDP per capita (current US$)</v>
          </cell>
          <cell r="D237" t="str">
            <v>NY.GDP.PCAP.CD</v>
          </cell>
          <cell r="E237">
            <v>5837.8422453894673</v>
          </cell>
          <cell r="F237">
            <v>6231.9132383969809</v>
          </cell>
          <cell r="G237">
            <v>6856.6580273020782</v>
          </cell>
        </row>
        <row r="238">
          <cell r="B238" t="str">
            <v>TLA</v>
          </cell>
          <cell r="C238" t="str">
            <v>GDP per capita (current US$)</v>
          </cell>
          <cell r="D238" t="str">
            <v>NY.GDP.PCAP.CD</v>
          </cell>
          <cell r="E238">
            <v>9174.5569045242792</v>
          </cell>
          <cell r="F238">
            <v>10260.519691578211</v>
          </cell>
          <cell r="G238">
            <v>10474.280994440764</v>
          </cell>
        </row>
        <row r="239">
          <cell r="B239" t="str">
            <v>TLS</v>
          </cell>
          <cell r="C239" t="str">
            <v>GDP per capita (current US$)</v>
          </cell>
          <cell r="D239" t="str">
            <v>NY.GDP.PCAP.CD</v>
          </cell>
          <cell r="E239">
            <v>2343.2495474018747</v>
          </cell>
          <cell r="F239">
            <v>1502.4114743821076</v>
          </cell>
          <cell r="G239">
            <v>1331.970513018503</v>
          </cell>
        </row>
        <row r="240">
          <cell r="B240" t="str">
            <v>TMN</v>
          </cell>
          <cell r="C240" t="str">
            <v>GDP per capita (current US$)</v>
          </cell>
          <cell r="D240" t="str">
            <v>NY.GDP.PCAP.CD</v>
          </cell>
          <cell r="E240">
            <v>3010.1965672691276</v>
          </cell>
          <cell r="F240">
            <v>2868.8862650121205</v>
          </cell>
          <cell r="G240">
            <v>2973.7749615526195</v>
          </cell>
        </row>
        <row r="241">
          <cell r="B241" t="str">
            <v>TON</v>
          </cell>
          <cell r="C241" t="str">
            <v>GDP per capita (current US$)</v>
          </cell>
          <cell r="D241" t="str">
            <v>NY.GDP.PCAP.CD</v>
          </cell>
          <cell r="E241">
            <v>5298.0194150995067</v>
          </cell>
          <cell r="F241">
            <v>5651.5937306315691</v>
          </cell>
        </row>
        <row r="242">
          <cell r="B242" t="str">
            <v>TSA</v>
          </cell>
          <cell r="C242" t="str">
            <v>GDP per capita (current US$)</v>
          </cell>
          <cell r="D242" t="str">
            <v>NY.GDP.PCAP.CD</v>
          </cell>
          <cell r="E242">
            <v>2385.0834189627144</v>
          </cell>
          <cell r="F242">
            <v>2532.3898899330579</v>
          </cell>
          <cell r="G242">
            <v>2690.078837490028</v>
          </cell>
        </row>
        <row r="243">
          <cell r="B243" t="str">
            <v>TSS</v>
          </cell>
          <cell r="C243" t="str">
            <v>GDP per capita (current US$)</v>
          </cell>
          <cell r="D243" t="str">
            <v>NY.GDP.PCAP.CD</v>
          </cell>
          <cell r="E243">
            <v>1865.1163526069879</v>
          </cell>
          <cell r="F243">
            <v>1680.7796667221826</v>
          </cell>
          <cell r="G243">
            <v>1532.9276355020681</v>
          </cell>
        </row>
        <row r="244">
          <cell r="B244" t="str">
            <v>TTO</v>
          </cell>
          <cell r="C244" t="str">
            <v>GDP per capita (current US$)</v>
          </cell>
          <cell r="D244" t="str">
            <v>NY.GDP.PCAP.CD</v>
          </cell>
          <cell r="E244">
            <v>20750.520243465224</v>
          </cell>
          <cell r="F244">
            <v>18308.453629857464</v>
          </cell>
          <cell r="G244">
            <v>18733.411040649364</v>
          </cell>
        </row>
        <row r="245">
          <cell r="B245" t="str">
            <v>TUN</v>
          </cell>
          <cell r="C245" t="str">
            <v>GDP per capita (current US$)</v>
          </cell>
          <cell r="D245" t="str">
            <v>NY.GDP.PCAP.CD</v>
          </cell>
          <cell r="E245">
            <v>3707.2928341438123</v>
          </cell>
          <cell r="F245">
            <v>3951.1168337692147</v>
          </cell>
          <cell r="G245">
            <v>4181.1378930122846</v>
          </cell>
        </row>
        <row r="246">
          <cell r="B246" t="str">
            <v>TUR</v>
          </cell>
          <cell r="C246" t="str">
            <v>GDP per capita (current US$)</v>
          </cell>
          <cell r="D246" t="str">
            <v>NY.GDP.PCAP.CD</v>
          </cell>
          <cell r="E246">
            <v>10897.83978613649</v>
          </cell>
          <cell r="F246">
            <v>13375.094728286429</v>
          </cell>
          <cell r="G246">
            <v>15892.715728724077</v>
          </cell>
        </row>
        <row r="247">
          <cell r="B247" t="str">
            <v>TUV</v>
          </cell>
          <cell r="C247" t="str">
            <v>GDP per capita (current US$)</v>
          </cell>
          <cell r="D247" t="str">
            <v>NY.GDP.PCAP.CD</v>
          </cell>
          <cell r="E247">
            <v>5911.3272705530135</v>
          </cell>
          <cell r="F247">
            <v>6344.7750188689033</v>
          </cell>
        </row>
        <row r="248">
          <cell r="B248" t="str">
            <v>TZA</v>
          </cell>
          <cell r="C248" t="str">
            <v>GDP per capita (current US$)</v>
          </cell>
          <cell r="D248" t="str">
            <v>NY.GDP.PCAP.CD</v>
          </cell>
          <cell r="E248">
            <v>1207.52062988281</v>
          </cell>
          <cell r="F248">
            <v>1224.00219726563</v>
          </cell>
          <cell r="G248">
            <v>1186.71691894531</v>
          </cell>
        </row>
        <row r="249">
          <cell r="B249" t="str">
            <v>UGA</v>
          </cell>
          <cell r="C249" t="str">
            <v>GDP per capita (current US$)</v>
          </cell>
          <cell r="D249" t="str">
            <v>NY.GDP.PCAP.CD</v>
          </cell>
          <cell r="E249">
            <v>963.06731411717828</v>
          </cell>
          <cell r="F249">
            <v>1002.3091391714248</v>
          </cell>
          <cell r="G249">
            <v>1077.9127845281687</v>
          </cell>
        </row>
        <row r="250">
          <cell r="B250" t="str">
            <v>UKR</v>
          </cell>
          <cell r="C250" t="str">
            <v>GDP per capita (current US$)</v>
          </cell>
          <cell r="D250" t="str">
            <v>NY.GDP.PCAP.CD</v>
          </cell>
          <cell r="E250">
            <v>4199.6708984375</v>
          </cell>
          <cell r="F250">
            <v>5139.59814453125</v>
          </cell>
          <cell r="G250">
            <v>5389.47314453125</v>
          </cell>
        </row>
        <row r="251">
          <cell r="B251" t="str">
            <v>UMC</v>
          </cell>
          <cell r="C251" t="str">
            <v>GDP per capita (current US$)</v>
          </cell>
          <cell r="D251" t="str">
            <v>NY.GDP.PCAP.CD</v>
          </cell>
          <cell r="E251">
            <v>10324.519312432929</v>
          </cell>
          <cell r="F251">
            <v>10657.968611127922</v>
          </cell>
          <cell r="G251">
            <v>10996.101696106976</v>
          </cell>
        </row>
        <row r="252">
          <cell r="B252" t="str">
            <v>URY</v>
          </cell>
          <cell r="C252" t="str">
            <v>GDP per capita (current US$)</v>
          </cell>
          <cell r="D252" t="str">
            <v>NY.GDP.PCAP.CD</v>
          </cell>
          <cell r="E252">
            <v>20818.614609114353</v>
          </cell>
          <cell r="F252">
            <v>23019.422156004592</v>
          </cell>
          <cell r="G252">
            <v>23906.513302940792</v>
          </cell>
        </row>
        <row r="253">
          <cell r="B253" t="str">
            <v>USA</v>
          </cell>
          <cell r="C253" t="str">
            <v>GDP per capita (current US$)</v>
          </cell>
          <cell r="D253" t="str">
            <v>NY.GDP.PCAP.CD</v>
          </cell>
          <cell r="E253">
            <v>76657.248884440341</v>
          </cell>
          <cell r="F253">
            <v>81032.26211754496</v>
          </cell>
          <cell r="G253">
            <v>84534.040784154844</v>
          </cell>
        </row>
        <row r="254">
          <cell r="B254" t="str">
            <v>UZB</v>
          </cell>
          <cell r="C254" t="str">
            <v>GDP per capita (current US$)</v>
          </cell>
          <cell r="D254" t="str">
            <v>NY.GDP.PCAP.CD</v>
          </cell>
          <cell r="E254">
            <v>2578.6668939421884</v>
          </cell>
          <cell r="F254">
            <v>2878.9687929245074</v>
          </cell>
          <cell r="G254">
            <v>3161.7001063287503</v>
          </cell>
        </row>
        <row r="255">
          <cell r="B255" t="str">
            <v>VCT</v>
          </cell>
          <cell r="C255" t="str">
            <v>GDP per capita (current US$)</v>
          </cell>
          <cell r="D255" t="str">
            <v>NY.GDP.PCAP.CD</v>
          </cell>
          <cell r="E255">
            <v>9693.5586783302515</v>
          </cell>
          <cell r="F255">
            <v>10582.365672522892</v>
          </cell>
          <cell r="G255">
            <v>11501.226518718766</v>
          </cell>
        </row>
        <row r="256">
          <cell r="B256" t="str">
            <v>VEN</v>
          </cell>
          <cell r="C256" t="str">
            <v>GDP per capita (current US$)</v>
          </cell>
          <cell r="D256" t="str">
            <v>NY.GDP.PCAP.CD</v>
          </cell>
          <cell r="E256">
            <v>3155.0420709968707</v>
          </cell>
          <cell r="F256">
            <v>3617.4359457826904</v>
          </cell>
          <cell r="G256">
            <v>4217.5910264339145</v>
          </cell>
        </row>
        <row r="257">
          <cell r="B257" t="str">
            <v>VGB</v>
          </cell>
          <cell r="C257" t="str">
            <v>GDP per capita (current US$)</v>
          </cell>
          <cell r="D257" t="str">
            <v>NY.GDP.PCAP.CD</v>
          </cell>
        </row>
        <row r="258">
          <cell r="B258" t="str">
            <v>VIR</v>
          </cell>
          <cell r="C258" t="str">
            <v>GDP per capita (current US$)</v>
          </cell>
          <cell r="D258" t="str">
            <v>NY.GDP.PCAP.CD</v>
          </cell>
          <cell r="E258">
            <v>44320.90918577405</v>
          </cell>
        </row>
        <row r="259">
          <cell r="B259" t="str">
            <v>VNM</v>
          </cell>
          <cell r="C259" t="str">
            <v>GDP per capita (current US$)</v>
          </cell>
          <cell r="D259" t="str">
            <v>NY.GDP.PCAP.CD</v>
          </cell>
          <cell r="E259">
            <v>4147.69777213621</v>
          </cell>
          <cell r="F259">
            <v>4323.3503198245135</v>
          </cell>
          <cell r="G259">
            <v>4717.2902873244884</v>
          </cell>
        </row>
        <row r="260">
          <cell r="B260" t="str">
            <v>VUT</v>
          </cell>
          <cell r="C260" t="str">
            <v>GDP per capita (current US$)</v>
          </cell>
          <cell r="D260" t="str">
            <v>NY.GDP.PCAP.CD</v>
          </cell>
          <cell r="E260">
            <v>3370.2119195695336</v>
          </cell>
          <cell r="F260">
            <v>3482.6145823763695</v>
          </cell>
          <cell r="G260">
            <v>3410.7702316709738</v>
          </cell>
        </row>
        <row r="261">
          <cell r="B261" t="str">
            <v>WLD</v>
          </cell>
          <cell r="C261" t="str">
            <v>GDP per capita (current US$)</v>
          </cell>
          <cell r="D261" t="str">
            <v>NY.GDP.PCAP.CD</v>
          </cell>
          <cell r="E261">
            <v>12798.165846531852</v>
          </cell>
          <cell r="F261">
            <v>13236.716396091677</v>
          </cell>
          <cell r="G261">
            <v>13631.204309721546</v>
          </cell>
        </row>
        <row r="262">
          <cell r="B262" t="str">
            <v>WSM</v>
          </cell>
          <cell r="C262" t="str">
            <v>GDP per capita (current US$)</v>
          </cell>
          <cell r="D262" t="str">
            <v>NY.GDP.PCAP.CD</v>
          </cell>
          <cell r="E262">
            <v>4132.4471773444357</v>
          </cell>
          <cell r="F262">
            <v>4822.7408465001881</v>
          </cell>
          <cell r="G262">
            <v>5392.8776191576198</v>
          </cell>
        </row>
        <row r="263">
          <cell r="B263" t="str">
            <v>XKX</v>
          </cell>
          <cell r="C263" t="str">
            <v>GDP per capita (current US$)</v>
          </cell>
          <cell r="D263" t="str">
            <v>NY.GDP.PCAP.CD</v>
          </cell>
          <cell r="E263">
            <v>5290.9500650970576</v>
          </cell>
          <cell r="F263">
            <v>6221.2061884779905</v>
          </cell>
          <cell r="G263">
            <v>7023.0659851287764</v>
          </cell>
        </row>
        <row r="264">
          <cell r="B264" t="str">
            <v>YEM</v>
          </cell>
          <cell r="C264" t="str">
            <v>GDP per capita (current US$)</v>
          </cell>
          <cell r="D264" t="str">
            <v>NY.GDP.PCAP.CD</v>
          </cell>
        </row>
        <row r="265">
          <cell r="B265" t="str">
            <v>ZAF</v>
          </cell>
          <cell r="C265" t="str">
            <v>GDP per capita (current US$)</v>
          </cell>
          <cell r="D265" t="str">
            <v>NY.GDP.PCAP.CD</v>
          </cell>
          <cell r="E265">
            <v>6534.2486778339689</v>
          </cell>
          <cell r="F265">
            <v>6034.2720896467317</v>
          </cell>
          <cell r="G265">
            <v>6267.1868140930046</v>
          </cell>
        </row>
        <row r="266">
          <cell r="B266" t="str">
            <v>ZMB</v>
          </cell>
          <cell r="C266" t="str">
            <v>GDP per capita (current US$)</v>
          </cell>
          <cell r="D266" t="str">
            <v>NY.GDP.PCAP.CD</v>
          </cell>
          <cell r="E266">
            <v>1447.1231013803463</v>
          </cell>
          <cell r="F266">
            <v>1330.7278057670908</v>
          </cell>
          <cell r="G266">
            <v>1187.1094335006403</v>
          </cell>
        </row>
        <row r="267">
          <cell r="B267" t="str">
            <v>ZWE</v>
          </cell>
          <cell r="C267" t="str">
            <v>GDP per capita (current US$)</v>
          </cell>
          <cell r="D267" t="str">
            <v>NY.GDP.PCAP.CD</v>
          </cell>
          <cell r="E267">
            <v>2536.4005022307556</v>
          </cell>
          <cell r="F267">
            <v>2195.2249207924506</v>
          </cell>
          <cell r="G267">
            <v>2497.203322087631</v>
          </cell>
        </row>
      </sheetData>
      <sheetData sheetId="1">
        <row r="1">
          <cell r="A1" t="str">
            <v>Country Code</v>
          </cell>
          <cell r="B1" t="str">
            <v>Region</v>
          </cell>
          <cell r="C1" t="str">
            <v>IncomeGroup</v>
          </cell>
        </row>
        <row r="2">
          <cell r="A2" t="str">
            <v>ABW</v>
          </cell>
          <cell r="B2" t="str">
            <v>Latin America &amp; Caribbean</v>
          </cell>
          <cell r="C2" t="str">
            <v>High income</v>
          </cell>
        </row>
        <row r="3">
          <cell r="A3" t="str">
            <v>AFE</v>
          </cell>
        </row>
        <row r="4">
          <cell r="A4" t="str">
            <v>AFG</v>
          </cell>
          <cell r="B4" t="str">
            <v>Middle East &amp; North Africa</v>
          </cell>
          <cell r="C4" t="str">
            <v>Low income</v>
          </cell>
        </row>
        <row r="5">
          <cell r="A5" t="str">
            <v>AFW</v>
          </cell>
        </row>
        <row r="6">
          <cell r="A6" t="str">
            <v>AGO</v>
          </cell>
          <cell r="B6" t="str">
            <v>Sub-Saharan Africa</v>
          </cell>
          <cell r="C6" t="str">
            <v>Lower middle income</v>
          </cell>
        </row>
        <row r="7">
          <cell r="A7" t="str">
            <v>ALB</v>
          </cell>
          <cell r="B7" t="str">
            <v>Europe &amp; Central Asia</v>
          </cell>
          <cell r="C7" t="str">
            <v>Upper middle income</v>
          </cell>
        </row>
        <row r="8">
          <cell r="A8" t="str">
            <v>AND</v>
          </cell>
          <cell r="B8" t="str">
            <v>Europe &amp; Central Asia</v>
          </cell>
          <cell r="C8" t="str">
            <v>High income</v>
          </cell>
        </row>
        <row r="9">
          <cell r="A9" t="str">
            <v>ARB</v>
          </cell>
        </row>
        <row r="10">
          <cell r="A10" t="str">
            <v>ARE</v>
          </cell>
          <cell r="B10" t="str">
            <v>Middle East &amp; North Africa</v>
          </cell>
          <cell r="C10" t="str">
            <v>High income</v>
          </cell>
        </row>
        <row r="11">
          <cell r="A11" t="str">
            <v>ARG</v>
          </cell>
          <cell r="B11" t="str">
            <v>Latin America &amp; Caribbean</v>
          </cell>
          <cell r="C11" t="str">
            <v>Upper middle income</v>
          </cell>
        </row>
        <row r="12">
          <cell r="A12" t="str">
            <v>ARM</v>
          </cell>
          <cell r="B12" t="str">
            <v>Europe &amp; Central Asia</v>
          </cell>
          <cell r="C12" t="str">
            <v>Upper middle income</v>
          </cell>
        </row>
        <row r="13">
          <cell r="A13" t="str">
            <v>ASM</v>
          </cell>
          <cell r="B13" t="str">
            <v>East Asia &amp; Pacific</v>
          </cell>
          <cell r="C13" t="str">
            <v>High income</v>
          </cell>
        </row>
        <row r="14">
          <cell r="A14" t="str">
            <v>ATG</v>
          </cell>
          <cell r="B14" t="str">
            <v>Latin America &amp; Caribbean</v>
          </cell>
          <cell r="C14" t="str">
            <v>High income</v>
          </cell>
        </row>
        <row r="15">
          <cell r="A15" t="str">
            <v>AUS</v>
          </cell>
          <cell r="B15" t="str">
            <v>East Asia &amp; Pacific</v>
          </cell>
          <cell r="C15" t="str">
            <v>High income</v>
          </cell>
        </row>
        <row r="16">
          <cell r="A16" t="str">
            <v>AUT</v>
          </cell>
          <cell r="B16" t="str">
            <v>Europe &amp; Central Asia</v>
          </cell>
          <cell r="C16" t="str">
            <v>High income</v>
          </cell>
        </row>
        <row r="17">
          <cell r="A17" t="str">
            <v>AZE</v>
          </cell>
          <cell r="B17" t="str">
            <v>Europe &amp; Central Asia</v>
          </cell>
          <cell r="C17" t="str">
            <v>Upper middle income</v>
          </cell>
        </row>
        <row r="18">
          <cell r="A18" t="str">
            <v>BDI</v>
          </cell>
          <cell r="B18" t="str">
            <v>Sub-Saharan Africa</v>
          </cell>
          <cell r="C18" t="str">
            <v>Low income</v>
          </cell>
        </row>
        <row r="19">
          <cell r="A19" t="str">
            <v>BEL</v>
          </cell>
          <cell r="B19" t="str">
            <v>Europe &amp; Central Asia</v>
          </cell>
          <cell r="C19" t="str">
            <v>High income</v>
          </cell>
        </row>
        <row r="20">
          <cell r="A20" t="str">
            <v>BEN</v>
          </cell>
          <cell r="B20" t="str">
            <v>Sub-Saharan Africa</v>
          </cell>
          <cell r="C20" t="str">
            <v>Lower middle income</v>
          </cell>
        </row>
        <row r="21">
          <cell r="A21" t="str">
            <v>BFA</v>
          </cell>
          <cell r="B21" t="str">
            <v>Sub-Saharan Africa</v>
          </cell>
          <cell r="C21" t="str">
            <v>Low income</v>
          </cell>
        </row>
        <row r="22">
          <cell r="A22" t="str">
            <v>BGD</v>
          </cell>
          <cell r="B22" t="str">
            <v>South Asia</v>
          </cell>
          <cell r="C22" t="str">
            <v>Lower middle income</v>
          </cell>
        </row>
        <row r="23">
          <cell r="A23" t="str">
            <v>BGR</v>
          </cell>
          <cell r="B23" t="str">
            <v>Europe &amp; Central Asia</v>
          </cell>
          <cell r="C23" t="str">
            <v>High income</v>
          </cell>
        </row>
        <row r="24">
          <cell r="A24" t="str">
            <v>BHR</v>
          </cell>
          <cell r="B24" t="str">
            <v>Middle East &amp; North Africa</v>
          </cell>
          <cell r="C24" t="str">
            <v>High income</v>
          </cell>
        </row>
        <row r="25">
          <cell r="A25" t="str">
            <v>BHS</v>
          </cell>
          <cell r="B25" t="str">
            <v>Latin America &amp; Caribbean</v>
          </cell>
          <cell r="C25" t="str">
            <v>High income</v>
          </cell>
        </row>
        <row r="26">
          <cell r="A26" t="str">
            <v>BIH</v>
          </cell>
          <cell r="B26" t="str">
            <v>Europe &amp; Central Asia</v>
          </cell>
          <cell r="C26" t="str">
            <v>Upper middle income</v>
          </cell>
        </row>
        <row r="27">
          <cell r="A27" t="str">
            <v>BLR</v>
          </cell>
          <cell r="B27" t="str">
            <v>Europe &amp; Central Asia</v>
          </cell>
          <cell r="C27" t="str">
            <v>Upper middle income</v>
          </cell>
        </row>
        <row r="28">
          <cell r="A28" t="str">
            <v>BLZ</v>
          </cell>
          <cell r="B28" t="str">
            <v>Latin America &amp; Caribbean</v>
          </cell>
          <cell r="C28" t="str">
            <v>Upper middle income</v>
          </cell>
        </row>
        <row r="29">
          <cell r="A29" t="str">
            <v>BMU</v>
          </cell>
          <cell r="B29" t="str">
            <v>North America</v>
          </cell>
          <cell r="C29" t="str">
            <v>High income</v>
          </cell>
        </row>
        <row r="30">
          <cell r="A30" t="str">
            <v>BOL</v>
          </cell>
          <cell r="B30" t="str">
            <v>Latin America &amp; Caribbean</v>
          </cell>
          <cell r="C30" t="str">
            <v>Lower middle income</v>
          </cell>
        </row>
        <row r="31">
          <cell r="A31" t="str">
            <v>BRA</v>
          </cell>
          <cell r="B31" t="str">
            <v>Latin America &amp; Caribbean</v>
          </cell>
          <cell r="C31" t="str">
            <v>Upper middle income</v>
          </cell>
        </row>
        <row r="32">
          <cell r="A32" t="str">
            <v>BRB</v>
          </cell>
          <cell r="B32" t="str">
            <v>Latin America &amp; Caribbean</v>
          </cell>
          <cell r="C32" t="str">
            <v>High income</v>
          </cell>
        </row>
        <row r="33">
          <cell r="A33" t="str">
            <v>BRN</v>
          </cell>
          <cell r="B33" t="str">
            <v>East Asia &amp; Pacific</v>
          </cell>
          <cell r="C33" t="str">
            <v>High income</v>
          </cell>
        </row>
        <row r="34">
          <cell r="A34" t="str">
            <v>BTN</v>
          </cell>
          <cell r="B34" t="str">
            <v>South Asia</v>
          </cell>
          <cell r="C34" t="str">
            <v>Lower middle income</v>
          </cell>
        </row>
        <row r="35">
          <cell r="A35" t="str">
            <v>BWA</v>
          </cell>
          <cell r="B35" t="str">
            <v>Sub-Saharan Africa</v>
          </cell>
          <cell r="C35" t="str">
            <v>Upper middle income</v>
          </cell>
        </row>
        <row r="36">
          <cell r="A36" t="str">
            <v>CAF</v>
          </cell>
          <cell r="B36" t="str">
            <v>Sub-Saharan Africa</v>
          </cell>
          <cell r="C36" t="str">
            <v>Low income</v>
          </cell>
        </row>
        <row r="37">
          <cell r="A37" t="str">
            <v>CAN</v>
          </cell>
          <cell r="B37" t="str">
            <v>North America</v>
          </cell>
          <cell r="C37" t="str">
            <v>High income</v>
          </cell>
        </row>
        <row r="38">
          <cell r="A38" t="str">
            <v>CEB</v>
          </cell>
        </row>
        <row r="39">
          <cell r="A39" t="str">
            <v>CHE</v>
          </cell>
          <cell r="B39" t="str">
            <v>Europe &amp; Central Asia</v>
          </cell>
          <cell r="C39" t="str">
            <v>High income</v>
          </cell>
        </row>
        <row r="40">
          <cell r="A40" t="str">
            <v>CHI</v>
          </cell>
          <cell r="B40" t="str">
            <v>Europe &amp; Central Asia</v>
          </cell>
          <cell r="C40" t="str">
            <v>High income</v>
          </cell>
        </row>
        <row r="41">
          <cell r="A41" t="str">
            <v>CHL</v>
          </cell>
          <cell r="B41" t="str">
            <v>Latin America &amp; Caribbean</v>
          </cell>
          <cell r="C41" t="str">
            <v>High income</v>
          </cell>
        </row>
        <row r="42">
          <cell r="A42" t="str">
            <v>CHN</v>
          </cell>
          <cell r="B42" t="str">
            <v>East Asia &amp; Pacific</v>
          </cell>
          <cell r="C42" t="str">
            <v>Upper middle income</v>
          </cell>
        </row>
        <row r="43">
          <cell r="A43" t="str">
            <v>CIV</v>
          </cell>
          <cell r="B43" t="str">
            <v>Sub-Saharan Africa</v>
          </cell>
          <cell r="C43" t="str">
            <v>Lower middle income</v>
          </cell>
        </row>
        <row r="44">
          <cell r="A44" t="str">
            <v>CMR</v>
          </cell>
          <cell r="B44" t="str">
            <v>Sub-Saharan Africa</v>
          </cell>
          <cell r="C44" t="str">
            <v>Lower middle income</v>
          </cell>
        </row>
        <row r="45">
          <cell r="A45" t="str">
            <v>COD</v>
          </cell>
          <cell r="B45" t="str">
            <v>Sub-Saharan Africa</v>
          </cell>
          <cell r="C45" t="str">
            <v>Low income</v>
          </cell>
        </row>
        <row r="46">
          <cell r="A46" t="str">
            <v>COG</v>
          </cell>
          <cell r="B46" t="str">
            <v>Sub-Saharan Africa</v>
          </cell>
          <cell r="C46" t="str">
            <v>Lower middle income</v>
          </cell>
        </row>
        <row r="47">
          <cell r="A47" t="str">
            <v>COL</v>
          </cell>
          <cell r="B47" t="str">
            <v>Latin America &amp; Caribbean</v>
          </cell>
          <cell r="C47" t="str">
            <v>Upper middle income</v>
          </cell>
        </row>
        <row r="48">
          <cell r="A48" t="str">
            <v>COM</v>
          </cell>
          <cell r="B48" t="str">
            <v>Sub-Saharan Africa</v>
          </cell>
          <cell r="C48" t="str">
            <v>Lower middle income</v>
          </cell>
        </row>
        <row r="49">
          <cell r="A49" t="str">
            <v>CPV</v>
          </cell>
          <cell r="B49" t="str">
            <v>Sub-Saharan Africa</v>
          </cell>
          <cell r="C49" t="str">
            <v>Upper middle income</v>
          </cell>
        </row>
        <row r="50">
          <cell r="A50" t="str">
            <v>CRI</v>
          </cell>
          <cell r="B50" t="str">
            <v>Latin America &amp; Caribbean</v>
          </cell>
          <cell r="C50" t="str">
            <v>High income</v>
          </cell>
        </row>
        <row r="51">
          <cell r="A51" t="str">
            <v>CSS</v>
          </cell>
        </row>
        <row r="52">
          <cell r="A52" t="str">
            <v>CUB</v>
          </cell>
          <cell r="B52" t="str">
            <v>Latin America &amp; Caribbean</v>
          </cell>
          <cell r="C52" t="str">
            <v>Upper middle income</v>
          </cell>
        </row>
        <row r="53">
          <cell r="A53" t="str">
            <v>CUW</v>
          </cell>
          <cell r="B53" t="str">
            <v>Latin America &amp; Caribbean</v>
          </cell>
          <cell r="C53" t="str">
            <v>High income</v>
          </cell>
        </row>
        <row r="54">
          <cell r="A54" t="str">
            <v>CYM</v>
          </cell>
          <cell r="B54" t="str">
            <v>Latin America &amp; Caribbean</v>
          </cell>
          <cell r="C54" t="str">
            <v>High income</v>
          </cell>
        </row>
        <row r="55">
          <cell r="A55" t="str">
            <v>CYP</v>
          </cell>
          <cell r="B55" t="str">
            <v>Europe &amp; Central Asia</v>
          </cell>
          <cell r="C55" t="str">
            <v>High income</v>
          </cell>
        </row>
        <row r="56">
          <cell r="A56" t="str">
            <v>CZE</v>
          </cell>
          <cell r="B56" t="str">
            <v>Europe &amp; Central Asia</v>
          </cell>
          <cell r="C56" t="str">
            <v>High income</v>
          </cell>
        </row>
        <row r="57">
          <cell r="A57" t="str">
            <v>DEU</v>
          </cell>
          <cell r="B57" t="str">
            <v>Europe &amp; Central Asia</v>
          </cell>
          <cell r="C57" t="str">
            <v>High income</v>
          </cell>
        </row>
        <row r="58">
          <cell r="A58" t="str">
            <v>DJI</v>
          </cell>
          <cell r="B58" t="str">
            <v>Middle East &amp; North Africa</v>
          </cell>
          <cell r="C58" t="str">
            <v>Lower middle income</v>
          </cell>
        </row>
        <row r="59">
          <cell r="A59" t="str">
            <v>DMA</v>
          </cell>
          <cell r="B59" t="str">
            <v>Latin America &amp; Caribbean</v>
          </cell>
          <cell r="C59" t="str">
            <v>Upper middle income</v>
          </cell>
        </row>
        <row r="60">
          <cell r="A60" t="str">
            <v>DNK</v>
          </cell>
          <cell r="B60" t="str">
            <v>Europe &amp; Central Asia</v>
          </cell>
          <cell r="C60" t="str">
            <v>High income</v>
          </cell>
        </row>
        <row r="61">
          <cell r="A61" t="str">
            <v>DOM</v>
          </cell>
          <cell r="B61" t="str">
            <v>Latin America &amp; Caribbean</v>
          </cell>
          <cell r="C61" t="str">
            <v>Upper middle income</v>
          </cell>
        </row>
        <row r="62">
          <cell r="A62" t="str">
            <v>DZA</v>
          </cell>
          <cell r="B62" t="str">
            <v>Middle East &amp; North Africa</v>
          </cell>
          <cell r="C62" t="str">
            <v>Upper middle income</v>
          </cell>
        </row>
        <row r="63">
          <cell r="A63" t="str">
            <v>EAP</v>
          </cell>
        </row>
        <row r="64">
          <cell r="A64" t="str">
            <v>EAR</v>
          </cell>
        </row>
        <row r="65">
          <cell r="A65" t="str">
            <v>EAS</v>
          </cell>
        </row>
        <row r="66">
          <cell r="A66" t="str">
            <v>ECA</v>
          </cell>
        </row>
        <row r="67">
          <cell r="A67" t="str">
            <v>ECS</v>
          </cell>
        </row>
        <row r="68">
          <cell r="A68" t="str">
            <v>ECU</v>
          </cell>
          <cell r="B68" t="str">
            <v>Latin America &amp; Caribbean</v>
          </cell>
          <cell r="C68" t="str">
            <v>Upper middle income</v>
          </cell>
        </row>
        <row r="69">
          <cell r="A69" t="str">
            <v>EGY</v>
          </cell>
          <cell r="B69" t="str">
            <v>Middle East &amp; North Africa</v>
          </cell>
          <cell r="C69" t="str">
            <v>Lower middle income</v>
          </cell>
        </row>
        <row r="70">
          <cell r="A70" t="str">
            <v>EMU</v>
          </cell>
        </row>
        <row r="71">
          <cell r="A71" t="str">
            <v>ERI</v>
          </cell>
          <cell r="B71" t="str">
            <v>Sub-Saharan Africa</v>
          </cell>
          <cell r="C71" t="str">
            <v>Low income</v>
          </cell>
        </row>
        <row r="72">
          <cell r="A72" t="str">
            <v>ESP</v>
          </cell>
          <cell r="B72" t="str">
            <v>Europe &amp; Central Asia</v>
          </cell>
          <cell r="C72" t="str">
            <v>High income</v>
          </cell>
        </row>
        <row r="73">
          <cell r="A73" t="str">
            <v>EST</v>
          </cell>
          <cell r="B73" t="str">
            <v>Europe &amp; Central Asia</v>
          </cell>
          <cell r="C73" t="str">
            <v>High income</v>
          </cell>
        </row>
        <row r="74">
          <cell r="A74" t="str">
            <v>ETH</v>
          </cell>
          <cell r="B74" t="str">
            <v>Sub-Saharan Africa</v>
          </cell>
        </row>
        <row r="75">
          <cell r="A75" t="str">
            <v>EUU</v>
          </cell>
        </row>
        <row r="76">
          <cell r="A76" t="str">
            <v>FCS</v>
          </cell>
        </row>
        <row r="77">
          <cell r="A77" t="str">
            <v>FIN</v>
          </cell>
          <cell r="B77" t="str">
            <v>Europe &amp; Central Asia</v>
          </cell>
          <cell r="C77" t="str">
            <v>High income</v>
          </cell>
        </row>
        <row r="78">
          <cell r="A78" t="str">
            <v>FJI</v>
          </cell>
          <cell r="B78" t="str">
            <v>East Asia &amp; Pacific</v>
          </cell>
          <cell r="C78" t="str">
            <v>Upper middle income</v>
          </cell>
        </row>
        <row r="79">
          <cell r="A79" t="str">
            <v>FRA</v>
          </cell>
          <cell r="B79" t="str">
            <v>Europe &amp; Central Asia</v>
          </cell>
          <cell r="C79" t="str">
            <v>High income</v>
          </cell>
        </row>
        <row r="80">
          <cell r="A80" t="str">
            <v>FRO</v>
          </cell>
          <cell r="B80" t="str">
            <v>Europe &amp; Central Asia</v>
          </cell>
          <cell r="C80" t="str">
            <v>High income</v>
          </cell>
        </row>
        <row r="81">
          <cell r="A81" t="str">
            <v>FSM</v>
          </cell>
          <cell r="B81" t="str">
            <v>East Asia &amp; Pacific</v>
          </cell>
          <cell r="C81" t="str">
            <v>Lower middle income</v>
          </cell>
        </row>
        <row r="82">
          <cell r="A82" t="str">
            <v>GAB</v>
          </cell>
          <cell r="B82" t="str">
            <v>Sub-Saharan Africa</v>
          </cell>
          <cell r="C82" t="str">
            <v>Upper middle income</v>
          </cell>
        </row>
        <row r="83">
          <cell r="A83" t="str">
            <v>GBR</v>
          </cell>
          <cell r="B83" t="str">
            <v>Europe &amp; Central Asia</v>
          </cell>
          <cell r="C83" t="str">
            <v>High income</v>
          </cell>
        </row>
        <row r="84">
          <cell r="A84" t="str">
            <v>GEO</v>
          </cell>
          <cell r="B84" t="str">
            <v>Europe &amp; Central Asia</v>
          </cell>
          <cell r="C84" t="str">
            <v>Upper middle income</v>
          </cell>
        </row>
        <row r="85">
          <cell r="A85" t="str">
            <v>GHA</v>
          </cell>
          <cell r="B85" t="str">
            <v>Sub-Saharan Africa</v>
          </cell>
          <cell r="C85" t="str">
            <v>Lower middle income</v>
          </cell>
        </row>
        <row r="86">
          <cell r="A86" t="str">
            <v>GIB</v>
          </cell>
          <cell r="B86" t="str">
            <v>Europe &amp; Central Asia</v>
          </cell>
          <cell r="C86" t="str">
            <v>High income</v>
          </cell>
        </row>
        <row r="87">
          <cell r="A87" t="str">
            <v>GIN</v>
          </cell>
          <cell r="B87" t="str">
            <v>Sub-Saharan Africa</v>
          </cell>
          <cell r="C87" t="str">
            <v>Lower middle income</v>
          </cell>
        </row>
        <row r="88">
          <cell r="A88" t="str">
            <v>GMB</v>
          </cell>
          <cell r="B88" t="str">
            <v>Sub-Saharan Africa</v>
          </cell>
          <cell r="C88" t="str">
            <v>Low income</v>
          </cell>
        </row>
        <row r="89">
          <cell r="A89" t="str">
            <v>GNB</v>
          </cell>
          <cell r="B89" t="str">
            <v>Sub-Saharan Africa</v>
          </cell>
          <cell r="C89" t="str">
            <v>Low income</v>
          </cell>
        </row>
        <row r="90">
          <cell r="A90" t="str">
            <v>GNQ</v>
          </cell>
          <cell r="B90" t="str">
            <v>Sub-Saharan Africa</v>
          </cell>
          <cell r="C90" t="str">
            <v>Upper middle income</v>
          </cell>
        </row>
        <row r="91">
          <cell r="A91" t="str">
            <v>GRC</v>
          </cell>
          <cell r="B91" t="str">
            <v>Europe &amp; Central Asia</v>
          </cell>
          <cell r="C91" t="str">
            <v>High income</v>
          </cell>
        </row>
        <row r="92">
          <cell r="A92" t="str">
            <v>GRD</v>
          </cell>
          <cell r="B92" t="str">
            <v>Latin America &amp; Caribbean</v>
          </cell>
          <cell r="C92" t="str">
            <v>Upper middle income</v>
          </cell>
        </row>
        <row r="93">
          <cell r="A93" t="str">
            <v>GRL</v>
          </cell>
          <cell r="B93" t="str">
            <v>Europe &amp; Central Asia</v>
          </cell>
          <cell r="C93" t="str">
            <v>High income</v>
          </cell>
        </row>
        <row r="94">
          <cell r="A94" t="str">
            <v>GTM</v>
          </cell>
          <cell r="B94" t="str">
            <v>Latin America &amp; Caribbean</v>
          </cell>
          <cell r="C94" t="str">
            <v>Upper middle income</v>
          </cell>
        </row>
        <row r="95">
          <cell r="A95" t="str">
            <v>GUM</v>
          </cell>
          <cell r="B95" t="str">
            <v>East Asia &amp; Pacific</v>
          </cell>
          <cell r="C95" t="str">
            <v>High income</v>
          </cell>
        </row>
        <row r="96">
          <cell r="A96" t="str">
            <v>GUY</v>
          </cell>
          <cell r="B96" t="str">
            <v>Latin America &amp; Caribbean</v>
          </cell>
          <cell r="C96" t="str">
            <v>High income</v>
          </cell>
        </row>
        <row r="97">
          <cell r="A97" t="str">
            <v>HIC</v>
          </cell>
        </row>
        <row r="98">
          <cell r="A98" t="str">
            <v>HKG</v>
          </cell>
          <cell r="B98" t="str">
            <v>East Asia &amp; Pacific</v>
          </cell>
          <cell r="C98" t="str">
            <v>High income</v>
          </cell>
        </row>
        <row r="99">
          <cell r="A99" t="str">
            <v>HND</v>
          </cell>
          <cell r="B99" t="str">
            <v>Latin America &amp; Caribbean</v>
          </cell>
          <cell r="C99" t="str">
            <v>Lower middle income</v>
          </cell>
        </row>
        <row r="100">
          <cell r="A100" t="str">
            <v>HPC</v>
          </cell>
        </row>
        <row r="101">
          <cell r="A101" t="str">
            <v>HRV</v>
          </cell>
          <cell r="B101" t="str">
            <v>Europe &amp; Central Asia</v>
          </cell>
          <cell r="C101" t="str">
            <v>High income</v>
          </cell>
        </row>
        <row r="102">
          <cell r="A102" t="str">
            <v>HTI</v>
          </cell>
          <cell r="B102" t="str">
            <v>Latin America &amp; Caribbean</v>
          </cell>
          <cell r="C102" t="str">
            <v>Lower middle income</v>
          </cell>
        </row>
        <row r="103">
          <cell r="A103" t="str">
            <v>HUN</v>
          </cell>
          <cell r="B103" t="str">
            <v>Europe &amp; Central Asia</v>
          </cell>
          <cell r="C103" t="str">
            <v>High income</v>
          </cell>
        </row>
        <row r="104">
          <cell r="A104" t="str">
            <v>IBD</v>
          </cell>
        </row>
        <row r="105">
          <cell r="A105" t="str">
            <v>IBT</v>
          </cell>
        </row>
        <row r="106">
          <cell r="A106" t="str">
            <v>IDA</v>
          </cell>
        </row>
        <row r="107">
          <cell r="A107" t="str">
            <v>IDB</v>
          </cell>
        </row>
        <row r="108">
          <cell r="A108" t="str">
            <v>IDN</v>
          </cell>
          <cell r="B108" t="str">
            <v>East Asia &amp; Pacific</v>
          </cell>
          <cell r="C108" t="str">
            <v>Upper middle income</v>
          </cell>
        </row>
        <row r="109">
          <cell r="A109" t="str">
            <v>IDX</v>
          </cell>
        </row>
        <row r="110">
          <cell r="A110" t="str">
            <v>IMN</v>
          </cell>
          <cell r="B110" t="str">
            <v>Europe &amp; Central Asia</v>
          </cell>
          <cell r="C110" t="str">
            <v>High income</v>
          </cell>
        </row>
        <row r="111">
          <cell r="A111" t="str">
            <v>IND</v>
          </cell>
          <cell r="B111" t="str">
            <v>South Asia</v>
          </cell>
          <cell r="C111" t="str">
            <v>Lower middle income</v>
          </cell>
        </row>
        <row r="112">
          <cell r="A112" t="str">
            <v>IRL</v>
          </cell>
          <cell r="B112" t="str">
            <v>Europe &amp; Central Asia</v>
          </cell>
          <cell r="C112" t="str">
            <v>High income</v>
          </cell>
        </row>
        <row r="113">
          <cell r="A113" t="str">
            <v>IRN</v>
          </cell>
          <cell r="B113" t="str">
            <v>Middle East &amp; North Africa</v>
          </cell>
          <cell r="C113" t="str">
            <v>Upper middle income</v>
          </cell>
        </row>
        <row r="114">
          <cell r="A114" t="str">
            <v>IRQ</v>
          </cell>
          <cell r="B114" t="str">
            <v>Middle East &amp; North Africa</v>
          </cell>
          <cell r="C114" t="str">
            <v>Upper middle income</v>
          </cell>
        </row>
        <row r="115">
          <cell r="A115" t="str">
            <v>ISL</v>
          </cell>
          <cell r="B115" t="str">
            <v>Europe &amp; Central Asia</v>
          </cell>
          <cell r="C115" t="str">
            <v>High income</v>
          </cell>
        </row>
        <row r="116">
          <cell r="A116" t="str">
            <v>ISR</v>
          </cell>
          <cell r="B116" t="str">
            <v>Middle East &amp; North Africa</v>
          </cell>
          <cell r="C116" t="str">
            <v>High income</v>
          </cell>
        </row>
        <row r="117">
          <cell r="A117" t="str">
            <v>ITA</v>
          </cell>
          <cell r="B117" t="str">
            <v>Europe &amp; Central Asia</v>
          </cell>
          <cell r="C117" t="str">
            <v>High income</v>
          </cell>
        </row>
        <row r="118">
          <cell r="A118" t="str">
            <v>JAM</v>
          </cell>
          <cell r="B118" t="str">
            <v>Latin America &amp; Caribbean</v>
          </cell>
          <cell r="C118" t="str">
            <v>Upper middle income</v>
          </cell>
        </row>
        <row r="119">
          <cell r="A119" t="str">
            <v>JOR</v>
          </cell>
          <cell r="B119" t="str">
            <v>Middle East &amp; North Africa</v>
          </cell>
          <cell r="C119" t="str">
            <v>Lower middle income</v>
          </cell>
        </row>
        <row r="120">
          <cell r="A120" t="str">
            <v>JPN</v>
          </cell>
          <cell r="B120" t="str">
            <v>East Asia &amp; Pacific</v>
          </cell>
          <cell r="C120" t="str">
            <v>High income</v>
          </cell>
        </row>
        <row r="121">
          <cell r="A121" t="str">
            <v>KAZ</v>
          </cell>
          <cell r="B121" t="str">
            <v>Europe &amp; Central Asia</v>
          </cell>
          <cell r="C121" t="str">
            <v>Upper middle income</v>
          </cell>
        </row>
        <row r="122">
          <cell r="A122" t="str">
            <v>KEN</v>
          </cell>
          <cell r="B122" t="str">
            <v>Sub-Saharan Africa</v>
          </cell>
          <cell r="C122" t="str">
            <v>Lower middle income</v>
          </cell>
        </row>
        <row r="123">
          <cell r="A123" t="str">
            <v>KGZ</v>
          </cell>
          <cell r="B123" t="str">
            <v>Europe &amp; Central Asia</v>
          </cell>
          <cell r="C123" t="str">
            <v>Lower middle income</v>
          </cell>
        </row>
        <row r="124">
          <cell r="A124" t="str">
            <v>KHM</v>
          </cell>
          <cell r="B124" t="str">
            <v>East Asia &amp; Pacific</v>
          </cell>
          <cell r="C124" t="str">
            <v>Lower middle income</v>
          </cell>
        </row>
        <row r="125">
          <cell r="A125" t="str">
            <v>KIR</v>
          </cell>
          <cell r="B125" t="str">
            <v>East Asia &amp; Pacific</v>
          </cell>
          <cell r="C125" t="str">
            <v>Lower middle income</v>
          </cell>
        </row>
        <row r="126">
          <cell r="A126" t="str">
            <v>KNA</v>
          </cell>
          <cell r="B126" t="str">
            <v>Latin America &amp; Caribbean</v>
          </cell>
          <cell r="C126" t="str">
            <v>High income</v>
          </cell>
        </row>
        <row r="127">
          <cell r="A127" t="str">
            <v>KOR</v>
          </cell>
          <cell r="B127" t="str">
            <v>East Asia &amp; Pacific</v>
          </cell>
          <cell r="C127" t="str">
            <v>High income</v>
          </cell>
        </row>
        <row r="128">
          <cell r="A128" t="str">
            <v>KWT</v>
          </cell>
          <cell r="B128" t="str">
            <v>Middle East &amp; North Africa</v>
          </cell>
          <cell r="C128" t="str">
            <v>High income</v>
          </cell>
        </row>
        <row r="129">
          <cell r="A129" t="str">
            <v>LAC</v>
          </cell>
        </row>
        <row r="130">
          <cell r="A130" t="str">
            <v>LAO</v>
          </cell>
          <cell r="B130" t="str">
            <v>East Asia &amp; Pacific</v>
          </cell>
          <cell r="C130" t="str">
            <v>Lower middle income</v>
          </cell>
        </row>
        <row r="131">
          <cell r="A131" t="str">
            <v>LBN</v>
          </cell>
          <cell r="B131" t="str">
            <v>Middle East &amp; North Africa</v>
          </cell>
          <cell r="C131" t="str">
            <v>Lower middle income</v>
          </cell>
        </row>
        <row r="132">
          <cell r="A132" t="str">
            <v>LBR</v>
          </cell>
          <cell r="B132" t="str">
            <v>Sub-Saharan Africa</v>
          </cell>
          <cell r="C132" t="str">
            <v>Low income</v>
          </cell>
        </row>
        <row r="133">
          <cell r="A133" t="str">
            <v>LBY</v>
          </cell>
          <cell r="B133" t="str">
            <v>Middle East &amp; North Africa</v>
          </cell>
          <cell r="C133" t="str">
            <v>Upper middle income</v>
          </cell>
        </row>
        <row r="134">
          <cell r="A134" t="str">
            <v>LCA</v>
          </cell>
          <cell r="B134" t="str">
            <v>Latin America &amp; Caribbean</v>
          </cell>
          <cell r="C134" t="str">
            <v>Upper middle income</v>
          </cell>
        </row>
        <row r="135">
          <cell r="A135" t="str">
            <v>LCN</v>
          </cell>
        </row>
        <row r="136">
          <cell r="A136" t="str">
            <v>LDC</v>
          </cell>
        </row>
        <row r="137">
          <cell r="A137" t="str">
            <v>LIC</v>
          </cell>
        </row>
        <row r="138">
          <cell r="A138" t="str">
            <v>LIE</v>
          </cell>
          <cell r="B138" t="str">
            <v>Europe &amp; Central Asia</v>
          </cell>
          <cell r="C138" t="str">
            <v>High income</v>
          </cell>
        </row>
        <row r="139">
          <cell r="A139" t="str">
            <v>LKA</v>
          </cell>
          <cell r="B139" t="str">
            <v>South Asia</v>
          </cell>
          <cell r="C139" t="str">
            <v>Lower middle income</v>
          </cell>
        </row>
        <row r="140">
          <cell r="A140" t="str">
            <v>LMC</v>
          </cell>
        </row>
        <row r="141">
          <cell r="A141" t="str">
            <v>LMY</v>
          </cell>
        </row>
        <row r="142">
          <cell r="A142" t="str">
            <v>LSO</v>
          </cell>
          <cell r="B142" t="str">
            <v>Sub-Saharan Africa</v>
          </cell>
          <cell r="C142" t="str">
            <v>Lower middle income</v>
          </cell>
        </row>
        <row r="143">
          <cell r="A143" t="str">
            <v>LTE</v>
          </cell>
        </row>
        <row r="144">
          <cell r="A144" t="str">
            <v>LTU</v>
          </cell>
          <cell r="B144" t="str">
            <v>Europe &amp; Central Asia</v>
          </cell>
          <cell r="C144" t="str">
            <v>High income</v>
          </cell>
        </row>
        <row r="145">
          <cell r="A145" t="str">
            <v>LUX</v>
          </cell>
          <cell r="B145" t="str">
            <v>Europe &amp; Central Asia</v>
          </cell>
          <cell r="C145" t="str">
            <v>High income</v>
          </cell>
        </row>
        <row r="146">
          <cell r="A146" t="str">
            <v>LVA</v>
          </cell>
          <cell r="B146" t="str">
            <v>Europe &amp; Central Asia</v>
          </cell>
          <cell r="C146" t="str">
            <v>High income</v>
          </cell>
        </row>
        <row r="147">
          <cell r="A147" t="str">
            <v>MAC</v>
          </cell>
          <cell r="B147" t="str">
            <v>East Asia &amp; Pacific</v>
          </cell>
          <cell r="C147" t="str">
            <v>High income</v>
          </cell>
        </row>
        <row r="148">
          <cell r="A148" t="str">
            <v>MAF</v>
          </cell>
          <cell r="B148" t="str">
            <v>Latin America &amp; Caribbean</v>
          </cell>
          <cell r="C148" t="str">
            <v>High income</v>
          </cell>
        </row>
        <row r="149">
          <cell r="A149" t="str">
            <v>MAR</v>
          </cell>
          <cell r="B149" t="str">
            <v>Middle East &amp; North Africa</v>
          </cell>
          <cell r="C149" t="str">
            <v>Lower middle income</v>
          </cell>
        </row>
        <row r="150">
          <cell r="A150" t="str">
            <v>MCO</v>
          </cell>
          <cell r="B150" t="str">
            <v>Europe &amp; Central Asia</v>
          </cell>
          <cell r="C150" t="str">
            <v>High income</v>
          </cell>
        </row>
        <row r="151">
          <cell r="A151" t="str">
            <v>MDA</v>
          </cell>
          <cell r="B151" t="str">
            <v>Europe &amp; Central Asia</v>
          </cell>
          <cell r="C151" t="str">
            <v>Upper middle income</v>
          </cell>
        </row>
        <row r="152">
          <cell r="A152" t="str">
            <v>MDG</v>
          </cell>
          <cell r="B152" t="str">
            <v>Sub-Saharan Africa</v>
          </cell>
          <cell r="C152" t="str">
            <v>Low income</v>
          </cell>
        </row>
        <row r="153">
          <cell r="A153" t="str">
            <v>MDV</v>
          </cell>
          <cell r="B153" t="str">
            <v>South Asia</v>
          </cell>
          <cell r="C153" t="str">
            <v>Upper middle income</v>
          </cell>
        </row>
        <row r="154">
          <cell r="A154" t="str">
            <v>MEA</v>
          </cell>
        </row>
        <row r="155">
          <cell r="A155" t="str">
            <v>MEX</v>
          </cell>
          <cell r="B155" t="str">
            <v>Latin America &amp; Caribbean</v>
          </cell>
          <cell r="C155" t="str">
            <v>Upper middle income</v>
          </cell>
        </row>
        <row r="156">
          <cell r="A156" t="str">
            <v>MHL</v>
          </cell>
          <cell r="B156" t="str">
            <v>East Asia &amp; Pacific</v>
          </cell>
          <cell r="C156" t="str">
            <v>Upper middle income</v>
          </cell>
        </row>
        <row r="157">
          <cell r="A157" t="str">
            <v>MIC</v>
          </cell>
        </row>
        <row r="158">
          <cell r="A158" t="str">
            <v>MKD</v>
          </cell>
          <cell r="B158" t="str">
            <v>Europe &amp; Central Asia</v>
          </cell>
          <cell r="C158" t="str">
            <v>Upper middle income</v>
          </cell>
        </row>
        <row r="159">
          <cell r="A159" t="str">
            <v>MLI</v>
          </cell>
          <cell r="B159" t="str">
            <v>Sub-Saharan Africa</v>
          </cell>
          <cell r="C159" t="str">
            <v>Low income</v>
          </cell>
        </row>
        <row r="160">
          <cell r="A160" t="str">
            <v>MLT</v>
          </cell>
          <cell r="B160" t="str">
            <v>Middle East &amp; North Africa</v>
          </cell>
          <cell r="C160" t="str">
            <v>High income</v>
          </cell>
        </row>
        <row r="161">
          <cell r="A161" t="str">
            <v>MMR</v>
          </cell>
          <cell r="B161" t="str">
            <v>East Asia &amp; Pacific</v>
          </cell>
          <cell r="C161" t="str">
            <v>Lower middle income</v>
          </cell>
        </row>
        <row r="162">
          <cell r="A162" t="str">
            <v>MNA</v>
          </cell>
        </row>
        <row r="163">
          <cell r="A163" t="str">
            <v>MNE</v>
          </cell>
          <cell r="B163" t="str">
            <v>Europe &amp; Central Asia</v>
          </cell>
          <cell r="C163" t="str">
            <v>Upper middle income</v>
          </cell>
        </row>
        <row r="164">
          <cell r="A164" t="str">
            <v>MNG</v>
          </cell>
          <cell r="B164" t="str">
            <v>East Asia &amp; Pacific</v>
          </cell>
          <cell r="C164" t="str">
            <v>Upper middle income</v>
          </cell>
        </row>
        <row r="165">
          <cell r="A165" t="str">
            <v>MNP</v>
          </cell>
          <cell r="B165" t="str">
            <v>East Asia &amp; Pacific</v>
          </cell>
          <cell r="C165" t="str">
            <v>High income</v>
          </cell>
        </row>
        <row r="166">
          <cell r="A166" t="str">
            <v>MOZ</v>
          </cell>
          <cell r="B166" t="str">
            <v>Sub-Saharan Africa</v>
          </cell>
          <cell r="C166" t="str">
            <v>Low income</v>
          </cell>
        </row>
        <row r="167">
          <cell r="A167" t="str">
            <v>MRT</v>
          </cell>
          <cell r="B167" t="str">
            <v>Sub-Saharan Africa</v>
          </cell>
          <cell r="C167" t="str">
            <v>Lower middle income</v>
          </cell>
        </row>
        <row r="168">
          <cell r="A168" t="str">
            <v>MUS</v>
          </cell>
          <cell r="B168" t="str">
            <v>Sub-Saharan Africa</v>
          </cell>
          <cell r="C168" t="str">
            <v>Upper middle income</v>
          </cell>
        </row>
        <row r="169">
          <cell r="A169" t="str">
            <v>MWI</v>
          </cell>
          <cell r="B169" t="str">
            <v>Sub-Saharan Africa</v>
          </cell>
          <cell r="C169" t="str">
            <v>Low income</v>
          </cell>
        </row>
        <row r="170">
          <cell r="A170" t="str">
            <v>MYS</v>
          </cell>
          <cell r="B170" t="str">
            <v>East Asia &amp; Pacific</v>
          </cell>
          <cell r="C170" t="str">
            <v>Upper middle income</v>
          </cell>
        </row>
        <row r="171">
          <cell r="A171" t="str">
            <v>NAC</v>
          </cell>
        </row>
        <row r="172">
          <cell r="A172" t="str">
            <v>NAM</v>
          </cell>
          <cell r="B172" t="str">
            <v>Sub-Saharan Africa</v>
          </cell>
          <cell r="C172" t="str">
            <v>Lower middle income</v>
          </cell>
        </row>
        <row r="173">
          <cell r="A173" t="str">
            <v>NCL</v>
          </cell>
          <cell r="B173" t="str">
            <v>East Asia &amp; Pacific</v>
          </cell>
          <cell r="C173" t="str">
            <v>High income</v>
          </cell>
        </row>
        <row r="174">
          <cell r="A174" t="str">
            <v>NER</v>
          </cell>
          <cell r="B174" t="str">
            <v>Sub-Saharan Africa</v>
          </cell>
          <cell r="C174" t="str">
            <v>Low income</v>
          </cell>
        </row>
        <row r="175">
          <cell r="A175" t="str">
            <v>NGA</v>
          </cell>
          <cell r="B175" t="str">
            <v>Sub-Saharan Africa</v>
          </cell>
          <cell r="C175" t="str">
            <v>Lower middle income</v>
          </cell>
        </row>
        <row r="176">
          <cell r="A176" t="str">
            <v>NIC</v>
          </cell>
          <cell r="B176" t="str">
            <v>Latin America &amp; Caribbean</v>
          </cell>
          <cell r="C176" t="str">
            <v>Lower middle income</v>
          </cell>
        </row>
        <row r="177">
          <cell r="A177" t="str">
            <v>NLD</v>
          </cell>
          <cell r="B177" t="str">
            <v>Europe &amp; Central Asia</v>
          </cell>
          <cell r="C177" t="str">
            <v>High income</v>
          </cell>
        </row>
        <row r="178">
          <cell r="A178" t="str">
            <v>NOR</v>
          </cell>
          <cell r="B178" t="str">
            <v>Europe &amp; Central Asia</v>
          </cell>
          <cell r="C178" t="str">
            <v>High income</v>
          </cell>
        </row>
        <row r="179">
          <cell r="A179" t="str">
            <v>NPL</v>
          </cell>
          <cell r="B179" t="str">
            <v>South Asia</v>
          </cell>
          <cell r="C179" t="str">
            <v>Lower middle income</v>
          </cell>
        </row>
        <row r="180">
          <cell r="A180" t="str">
            <v>NRU</v>
          </cell>
          <cell r="B180" t="str">
            <v>East Asia &amp; Pacific</v>
          </cell>
          <cell r="C180" t="str">
            <v>High income</v>
          </cell>
        </row>
        <row r="181">
          <cell r="A181" t="str">
            <v>NZL</v>
          </cell>
          <cell r="B181" t="str">
            <v>East Asia &amp; Pacific</v>
          </cell>
          <cell r="C181" t="str">
            <v>High income</v>
          </cell>
        </row>
        <row r="182">
          <cell r="A182" t="str">
            <v>OED</v>
          </cell>
        </row>
        <row r="183">
          <cell r="A183" t="str">
            <v>OMN</v>
          </cell>
          <cell r="B183" t="str">
            <v>Middle East &amp; North Africa</v>
          </cell>
          <cell r="C183" t="str">
            <v>High income</v>
          </cell>
        </row>
        <row r="184">
          <cell r="A184" t="str">
            <v>OSS</v>
          </cell>
        </row>
        <row r="185">
          <cell r="A185" t="str">
            <v>PAK</v>
          </cell>
          <cell r="B185" t="str">
            <v>Middle East &amp; North Africa</v>
          </cell>
          <cell r="C185" t="str">
            <v>Lower middle income</v>
          </cell>
        </row>
        <row r="186">
          <cell r="A186" t="str">
            <v>PAN</v>
          </cell>
          <cell r="B186" t="str">
            <v>Latin America &amp; Caribbean</v>
          </cell>
          <cell r="C186" t="str">
            <v>High income</v>
          </cell>
        </row>
        <row r="187">
          <cell r="A187" t="str">
            <v>PER</v>
          </cell>
          <cell r="B187" t="str">
            <v>Latin America &amp; Caribbean</v>
          </cell>
          <cell r="C187" t="str">
            <v>Upper middle income</v>
          </cell>
        </row>
        <row r="188">
          <cell r="A188" t="str">
            <v>PHL</v>
          </cell>
          <cell r="B188" t="str">
            <v>East Asia &amp; Pacific</v>
          </cell>
          <cell r="C188" t="str">
            <v>Lower middle income</v>
          </cell>
        </row>
        <row r="189">
          <cell r="A189" t="str">
            <v>PLW</v>
          </cell>
          <cell r="B189" t="str">
            <v>East Asia &amp; Pacific</v>
          </cell>
          <cell r="C189" t="str">
            <v>High income</v>
          </cell>
        </row>
        <row r="190">
          <cell r="A190" t="str">
            <v>PNG</v>
          </cell>
          <cell r="B190" t="str">
            <v>East Asia &amp; Pacific</v>
          </cell>
          <cell r="C190" t="str">
            <v>Lower middle income</v>
          </cell>
        </row>
        <row r="191">
          <cell r="A191" t="str">
            <v>POL</v>
          </cell>
          <cell r="B191" t="str">
            <v>Europe &amp; Central Asia</v>
          </cell>
          <cell r="C191" t="str">
            <v>High income</v>
          </cell>
        </row>
        <row r="192">
          <cell r="A192" t="str">
            <v>PRE</v>
          </cell>
        </row>
        <row r="193">
          <cell r="A193" t="str">
            <v>PRI</v>
          </cell>
          <cell r="B193" t="str">
            <v>Latin America &amp; Caribbean</v>
          </cell>
          <cell r="C193" t="str">
            <v>High income</v>
          </cell>
        </row>
        <row r="194">
          <cell r="A194" t="str">
            <v>PRK</v>
          </cell>
          <cell r="B194" t="str">
            <v>East Asia &amp; Pacific</v>
          </cell>
          <cell r="C194" t="str">
            <v>Low income</v>
          </cell>
        </row>
        <row r="195">
          <cell r="A195" t="str">
            <v>PRT</v>
          </cell>
          <cell r="B195" t="str">
            <v>Europe &amp; Central Asia</v>
          </cell>
          <cell r="C195" t="str">
            <v>High income</v>
          </cell>
        </row>
        <row r="196">
          <cell r="A196" t="str">
            <v>PRY</v>
          </cell>
          <cell r="B196" t="str">
            <v>Latin America &amp; Caribbean</v>
          </cell>
          <cell r="C196" t="str">
            <v>Upper middle income</v>
          </cell>
        </row>
        <row r="197">
          <cell r="A197" t="str">
            <v>PSE</v>
          </cell>
          <cell r="B197" t="str">
            <v>Middle East &amp; North Africa</v>
          </cell>
          <cell r="C197" t="str">
            <v>Lower middle income</v>
          </cell>
        </row>
        <row r="198">
          <cell r="A198" t="str">
            <v>PSS</v>
          </cell>
        </row>
        <row r="199">
          <cell r="A199" t="str">
            <v>PST</v>
          </cell>
        </row>
        <row r="200">
          <cell r="A200" t="str">
            <v>PYF</v>
          </cell>
          <cell r="B200" t="str">
            <v>East Asia &amp; Pacific</v>
          </cell>
          <cell r="C200" t="str">
            <v>High income</v>
          </cell>
        </row>
        <row r="201">
          <cell r="A201" t="str">
            <v>QAT</v>
          </cell>
          <cell r="B201" t="str">
            <v>Middle East &amp; North Africa</v>
          </cell>
          <cell r="C201" t="str">
            <v>High income</v>
          </cell>
        </row>
        <row r="202">
          <cell r="A202" t="str">
            <v>ROU</v>
          </cell>
          <cell r="B202" t="str">
            <v>Europe &amp; Central Asia</v>
          </cell>
          <cell r="C202" t="str">
            <v>High income</v>
          </cell>
        </row>
        <row r="203">
          <cell r="A203" t="str">
            <v>RUS</v>
          </cell>
          <cell r="B203" t="str">
            <v>Europe &amp; Central Asia</v>
          </cell>
          <cell r="C203" t="str">
            <v>High income</v>
          </cell>
        </row>
        <row r="204">
          <cell r="A204" t="str">
            <v>RWA</v>
          </cell>
          <cell r="B204" t="str">
            <v>Sub-Saharan Africa</v>
          </cell>
          <cell r="C204" t="str">
            <v>Low income</v>
          </cell>
        </row>
        <row r="205">
          <cell r="A205" t="str">
            <v>SAS</v>
          </cell>
        </row>
        <row r="206">
          <cell r="A206" t="str">
            <v>SAU</v>
          </cell>
          <cell r="B206" t="str">
            <v>Middle East &amp; North Africa</v>
          </cell>
          <cell r="C206" t="str">
            <v>High income</v>
          </cell>
        </row>
        <row r="207">
          <cell r="A207" t="str">
            <v>SDN</v>
          </cell>
          <cell r="B207" t="str">
            <v>Sub-Saharan Africa</v>
          </cell>
          <cell r="C207" t="str">
            <v>Low income</v>
          </cell>
        </row>
        <row r="208">
          <cell r="A208" t="str">
            <v>SEN</v>
          </cell>
          <cell r="B208" t="str">
            <v>Sub-Saharan Africa</v>
          </cell>
          <cell r="C208" t="str">
            <v>Lower middle income</v>
          </cell>
        </row>
        <row r="209">
          <cell r="A209" t="str">
            <v>SGP</v>
          </cell>
          <cell r="B209" t="str">
            <v>East Asia &amp; Pacific</v>
          </cell>
          <cell r="C209" t="str">
            <v>High income</v>
          </cell>
        </row>
        <row r="210">
          <cell r="A210" t="str">
            <v>SLB</v>
          </cell>
          <cell r="B210" t="str">
            <v>East Asia &amp; Pacific</v>
          </cell>
          <cell r="C210" t="str">
            <v>Lower middle income</v>
          </cell>
        </row>
        <row r="211">
          <cell r="A211" t="str">
            <v>SLE</v>
          </cell>
          <cell r="B211" t="str">
            <v>Sub-Saharan Africa</v>
          </cell>
          <cell r="C211" t="str">
            <v>Low income</v>
          </cell>
        </row>
        <row r="212">
          <cell r="A212" t="str">
            <v>SLV</v>
          </cell>
          <cell r="B212" t="str">
            <v>Latin America &amp; Caribbean</v>
          </cell>
          <cell r="C212" t="str">
            <v>Upper middle income</v>
          </cell>
        </row>
        <row r="213">
          <cell r="A213" t="str">
            <v>SMR</v>
          </cell>
          <cell r="B213" t="str">
            <v>Europe &amp; Central Asia</v>
          </cell>
          <cell r="C213" t="str">
            <v>High income</v>
          </cell>
        </row>
        <row r="214">
          <cell r="A214" t="str">
            <v>SOM</v>
          </cell>
          <cell r="B214" t="str">
            <v>Sub-Saharan Africa</v>
          </cell>
          <cell r="C214" t="str">
            <v>Low income</v>
          </cell>
        </row>
        <row r="215">
          <cell r="A215" t="str">
            <v>SRB</v>
          </cell>
          <cell r="B215" t="str">
            <v>Europe &amp; Central Asia</v>
          </cell>
          <cell r="C215" t="str">
            <v>Upper middle income</v>
          </cell>
        </row>
        <row r="216">
          <cell r="A216" t="str">
            <v>SSA</v>
          </cell>
        </row>
        <row r="217">
          <cell r="A217" t="str">
            <v>SSD</v>
          </cell>
          <cell r="B217" t="str">
            <v>Sub-Saharan Africa</v>
          </cell>
          <cell r="C217" t="str">
            <v>Low income</v>
          </cell>
        </row>
        <row r="218">
          <cell r="A218" t="str">
            <v>SSF</v>
          </cell>
        </row>
        <row r="219">
          <cell r="A219" t="str">
            <v>SST</v>
          </cell>
        </row>
        <row r="220">
          <cell r="A220" t="str">
            <v>STP</v>
          </cell>
          <cell r="B220" t="str">
            <v>Sub-Saharan Africa</v>
          </cell>
          <cell r="C220" t="str">
            <v>Lower middle income</v>
          </cell>
        </row>
        <row r="221">
          <cell r="A221" t="str">
            <v>SUR</v>
          </cell>
          <cell r="B221" t="str">
            <v>Latin America &amp; Caribbean</v>
          </cell>
          <cell r="C221" t="str">
            <v>Upper middle income</v>
          </cell>
        </row>
        <row r="222">
          <cell r="A222" t="str">
            <v>SVK</v>
          </cell>
          <cell r="B222" t="str">
            <v>Europe &amp; Central Asia</v>
          </cell>
          <cell r="C222" t="str">
            <v>High income</v>
          </cell>
        </row>
        <row r="223">
          <cell r="A223" t="str">
            <v>SVN</v>
          </cell>
          <cell r="B223" t="str">
            <v>Europe &amp; Central Asia</v>
          </cell>
          <cell r="C223" t="str">
            <v>High income</v>
          </cell>
        </row>
        <row r="224">
          <cell r="A224" t="str">
            <v>SWE</v>
          </cell>
          <cell r="B224" t="str">
            <v>Europe &amp; Central Asia</v>
          </cell>
          <cell r="C224" t="str">
            <v>High income</v>
          </cell>
        </row>
        <row r="225">
          <cell r="A225" t="str">
            <v>SWZ</v>
          </cell>
          <cell r="B225" t="str">
            <v>Sub-Saharan Africa</v>
          </cell>
          <cell r="C225" t="str">
            <v>Lower middle income</v>
          </cell>
        </row>
        <row r="226">
          <cell r="A226" t="str">
            <v>SXM</v>
          </cell>
          <cell r="B226" t="str">
            <v>Latin America &amp; Caribbean</v>
          </cell>
          <cell r="C226" t="str">
            <v>High income</v>
          </cell>
        </row>
        <row r="227">
          <cell r="A227" t="str">
            <v>SYC</v>
          </cell>
          <cell r="B227" t="str">
            <v>Sub-Saharan Africa</v>
          </cell>
          <cell r="C227" t="str">
            <v>High income</v>
          </cell>
        </row>
        <row r="228">
          <cell r="A228" t="str">
            <v>SYR</v>
          </cell>
          <cell r="B228" t="str">
            <v>Middle East &amp; North Africa</v>
          </cell>
          <cell r="C228" t="str">
            <v>Low income</v>
          </cell>
        </row>
        <row r="229">
          <cell r="A229" t="str">
            <v>TCA</v>
          </cell>
          <cell r="B229" t="str">
            <v>Latin America &amp; Caribbean</v>
          </cell>
          <cell r="C229" t="str">
            <v>High income</v>
          </cell>
        </row>
        <row r="230">
          <cell r="A230" t="str">
            <v>TCD</v>
          </cell>
          <cell r="B230" t="str">
            <v>Sub-Saharan Africa</v>
          </cell>
          <cell r="C230" t="str">
            <v>Low income</v>
          </cell>
        </row>
        <row r="231">
          <cell r="A231" t="str">
            <v>TEA</v>
          </cell>
        </row>
        <row r="232">
          <cell r="A232" t="str">
            <v>TEC</v>
          </cell>
        </row>
        <row r="233">
          <cell r="A233" t="str">
            <v>TGO</v>
          </cell>
          <cell r="B233" t="str">
            <v>Sub-Saharan Africa</v>
          </cell>
          <cell r="C233" t="str">
            <v>Low income</v>
          </cell>
        </row>
        <row r="234">
          <cell r="A234" t="str">
            <v>THA</v>
          </cell>
          <cell r="B234" t="str">
            <v>East Asia &amp; Pacific</v>
          </cell>
          <cell r="C234" t="str">
            <v>Upper middle income</v>
          </cell>
        </row>
        <row r="235">
          <cell r="A235" t="str">
            <v>TJK</v>
          </cell>
          <cell r="B235" t="str">
            <v>Europe &amp; Central Asia</v>
          </cell>
          <cell r="C235" t="str">
            <v>Lower middle income</v>
          </cell>
        </row>
        <row r="236">
          <cell r="A236" t="str">
            <v>TKM</v>
          </cell>
          <cell r="B236" t="str">
            <v>Europe &amp; Central Asia</v>
          </cell>
          <cell r="C236" t="str">
            <v>Upper middle income</v>
          </cell>
        </row>
        <row r="237">
          <cell r="A237" t="str">
            <v>TLA</v>
          </cell>
        </row>
        <row r="238">
          <cell r="A238" t="str">
            <v>TLS</v>
          </cell>
          <cell r="B238" t="str">
            <v>East Asia &amp; Pacific</v>
          </cell>
          <cell r="C238" t="str">
            <v>Lower middle income</v>
          </cell>
        </row>
        <row r="239">
          <cell r="A239" t="str">
            <v>TMN</v>
          </cell>
        </row>
        <row r="240">
          <cell r="A240" t="str">
            <v>TON</v>
          </cell>
          <cell r="B240" t="str">
            <v>East Asia &amp; Pacific</v>
          </cell>
          <cell r="C240" t="str">
            <v>Upper middle income</v>
          </cell>
        </row>
        <row r="241">
          <cell r="A241" t="str">
            <v>TSA</v>
          </cell>
        </row>
        <row r="242">
          <cell r="A242" t="str">
            <v>TSS</v>
          </cell>
        </row>
        <row r="243">
          <cell r="A243" t="str">
            <v>TTO</v>
          </cell>
          <cell r="B243" t="str">
            <v>Latin America &amp; Caribbean</v>
          </cell>
          <cell r="C243" t="str">
            <v>High income</v>
          </cell>
        </row>
        <row r="244">
          <cell r="A244" t="str">
            <v>TUN</v>
          </cell>
          <cell r="B244" t="str">
            <v>Middle East &amp; North Africa</v>
          </cell>
          <cell r="C244" t="str">
            <v>Lower middle income</v>
          </cell>
        </row>
        <row r="245">
          <cell r="A245" t="str">
            <v>TUR</v>
          </cell>
          <cell r="B245" t="str">
            <v>Europe &amp; Central Asia</v>
          </cell>
          <cell r="C245" t="str">
            <v>Upper middle income</v>
          </cell>
        </row>
        <row r="246">
          <cell r="A246" t="str">
            <v>TUV</v>
          </cell>
          <cell r="B246" t="str">
            <v>East Asia &amp; Pacific</v>
          </cell>
          <cell r="C246" t="str">
            <v>Upper middle income</v>
          </cell>
        </row>
        <row r="247">
          <cell r="A247" t="str">
            <v>TZA</v>
          </cell>
          <cell r="B247" t="str">
            <v>Sub-Saharan Africa</v>
          </cell>
          <cell r="C247" t="str">
            <v>Lower middle income</v>
          </cell>
        </row>
        <row r="248">
          <cell r="A248" t="str">
            <v>UGA</v>
          </cell>
          <cell r="B248" t="str">
            <v>Sub-Saharan Africa</v>
          </cell>
          <cell r="C248" t="str">
            <v>Low income</v>
          </cell>
        </row>
        <row r="249">
          <cell r="A249" t="str">
            <v>UKR</v>
          </cell>
          <cell r="B249" t="str">
            <v>Europe &amp; Central Asia</v>
          </cell>
          <cell r="C249" t="str">
            <v>Upper middle income</v>
          </cell>
        </row>
        <row r="250">
          <cell r="A250" t="str">
            <v>UMC</v>
          </cell>
        </row>
        <row r="251">
          <cell r="A251" t="str">
            <v>URY</v>
          </cell>
          <cell r="B251" t="str">
            <v>Latin America &amp; Caribbean</v>
          </cell>
          <cell r="C251" t="str">
            <v>High income</v>
          </cell>
        </row>
        <row r="252">
          <cell r="A252" t="str">
            <v>USA</v>
          </cell>
          <cell r="B252" t="str">
            <v>North America</v>
          </cell>
          <cell r="C252" t="str">
            <v>High income</v>
          </cell>
        </row>
        <row r="253">
          <cell r="A253" t="str">
            <v>UZB</v>
          </cell>
          <cell r="B253" t="str">
            <v>Europe &amp; Central Asia</v>
          </cell>
          <cell r="C253" t="str">
            <v>Lower middle income</v>
          </cell>
        </row>
        <row r="254">
          <cell r="A254" t="str">
            <v>VCT</v>
          </cell>
          <cell r="B254" t="str">
            <v>Latin America &amp; Caribbean</v>
          </cell>
          <cell r="C254" t="str">
            <v>Upper middle income</v>
          </cell>
        </row>
        <row r="255">
          <cell r="A255" t="str">
            <v>VEN</v>
          </cell>
          <cell r="B255" t="str">
            <v>Latin America &amp; Caribbean</v>
          </cell>
        </row>
        <row r="256">
          <cell r="A256" t="str">
            <v>VGB</v>
          </cell>
          <cell r="B256" t="str">
            <v>Latin America &amp; Caribbean</v>
          </cell>
          <cell r="C256" t="str">
            <v>High income</v>
          </cell>
        </row>
        <row r="257">
          <cell r="A257" t="str">
            <v>VIR</v>
          </cell>
          <cell r="B257" t="str">
            <v>Latin America &amp; Caribbean</v>
          </cell>
          <cell r="C257" t="str">
            <v>High income</v>
          </cell>
        </row>
        <row r="258">
          <cell r="A258" t="str">
            <v>VNM</v>
          </cell>
          <cell r="B258" t="str">
            <v>East Asia &amp; Pacific</v>
          </cell>
          <cell r="C258" t="str">
            <v>Lower middle income</v>
          </cell>
        </row>
        <row r="259">
          <cell r="A259" t="str">
            <v>VUT</v>
          </cell>
          <cell r="B259" t="str">
            <v>East Asia &amp; Pacific</v>
          </cell>
          <cell r="C259" t="str">
            <v>Lower middle income</v>
          </cell>
        </row>
        <row r="260">
          <cell r="A260" t="str">
            <v>WLD</v>
          </cell>
        </row>
        <row r="261">
          <cell r="A261" t="str">
            <v>WSM</v>
          </cell>
          <cell r="B261" t="str">
            <v>East Asia &amp; Pacific</v>
          </cell>
          <cell r="C261" t="str">
            <v>Upper middle income</v>
          </cell>
        </row>
        <row r="262">
          <cell r="A262" t="str">
            <v>XKX</v>
          </cell>
          <cell r="B262" t="str">
            <v>Europe &amp; Central Asia</v>
          </cell>
          <cell r="C262" t="str">
            <v>Upper middle income</v>
          </cell>
        </row>
        <row r="263">
          <cell r="A263" t="str">
            <v>YEM</v>
          </cell>
          <cell r="B263" t="str">
            <v>Middle East &amp; North Africa</v>
          </cell>
          <cell r="C263" t="str">
            <v>Low income</v>
          </cell>
        </row>
        <row r="264">
          <cell r="A264" t="str">
            <v>ZAF</v>
          </cell>
          <cell r="B264" t="str">
            <v>Sub-Saharan Africa</v>
          </cell>
          <cell r="C264" t="str">
            <v>Upper middle income</v>
          </cell>
        </row>
        <row r="265">
          <cell r="A265" t="str">
            <v>ZMB</v>
          </cell>
          <cell r="B265" t="str">
            <v>Sub-Saharan Africa</v>
          </cell>
          <cell r="C265" t="str">
            <v>Lower middle income</v>
          </cell>
        </row>
        <row r="266">
          <cell r="A266" t="str">
            <v>ZWE</v>
          </cell>
          <cell r="B266" t="str">
            <v>Sub-Saharan Africa</v>
          </cell>
          <cell r="C266" t="str">
            <v>Lower middle income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-Ib27t"/>
    </sheetNames>
    <sheetDataSet>
      <sheetData sheetId="0">
        <row r="1">
          <cell r="A1" t="str">
            <v>country</v>
          </cell>
          <cell r="B1" t="str">
            <v>val</v>
          </cell>
          <cell r="C1" t="str">
            <v>COUNTRYCODE2</v>
          </cell>
        </row>
        <row r="2">
          <cell r="A2" t="str">
            <v>Armenia</v>
          </cell>
          <cell r="B2" t="str">
            <v>Central Europe, Eastern Europe, and Central Asia</v>
          </cell>
          <cell r="C2" t="str">
            <v>ARM</v>
          </cell>
        </row>
        <row r="3">
          <cell r="A3" t="str">
            <v>Azerbaijan</v>
          </cell>
          <cell r="B3" t="str">
            <v>Central Europe, Eastern Europe, and Central Asia</v>
          </cell>
          <cell r="C3" t="str">
            <v>AZE</v>
          </cell>
        </row>
        <row r="4">
          <cell r="A4" t="str">
            <v>Georgia</v>
          </cell>
          <cell r="B4" t="str">
            <v>Central Europe, Eastern Europe, and Central Asia</v>
          </cell>
          <cell r="C4" t="str">
            <v>GEO</v>
          </cell>
        </row>
        <row r="5">
          <cell r="A5" t="str">
            <v>Kazakhstan</v>
          </cell>
          <cell r="B5" t="str">
            <v>Central Europe, Eastern Europe, and Central Asia</v>
          </cell>
          <cell r="C5" t="str">
            <v>KAZ</v>
          </cell>
        </row>
        <row r="6">
          <cell r="A6" t="str">
            <v>Arab Republic of Egypt</v>
          </cell>
          <cell r="B6" t="str">
            <v>North Africa and Middle East</v>
          </cell>
          <cell r="C6" t="str">
            <v>EGY</v>
          </cell>
        </row>
        <row r="7">
          <cell r="A7" t="str">
            <v>Mongolia</v>
          </cell>
          <cell r="B7" t="str">
            <v>Central Europe, Eastern Europe, and Central Asia</v>
          </cell>
          <cell r="C7" t="str">
            <v>MNG</v>
          </cell>
        </row>
        <row r="8">
          <cell r="A8" t="str">
            <v>Tajikistan</v>
          </cell>
          <cell r="B8" t="str">
            <v>Central Europe, Eastern Europe, and Central Asia</v>
          </cell>
          <cell r="C8" t="str">
            <v>TJK</v>
          </cell>
        </row>
        <row r="9">
          <cell r="A9" t="str">
            <v>Turkmenistan</v>
          </cell>
          <cell r="B9" t="str">
            <v>Central Europe, Eastern Europe, and Central Asia</v>
          </cell>
          <cell r="C9" t="str">
            <v>TKM</v>
          </cell>
        </row>
        <row r="10">
          <cell r="A10" t="str">
            <v>Uzbekistan</v>
          </cell>
          <cell r="B10" t="str">
            <v>Central Europe, Eastern Europe, and Central Asia</v>
          </cell>
          <cell r="C10" t="str">
            <v>UZB</v>
          </cell>
        </row>
        <row r="11">
          <cell r="A11" t="str">
            <v>Albania</v>
          </cell>
          <cell r="B11" t="str">
            <v>Central Europe, Eastern Europe, and Central Asia</v>
          </cell>
          <cell r="C11" t="str">
            <v>ALB</v>
          </cell>
        </row>
        <row r="12">
          <cell r="A12" t="str">
            <v>Bosnia and Herzegovina</v>
          </cell>
          <cell r="B12" t="str">
            <v>Central Europe, Eastern Europe, and Central Asia</v>
          </cell>
          <cell r="C12" t="str">
            <v>BIH</v>
          </cell>
        </row>
        <row r="13">
          <cell r="A13" t="str">
            <v>Bulgaria</v>
          </cell>
          <cell r="B13" t="str">
            <v>Central Europe, Eastern Europe, and Central Asia</v>
          </cell>
          <cell r="C13" t="str">
            <v>BGR</v>
          </cell>
        </row>
        <row r="14">
          <cell r="A14" t="str">
            <v>Croatia</v>
          </cell>
          <cell r="B14" t="str">
            <v>Central Europe, Eastern Europe, and Central Asia</v>
          </cell>
          <cell r="C14" t="str">
            <v>HRV</v>
          </cell>
        </row>
        <row r="15">
          <cell r="A15" t="str">
            <v>Bermuda</v>
          </cell>
          <cell r="B15" t="str">
            <v>Latin America and Caribbean</v>
          </cell>
          <cell r="C15" t="str">
            <v>BMU</v>
          </cell>
        </row>
        <row r="16">
          <cell r="A16" t="str">
            <v>Hungary</v>
          </cell>
          <cell r="B16" t="str">
            <v>Central Europe, Eastern Europe, and Central Asia</v>
          </cell>
          <cell r="C16" t="str">
            <v>HUN</v>
          </cell>
        </row>
        <row r="17">
          <cell r="A17" t="str">
            <v>Montenegro</v>
          </cell>
          <cell r="B17" t="str">
            <v>Central Europe, Eastern Europe, and Central Asia</v>
          </cell>
          <cell r="C17" t="str">
            <v>MNE</v>
          </cell>
        </row>
        <row r="18">
          <cell r="A18" t="str">
            <v>North Macedonia</v>
          </cell>
          <cell r="B18" t="str">
            <v>Central Europe, Eastern Europe, and Central Asia</v>
          </cell>
          <cell r="C18" t="str">
            <v>MKD</v>
          </cell>
        </row>
        <row r="19">
          <cell r="A19" t="str">
            <v>Poland</v>
          </cell>
          <cell r="B19" t="str">
            <v>Central Europe, Eastern Europe, and Central Asia</v>
          </cell>
          <cell r="C19" t="str">
            <v>POL</v>
          </cell>
        </row>
        <row r="20">
          <cell r="A20" t="str">
            <v>Romania</v>
          </cell>
          <cell r="B20" t="str">
            <v>Central Europe, Eastern Europe, and Central Asia</v>
          </cell>
          <cell r="C20" t="str">
            <v>ROU</v>
          </cell>
        </row>
        <row r="21">
          <cell r="A21" t="str">
            <v>Serbia</v>
          </cell>
          <cell r="B21" t="str">
            <v>Central Europe, Eastern Europe, and Central Asia</v>
          </cell>
          <cell r="C21" t="str">
            <v>SRB</v>
          </cell>
        </row>
        <row r="22">
          <cell r="A22" t="str">
            <v>Brunei Darussalam</v>
          </cell>
          <cell r="B22" t="str">
            <v>High-income</v>
          </cell>
          <cell r="C22" t="str">
            <v>BRN</v>
          </cell>
        </row>
        <row r="23">
          <cell r="A23" t="str">
            <v>Slovenia</v>
          </cell>
          <cell r="B23" t="str">
            <v>Central Europe, Eastern Europe, and Central Asia</v>
          </cell>
          <cell r="C23" t="str">
            <v>SVN</v>
          </cell>
        </row>
        <row r="24">
          <cell r="A24" t="str">
            <v>Belarus</v>
          </cell>
          <cell r="B24" t="str">
            <v>Central Europe, Eastern Europe, and Central Asia</v>
          </cell>
          <cell r="C24" t="str">
            <v>BLR</v>
          </cell>
        </row>
        <row r="25">
          <cell r="A25" t="str">
            <v>Estonia</v>
          </cell>
          <cell r="B25" t="str">
            <v>Central Europe, Eastern Europe, and Central Asia</v>
          </cell>
          <cell r="C25" t="str">
            <v>EST</v>
          </cell>
        </row>
        <row r="26">
          <cell r="A26" t="str">
            <v>Latvia</v>
          </cell>
          <cell r="B26" t="str">
            <v>Central Europe, Eastern Europe, and Central Asia</v>
          </cell>
          <cell r="C26" t="str">
            <v>LVA</v>
          </cell>
        </row>
        <row r="27">
          <cell r="A27" t="str">
            <v>Lithuania</v>
          </cell>
          <cell r="B27" t="str">
            <v>Central Europe, Eastern Europe, and Central Asia</v>
          </cell>
          <cell r="C27" t="str">
            <v>LTU</v>
          </cell>
        </row>
        <row r="28">
          <cell r="A28" t="str">
            <v>Moldova</v>
          </cell>
          <cell r="B28" t="str">
            <v>Central Europe, Eastern Europe, and Central Asia</v>
          </cell>
          <cell r="C28" t="str">
            <v>MDA</v>
          </cell>
        </row>
        <row r="29">
          <cell r="A29" t="str">
            <v>Côte d'Ivoire</v>
          </cell>
          <cell r="B29" t="str">
            <v>Sub-Saharan Africa</v>
          </cell>
          <cell r="C29" t="str">
            <v>CIV</v>
          </cell>
        </row>
        <row r="30">
          <cell r="A30" t="str">
            <v>Ukraine</v>
          </cell>
          <cell r="B30" t="str">
            <v>Central Europe, Eastern Europe, and Central Asia</v>
          </cell>
          <cell r="C30" t="str">
            <v>UKR</v>
          </cell>
        </row>
        <row r="31">
          <cell r="A31" t="str">
            <v>Australia</v>
          </cell>
          <cell r="B31" t="str">
            <v>High-income</v>
          </cell>
          <cell r="C31" t="str">
            <v>AUS</v>
          </cell>
        </row>
        <row r="32">
          <cell r="A32" t="str">
            <v>New Zealand</v>
          </cell>
          <cell r="B32" t="str">
            <v>High-income</v>
          </cell>
          <cell r="C32" t="str">
            <v>NZL</v>
          </cell>
        </row>
        <row r="33">
          <cell r="A33" t="str">
            <v>Czech Republic</v>
          </cell>
          <cell r="B33" t="str">
            <v>Central Europe, Eastern Europe, and Central Asia</v>
          </cell>
          <cell r="C33" t="str">
            <v>CZE</v>
          </cell>
        </row>
        <row r="34">
          <cell r="A34" t="str">
            <v>Japan</v>
          </cell>
          <cell r="B34" t="str">
            <v>High-income</v>
          </cell>
          <cell r="C34" t="str">
            <v>JPN</v>
          </cell>
        </row>
        <row r="35">
          <cell r="A35" t="str">
            <v>D. P. R. of Korea</v>
          </cell>
          <cell r="B35" t="str">
            <v>Southeast Asia, East Asia, and Oceania</v>
          </cell>
          <cell r="C35" t="str">
            <v>PRK</v>
          </cell>
        </row>
        <row r="36">
          <cell r="A36" t="str">
            <v>Singapore</v>
          </cell>
          <cell r="B36" t="str">
            <v>High-income</v>
          </cell>
          <cell r="C36" t="str">
            <v>SGP</v>
          </cell>
        </row>
        <row r="37">
          <cell r="A37" t="str">
            <v>Canada</v>
          </cell>
          <cell r="B37" t="str">
            <v>High-income</v>
          </cell>
          <cell r="C37" t="str">
            <v>CAN</v>
          </cell>
        </row>
        <row r="38">
          <cell r="A38" t="str">
            <v>Federated States of Micronesia</v>
          </cell>
          <cell r="B38" t="str">
            <v>Southeast Asia, East Asia, and Oceania</v>
          </cell>
          <cell r="C38" t="str">
            <v>FSM</v>
          </cell>
        </row>
        <row r="39">
          <cell r="A39" t="str">
            <v>GREENLAND (DEN.)</v>
          </cell>
          <cell r="B39" t="str">
            <v>High-income</v>
          </cell>
          <cell r="C39" t="str">
            <v>GRL</v>
          </cell>
        </row>
        <row r="40">
          <cell r="A40" t="str">
            <v>Argentina</v>
          </cell>
          <cell r="B40" t="str">
            <v>High-income</v>
          </cell>
          <cell r="C40" t="str">
            <v>ARG</v>
          </cell>
        </row>
        <row r="41">
          <cell r="A41" t="str">
            <v>Chile</v>
          </cell>
          <cell r="B41" t="str">
            <v>High-income</v>
          </cell>
          <cell r="C41" t="str">
            <v>CHL</v>
          </cell>
        </row>
        <row r="42">
          <cell r="A42" t="str">
            <v>Uruguay</v>
          </cell>
          <cell r="B42" t="str">
            <v>High-income</v>
          </cell>
          <cell r="C42" t="str">
            <v>URY</v>
          </cell>
        </row>
        <row r="43">
          <cell r="A43" t="str">
            <v>Andorra</v>
          </cell>
          <cell r="B43" t="str">
            <v>High-income</v>
          </cell>
          <cell r="C43" t="str">
            <v>AND</v>
          </cell>
        </row>
        <row r="44">
          <cell r="A44" t="str">
            <v>Austria</v>
          </cell>
          <cell r="B44" t="str">
            <v>High-income</v>
          </cell>
          <cell r="C44" t="str">
            <v>AUT</v>
          </cell>
        </row>
        <row r="45">
          <cell r="A45" t="str">
            <v>Belgium</v>
          </cell>
          <cell r="B45" t="str">
            <v>High-income</v>
          </cell>
          <cell r="C45" t="str">
            <v>BEL</v>
          </cell>
        </row>
        <row r="46">
          <cell r="A46" t="str">
            <v>Cyprus</v>
          </cell>
          <cell r="B46" t="str">
            <v>High-income</v>
          </cell>
          <cell r="C46" t="str">
            <v>CYP</v>
          </cell>
        </row>
        <row r="47">
          <cell r="A47" t="str">
            <v>Denmark</v>
          </cell>
          <cell r="B47" t="str">
            <v>High-income</v>
          </cell>
          <cell r="C47" t="str">
            <v>DNK</v>
          </cell>
        </row>
        <row r="48">
          <cell r="A48" t="str">
            <v>Finland</v>
          </cell>
          <cell r="B48" t="str">
            <v>High-income</v>
          </cell>
          <cell r="C48" t="str">
            <v>FIN</v>
          </cell>
        </row>
        <row r="49">
          <cell r="A49" t="str">
            <v>France</v>
          </cell>
          <cell r="B49" t="str">
            <v>High-income</v>
          </cell>
          <cell r="C49" t="str">
            <v>FRA</v>
          </cell>
        </row>
        <row r="50">
          <cell r="A50" t="str">
            <v>Germany</v>
          </cell>
          <cell r="B50" t="str">
            <v>High-income</v>
          </cell>
          <cell r="C50" t="str">
            <v>DEU</v>
          </cell>
        </row>
        <row r="51">
          <cell r="A51" t="str">
            <v>Greece</v>
          </cell>
          <cell r="B51" t="str">
            <v>High-income</v>
          </cell>
          <cell r="C51" t="str">
            <v>GRC</v>
          </cell>
        </row>
        <row r="52">
          <cell r="A52" t="str">
            <v>Iceland</v>
          </cell>
          <cell r="B52" t="str">
            <v>High-income</v>
          </cell>
          <cell r="C52" t="str">
            <v>ISL</v>
          </cell>
        </row>
        <row r="53">
          <cell r="A53" t="str">
            <v>Ireland</v>
          </cell>
          <cell r="B53" t="str">
            <v>High-income</v>
          </cell>
          <cell r="C53" t="str">
            <v>IRL</v>
          </cell>
        </row>
        <row r="54">
          <cell r="A54" t="str">
            <v>Israel</v>
          </cell>
          <cell r="B54" t="str">
            <v>High-income</v>
          </cell>
          <cell r="C54" t="str">
            <v>ISR</v>
          </cell>
        </row>
        <row r="55">
          <cell r="A55" t="str">
            <v>Italy</v>
          </cell>
          <cell r="B55" t="str">
            <v>High-income</v>
          </cell>
          <cell r="C55" t="str">
            <v>ITA</v>
          </cell>
        </row>
        <row r="56">
          <cell r="A56" t="str">
            <v>Luxembourg</v>
          </cell>
          <cell r="B56" t="str">
            <v>High-income</v>
          </cell>
          <cell r="C56" t="str">
            <v>LUX</v>
          </cell>
        </row>
        <row r="57">
          <cell r="A57" t="str">
            <v>Malta</v>
          </cell>
          <cell r="B57" t="str">
            <v>High-income</v>
          </cell>
          <cell r="C57" t="str">
            <v>MLT</v>
          </cell>
        </row>
        <row r="58">
          <cell r="A58" t="str">
            <v>Monaco</v>
          </cell>
          <cell r="B58" t="str">
            <v>High-income</v>
          </cell>
          <cell r="C58" t="str">
            <v>MCO</v>
          </cell>
        </row>
        <row r="59">
          <cell r="A59" t="str">
            <v>Netherlands</v>
          </cell>
          <cell r="B59" t="str">
            <v>High-income</v>
          </cell>
          <cell r="C59" t="str">
            <v>NLD</v>
          </cell>
        </row>
        <row r="60">
          <cell r="A60" t="str">
            <v>Norway</v>
          </cell>
          <cell r="B60" t="str">
            <v>High-income</v>
          </cell>
          <cell r="C60" t="str">
            <v>NOR</v>
          </cell>
        </row>
        <row r="61">
          <cell r="A61" t="str">
            <v>Portugal</v>
          </cell>
          <cell r="B61" t="str">
            <v>High-income</v>
          </cell>
          <cell r="C61" t="str">
            <v>PRT</v>
          </cell>
        </row>
        <row r="62">
          <cell r="A62" t="str">
            <v>San Marino</v>
          </cell>
          <cell r="B62" t="str">
            <v>High-income</v>
          </cell>
          <cell r="C62" t="str">
            <v>SMR</v>
          </cell>
        </row>
        <row r="63">
          <cell r="A63" t="str">
            <v>Spain</v>
          </cell>
          <cell r="B63" t="str">
            <v>High-income</v>
          </cell>
          <cell r="C63" t="str">
            <v>ESP</v>
          </cell>
        </row>
        <row r="64">
          <cell r="A64" t="str">
            <v>Sweden</v>
          </cell>
          <cell r="B64" t="str">
            <v>High-income</v>
          </cell>
          <cell r="C64" t="str">
            <v>SWE</v>
          </cell>
        </row>
        <row r="65">
          <cell r="A65" t="str">
            <v>Switzerland</v>
          </cell>
          <cell r="B65" t="str">
            <v>High-income</v>
          </cell>
          <cell r="C65" t="str">
            <v>CHE</v>
          </cell>
        </row>
        <row r="66">
          <cell r="A66" t="str">
            <v>United Kingdom</v>
          </cell>
          <cell r="B66" t="str">
            <v>High-income</v>
          </cell>
          <cell r="C66" t="str">
            <v>GBR</v>
          </cell>
        </row>
        <row r="67">
          <cell r="A67" t="str">
            <v>Bolivia</v>
          </cell>
          <cell r="B67" t="str">
            <v>Latin America and Caribbean</v>
          </cell>
          <cell r="C67" t="str">
            <v>BOL</v>
          </cell>
        </row>
        <row r="68">
          <cell r="A68" t="str">
            <v>Ecuador</v>
          </cell>
          <cell r="B68" t="str">
            <v>Latin America and Caribbean</v>
          </cell>
          <cell r="C68" t="str">
            <v>ECU</v>
          </cell>
        </row>
        <row r="69">
          <cell r="A69" t="str">
            <v>Peru</v>
          </cell>
          <cell r="B69" t="str">
            <v>Latin America and Caribbean</v>
          </cell>
          <cell r="C69" t="str">
            <v>PER</v>
          </cell>
        </row>
        <row r="70">
          <cell r="A70" t="str">
            <v>Antigua and Barbuda</v>
          </cell>
          <cell r="B70" t="str">
            <v>Latin America and Caribbean</v>
          </cell>
          <cell r="C70" t="str">
            <v>ATG</v>
          </cell>
        </row>
        <row r="71">
          <cell r="A71" t="str">
            <v>Islamic Republic of Iran</v>
          </cell>
          <cell r="B71" t="str">
            <v>North Africa and Middle East</v>
          </cell>
          <cell r="C71" t="str">
            <v>IRN</v>
          </cell>
        </row>
        <row r="72">
          <cell r="A72" t="str">
            <v>Barbados</v>
          </cell>
          <cell r="B72" t="str">
            <v>Latin America and Caribbean</v>
          </cell>
          <cell r="C72" t="str">
            <v>BRB</v>
          </cell>
        </row>
        <row r="73">
          <cell r="A73" t="str">
            <v>Belize</v>
          </cell>
          <cell r="B73" t="str">
            <v>Latin America and Caribbean</v>
          </cell>
          <cell r="C73" t="str">
            <v>BLZ</v>
          </cell>
        </row>
        <row r="74">
          <cell r="A74" t="str">
            <v>Kyrgyz Republic</v>
          </cell>
          <cell r="B74" t="str">
            <v>Central Europe, Eastern Europe, and Central Asia</v>
          </cell>
          <cell r="C74" t="str">
            <v>KGZ</v>
          </cell>
        </row>
        <row r="75">
          <cell r="A75" t="str">
            <v>Cuba</v>
          </cell>
          <cell r="B75" t="str">
            <v>Latin America and Caribbean</v>
          </cell>
          <cell r="C75" t="str">
            <v>CUB</v>
          </cell>
        </row>
        <row r="76">
          <cell r="A76" t="str">
            <v>Dominica</v>
          </cell>
          <cell r="B76" t="str">
            <v>Latin America and Caribbean</v>
          </cell>
          <cell r="C76" t="str">
            <v>DMA</v>
          </cell>
        </row>
        <row r="77">
          <cell r="A77" t="str">
            <v>Dominican Republic</v>
          </cell>
          <cell r="B77" t="str">
            <v>Latin America and Caribbean</v>
          </cell>
          <cell r="C77" t="str">
            <v>DOM</v>
          </cell>
        </row>
        <row r="78">
          <cell r="A78" t="str">
            <v>Grenada</v>
          </cell>
          <cell r="B78" t="str">
            <v>Latin America and Caribbean</v>
          </cell>
          <cell r="C78" t="str">
            <v>GRD</v>
          </cell>
        </row>
        <row r="79">
          <cell r="A79" t="str">
            <v>Guyana</v>
          </cell>
          <cell r="B79" t="str">
            <v>Latin America and Caribbean</v>
          </cell>
          <cell r="C79" t="str">
            <v>GUY</v>
          </cell>
        </row>
        <row r="80">
          <cell r="A80" t="str">
            <v>Haiti</v>
          </cell>
          <cell r="B80" t="str">
            <v>Latin America and Caribbean</v>
          </cell>
          <cell r="C80" t="str">
            <v>HTI</v>
          </cell>
        </row>
        <row r="81">
          <cell r="A81" t="str">
            <v>Jamaica</v>
          </cell>
          <cell r="B81" t="str">
            <v>Latin America and Caribbean</v>
          </cell>
          <cell r="C81" t="str">
            <v>JAM</v>
          </cell>
        </row>
        <row r="82">
          <cell r="A82" t="str">
            <v>Puerto Rico</v>
          </cell>
          <cell r="B82" t="str">
            <v>Latin America and Caribbean</v>
          </cell>
          <cell r="C82" t="str">
            <v>PRI</v>
          </cell>
        </row>
        <row r="83">
          <cell r="A83" t="str">
            <v>Saint Kitts and Nevis</v>
          </cell>
          <cell r="B83" t="str">
            <v>Latin America and Caribbean</v>
          </cell>
          <cell r="C83" t="str">
            <v>KNA</v>
          </cell>
        </row>
        <row r="84">
          <cell r="A84" t="str">
            <v>Saint Lucia</v>
          </cell>
          <cell r="B84" t="str">
            <v>Latin America and Caribbean</v>
          </cell>
          <cell r="C84" t="str">
            <v>LCA</v>
          </cell>
        </row>
        <row r="85">
          <cell r="A85" t="str">
            <v>Lao People's Democratic Republic</v>
          </cell>
          <cell r="B85" t="str">
            <v>Southeast Asia, East Asia, and Oceania</v>
          </cell>
          <cell r="C85" t="str">
            <v>LAO</v>
          </cell>
        </row>
        <row r="86">
          <cell r="A86" t="str">
            <v>Suriname</v>
          </cell>
          <cell r="B86" t="str">
            <v>Latin America and Caribbean</v>
          </cell>
          <cell r="C86" t="str">
            <v>SUR</v>
          </cell>
        </row>
        <row r="87">
          <cell r="A87" t="str">
            <v>Trinidad and Tobago</v>
          </cell>
          <cell r="B87" t="str">
            <v>Latin America and Caribbean</v>
          </cell>
          <cell r="C87" t="str">
            <v>TTO</v>
          </cell>
        </row>
        <row r="88">
          <cell r="A88" t="str">
            <v>R. B. de Venezuela</v>
          </cell>
          <cell r="B88" t="str">
            <v>Latin America and Caribbean</v>
          </cell>
          <cell r="C88" t="str">
            <v>VEN</v>
          </cell>
        </row>
        <row r="89">
          <cell r="A89" t="str">
            <v>Colombia</v>
          </cell>
          <cell r="B89" t="str">
            <v>Latin America and Caribbean</v>
          </cell>
          <cell r="C89" t="str">
            <v>COL</v>
          </cell>
        </row>
        <row r="90">
          <cell r="A90" t="str">
            <v>Costa Rica</v>
          </cell>
          <cell r="B90" t="str">
            <v>Latin America and Caribbean</v>
          </cell>
          <cell r="C90" t="str">
            <v>CRI</v>
          </cell>
        </row>
        <row r="91">
          <cell r="A91" t="str">
            <v>El Salvador</v>
          </cell>
          <cell r="B91" t="str">
            <v>Latin America and Caribbean</v>
          </cell>
          <cell r="C91" t="str">
            <v>SLV</v>
          </cell>
        </row>
        <row r="92">
          <cell r="A92" t="str">
            <v>Guatemala</v>
          </cell>
          <cell r="B92" t="str">
            <v>Latin America and Caribbean</v>
          </cell>
          <cell r="C92" t="str">
            <v>GTM</v>
          </cell>
        </row>
        <row r="93">
          <cell r="A93" t="str">
            <v>Honduras</v>
          </cell>
          <cell r="B93" t="str">
            <v>Latin America and Caribbean</v>
          </cell>
          <cell r="C93" t="str">
            <v>HND</v>
          </cell>
        </row>
        <row r="94">
          <cell r="A94" t="str">
            <v>Mexico</v>
          </cell>
          <cell r="B94" t="str">
            <v>Latin America and Caribbean</v>
          </cell>
          <cell r="C94" t="str">
            <v>MEX</v>
          </cell>
        </row>
        <row r="95">
          <cell r="A95" t="str">
            <v>Nicaragua</v>
          </cell>
          <cell r="B95" t="str">
            <v>Latin America and Caribbean</v>
          </cell>
          <cell r="C95" t="str">
            <v>NIC</v>
          </cell>
        </row>
        <row r="96">
          <cell r="A96" t="str">
            <v>Panama</v>
          </cell>
          <cell r="B96" t="str">
            <v>Latin America and Caribbean</v>
          </cell>
          <cell r="C96" t="str">
            <v>PAN</v>
          </cell>
        </row>
        <row r="97">
          <cell r="A97" t="str">
            <v>Republic of Korea</v>
          </cell>
          <cell r="B97" t="str">
            <v>High-income</v>
          </cell>
          <cell r="C97" t="str">
            <v>KOR</v>
          </cell>
        </row>
        <row r="98">
          <cell r="A98" t="str">
            <v>Brazil</v>
          </cell>
          <cell r="B98" t="str">
            <v>Latin America and Caribbean</v>
          </cell>
          <cell r="C98" t="str">
            <v>BRA</v>
          </cell>
        </row>
        <row r="99">
          <cell r="A99" t="str">
            <v>Paraguay</v>
          </cell>
          <cell r="B99" t="str">
            <v>Latin America and Caribbean</v>
          </cell>
          <cell r="C99" t="str">
            <v>PRY</v>
          </cell>
        </row>
        <row r="100">
          <cell r="A100" t="str">
            <v>Afghanistan</v>
          </cell>
          <cell r="B100" t="str">
            <v>North Africa and Middle East</v>
          </cell>
          <cell r="C100" t="str">
            <v>AFG</v>
          </cell>
        </row>
        <row r="101">
          <cell r="A101" t="str">
            <v>Algeria</v>
          </cell>
          <cell r="B101" t="str">
            <v>North Africa and Middle East</v>
          </cell>
          <cell r="C101" t="str">
            <v>DZA</v>
          </cell>
        </row>
        <row r="102">
          <cell r="A102" t="str">
            <v>Bahrain</v>
          </cell>
          <cell r="B102" t="str">
            <v>North Africa and Middle East</v>
          </cell>
          <cell r="C102" t="str">
            <v>BHR</v>
          </cell>
        </row>
        <row r="103">
          <cell r="A103" t="str">
            <v>Republic of Yemen</v>
          </cell>
          <cell r="B103" t="str">
            <v>North Africa and Middle East</v>
          </cell>
          <cell r="C103" t="str">
            <v>YEM</v>
          </cell>
        </row>
        <row r="104">
          <cell r="A104" t="str">
            <v>Russian Federation</v>
          </cell>
          <cell r="B104" t="str">
            <v>Central Europe, Eastern Europe, and Central Asia</v>
          </cell>
          <cell r="C104" t="str">
            <v>RUS</v>
          </cell>
        </row>
        <row r="105">
          <cell r="A105" t="str">
            <v>Iraq</v>
          </cell>
          <cell r="B105" t="str">
            <v>North Africa and Middle East</v>
          </cell>
          <cell r="C105" t="str">
            <v>IRQ</v>
          </cell>
        </row>
        <row r="106">
          <cell r="A106" t="str">
            <v>Jordan</v>
          </cell>
          <cell r="B106" t="str">
            <v>North Africa and Middle East</v>
          </cell>
          <cell r="C106" t="str">
            <v>JOR</v>
          </cell>
        </row>
        <row r="107">
          <cell r="A107" t="str">
            <v>Kuwait</v>
          </cell>
          <cell r="B107" t="str">
            <v>North Africa and Middle East</v>
          </cell>
          <cell r="C107" t="str">
            <v>KWT</v>
          </cell>
        </row>
        <row r="108">
          <cell r="A108" t="str">
            <v>Lebanon</v>
          </cell>
          <cell r="B108" t="str">
            <v>North Africa and Middle East</v>
          </cell>
          <cell r="C108" t="str">
            <v>LBN</v>
          </cell>
        </row>
        <row r="109">
          <cell r="A109" t="str">
            <v>Libya</v>
          </cell>
          <cell r="B109" t="str">
            <v>North Africa and Middle East</v>
          </cell>
          <cell r="C109" t="str">
            <v>LBY</v>
          </cell>
        </row>
        <row r="110">
          <cell r="A110" t="str">
            <v>Morocco</v>
          </cell>
          <cell r="B110" t="str">
            <v>North Africa and Middle East</v>
          </cell>
          <cell r="C110" t="str">
            <v>MAR</v>
          </cell>
        </row>
        <row r="111">
          <cell r="A111" t="str">
            <v>Oman</v>
          </cell>
          <cell r="B111" t="str">
            <v>North Africa and Middle East</v>
          </cell>
          <cell r="C111" t="str">
            <v>OMN</v>
          </cell>
        </row>
        <row r="112">
          <cell r="A112" t="str">
            <v>Saint Vincent and the Grenadines</v>
          </cell>
          <cell r="B112" t="str">
            <v>Latin America and Caribbean</v>
          </cell>
          <cell r="C112" t="str">
            <v>VCT</v>
          </cell>
        </row>
        <row r="113">
          <cell r="A113" t="str">
            <v>Qatar</v>
          </cell>
          <cell r="B113" t="str">
            <v>North Africa and Middle East</v>
          </cell>
          <cell r="C113" t="str">
            <v>QAT</v>
          </cell>
        </row>
        <row r="114">
          <cell r="A114" t="str">
            <v>Saudi Arabia</v>
          </cell>
          <cell r="B114" t="str">
            <v>North Africa and Middle East</v>
          </cell>
          <cell r="C114" t="str">
            <v>SAU</v>
          </cell>
        </row>
        <row r="115">
          <cell r="A115" t="str">
            <v>Sudan</v>
          </cell>
          <cell r="B115" t="str">
            <v>North Africa and Middle East</v>
          </cell>
          <cell r="C115" t="str">
            <v>SDN</v>
          </cell>
        </row>
        <row r="116">
          <cell r="A116" t="str">
            <v>São Tomé and Príncipe</v>
          </cell>
          <cell r="B116" t="str">
            <v>Sub-Saharan Africa</v>
          </cell>
          <cell r="C116" t="str">
            <v>STP</v>
          </cell>
        </row>
        <row r="117">
          <cell r="A117" t="str">
            <v>Tunisia</v>
          </cell>
          <cell r="B117" t="str">
            <v>North Africa and Middle East</v>
          </cell>
          <cell r="C117" t="str">
            <v>TUN</v>
          </cell>
        </row>
        <row r="118">
          <cell r="A118" t="str">
            <v>Turkey</v>
          </cell>
          <cell r="B118" t="str">
            <v>North Africa and Middle East</v>
          </cell>
          <cell r="C118" t="str">
            <v>TUR</v>
          </cell>
        </row>
        <row r="119">
          <cell r="A119" t="str">
            <v>United Arab Emirates</v>
          </cell>
          <cell r="B119" t="str">
            <v>North Africa and Middle East</v>
          </cell>
          <cell r="C119" t="str">
            <v>ARE</v>
          </cell>
        </row>
        <row r="120">
          <cell r="A120" t="str">
            <v>Slovak Republic</v>
          </cell>
          <cell r="B120" t="str">
            <v>Central Europe, Eastern Europe, and Central Asia</v>
          </cell>
          <cell r="C120" t="str">
            <v>SVK</v>
          </cell>
        </row>
        <row r="121">
          <cell r="A121" t="str">
            <v>Bangladesh</v>
          </cell>
          <cell r="B121" t="str">
            <v>South Asia</v>
          </cell>
          <cell r="C121" t="str">
            <v>BGD</v>
          </cell>
        </row>
        <row r="122">
          <cell r="A122" t="str">
            <v>Bhutan</v>
          </cell>
          <cell r="B122" t="str">
            <v>South Asia</v>
          </cell>
          <cell r="C122" t="str">
            <v>BTN</v>
          </cell>
        </row>
        <row r="123">
          <cell r="A123" t="str">
            <v>India</v>
          </cell>
          <cell r="B123" t="str">
            <v>South Asia</v>
          </cell>
          <cell r="C123" t="str">
            <v>IND</v>
          </cell>
        </row>
        <row r="124">
          <cell r="A124" t="str">
            <v>Nepal</v>
          </cell>
          <cell r="B124" t="str">
            <v>South Asia</v>
          </cell>
          <cell r="C124" t="str">
            <v>NPL</v>
          </cell>
        </row>
        <row r="125">
          <cell r="A125" t="str">
            <v>Pakistan</v>
          </cell>
          <cell r="B125" t="str">
            <v>South Asia</v>
          </cell>
          <cell r="C125" t="str">
            <v>PAK</v>
          </cell>
        </row>
        <row r="126">
          <cell r="A126" t="str">
            <v>China</v>
          </cell>
          <cell r="B126" t="str">
            <v>Southeast Asia, East Asia, and Oceania</v>
          </cell>
          <cell r="C126" t="str">
            <v>CHN</v>
          </cell>
        </row>
        <row r="127">
          <cell r="A127" t="str">
            <v>Syrian Arab Republic</v>
          </cell>
          <cell r="B127" t="str">
            <v>North Africa and Middle East</v>
          </cell>
          <cell r="C127" t="str">
            <v>SYR</v>
          </cell>
        </row>
        <row r="128">
          <cell r="A128" t="str">
            <v>American Samoa</v>
          </cell>
          <cell r="B128" t="str">
            <v>Southeast Asia, East Asia, and Oceania</v>
          </cell>
          <cell r="C128" t="str">
            <v>ASM</v>
          </cell>
        </row>
        <row r="129">
          <cell r="A129" t="str">
            <v>Cook Islands</v>
          </cell>
          <cell r="B129" t="str">
            <v>Southeast Asia, East Asia, and Oceania</v>
          </cell>
          <cell r="C129" t="str">
            <v>COK</v>
          </cell>
        </row>
        <row r="130">
          <cell r="A130" t="str">
            <v>Fiji</v>
          </cell>
          <cell r="B130" t="str">
            <v>Southeast Asia, East Asia, and Oceania</v>
          </cell>
          <cell r="C130" t="str">
            <v>FJI</v>
          </cell>
        </row>
        <row r="131">
          <cell r="A131" t="str">
            <v>Guam</v>
          </cell>
          <cell r="B131" t="str">
            <v>Southeast Asia, East Asia, and Oceania</v>
          </cell>
          <cell r="C131" t="str">
            <v>GUM</v>
          </cell>
        </row>
        <row r="132">
          <cell r="A132" t="str">
            <v>Kiribati</v>
          </cell>
          <cell r="B132" t="str">
            <v>Southeast Asia, East Asia, and Oceania</v>
          </cell>
          <cell r="C132" t="str">
            <v>KIR</v>
          </cell>
        </row>
        <row r="133">
          <cell r="A133" t="str">
            <v>Marshall Islands</v>
          </cell>
          <cell r="B133" t="str">
            <v>Southeast Asia, East Asia, and Oceania</v>
          </cell>
          <cell r="C133" t="str">
            <v>MHL</v>
          </cell>
        </row>
        <row r="134">
          <cell r="A134" t="str">
            <v>THE BAHAMAS</v>
          </cell>
          <cell r="B134" t="str">
            <v>Latin America and Caribbean</v>
          </cell>
          <cell r="C134" t="str">
            <v>BHS</v>
          </cell>
        </row>
        <row r="135">
          <cell r="A135" t="str">
            <v>Nauru</v>
          </cell>
          <cell r="B135" t="str">
            <v>Southeast Asia, East Asia, and Oceania</v>
          </cell>
          <cell r="C135" t="str">
            <v>NRU</v>
          </cell>
        </row>
        <row r="136">
          <cell r="A136" t="str">
            <v>Niue</v>
          </cell>
          <cell r="B136" t="str">
            <v>Southeast Asia, East Asia, and Oceania</v>
          </cell>
          <cell r="C136" t="str">
            <v>NIU</v>
          </cell>
        </row>
        <row r="137">
          <cell r="A137" t="str">
            <v>Northern Mariana Islands</v>
          </cell>
          <cell r="B137" t="str">
            <v>Southeast Asia, East Asia, and Oceania</v>
          </cell>
          <cell r="C137" t="str">
            <v>MNP</v>
          </cell>
        </row>
        <row r="138">
          <cell r="A138" t="str">
            <v>Palau</v>
          </cell>
          <cell r="B138" t="str">
            <v>Southeast Asia, East Asia, and Oceania</v>
          </cell>
          <cell r="C138" t="str">
            <v>PLW</v>
          </cell>
        </row>
        <row r="139">
          <cell r="A139" t="str">
            <v>Papua New Guinea</v>
          </cell>
          <cell r="B139" t="str">
            <v>Southeast Asia, East Asia, and Oceania</v>
          </cell>
          <cell r="C139" t="str">
            <v>PNG</v>
          </cell>
        </row>
        <row r="140">
          <cell r="A140" t="str">
            <v>Samoa</v>
          </cell>
          <cell r="B140" t="str">
            <v>Southeast Asia, East Asia, and Oceania</v>
          </cell>
          <cell r="C140" t="str">
            <v>WSM</v>
          </cell>
        </row>
        <row r="141">
          <cell r="A141" t="str">
            <v>Solomon Islands</v>
          </cell>
          <cell r="B141" t="str">
            <v>Southeast Asia, East Asia, and Oceania</v>
          </cell>
          <cell r="C141" t="str">
            <v>SLB</v>
          </cell>
        </row>
        <row r="142">
          <cell r="A142" t="str">
            <v>The Gambia</v>
          </cell>
          <cell r="B142" t="str">
            <v>Sub-Saharan Africa</v>
          </cell>
          <cell r="C142" t="str">
            <v>GMB</v>
          </cell>
        </row>
        <row r="143">
          <cell r="A143" t="str">
            <v>Tonga</v>
          </cell>
          <cell r="B143" t="str">
            <v>Southeast Asia, East Asia, and Oceania</v>
          </cell>
          <cell r="C143" t="str">
            <v>TON</v>
          </cell>
        </row>
        <row r="144">
          <cell r="A144" t="str">
            <v>Tuvalu</v>
          </cell>
          <cell r="B144" t="str">
            <v>Southeast Asia, East Asia, and Oceania</v>
          </cell>
          <cell r="C144" t="str">
            <v>TUV</v>
          </cell>
        </row>
        <row r="145">
          <cell r="A145" t="str">
            <v>Vanuatu</v>
          </cell>
          <cell r="B145" t="str">
            <v>Southeast Asia, East Asia, and Oceania</v>
          </cell>
          <cell r="C145" t="str">
            <v>VUT</v>
          </cell>
        </row>
        <row r="146">
          <cell r="A146" t="str">
            <v>Cambodia</v>
          </cell>
          <cell r="B146" t="str">
            <v>Southeast Asia, East Asia, and Oceania</v>
          </cell>
          <cell r="C146" t="str">
            <v>KHM</v>
          </cell>
        </row>
        <row r="147">
          <cell r="A147" t="str">
            <v>Indonesia</v>
          </cell>
          <cell r="B147" t="str">
            <v>Southeast Asia, East Asia, and Oceania</v>
          </cell>
          <cell r="C147" t="str">
            <v>IDN</v>
          </cell>
        </row>
        <row r="148">
          <cell r="A148" t="str">
            <v>Timor-Leste</v>
          </cell>
          <cell r="B148" t="str">
            <v>Southeast Asia, East Asia, and Oceania</v>
          </cell>
          <cell r="C148" t="str">
            <v>TLS</v>
          </cell>
        </row>
        <row r="149">
          <cell r="A149" t="str">
            <v>Malaysia</v>
          </cell>
          <cell r="B149" t="str">
            <v>Southeast Asia, East Asia, and Oceania</v>
          </cell>
          <cell r="C149" t="str">
            <v>MYS</v>
          </cell>
        </row>
        <row r="150">
          <cell r="A150" t="str">
            <v>Maldives</v>
          </cell>
          <cell r="B150" t="str">
            <v>Southeast Asia, East Asia, and Oceania</v>
          </cell>
          <cell r="C150" t="str">
            <v>MDV</v>
          </cell>
        </row>
        <row r="151">
          <cell r="A151" t="str">
            <v>Mauritius</v>
          </cell>
          <cell r="B151" t="str">
            <v>Southeast Asia, East Asia, and Oceania</v>
          </cell>
          <cell r="C151" t="str">
            <v>MUS</v>
          </cell>
        </row>
        <row r="152">
          <cell r="A152" t="str">
            <v>Myanmar</v>
          </cell>
          <cell r="B152" t="str">
            <v>Southeast Asia, East Asia, and Oceania</v>
          </cell>
          <cell r="C152" t="str">
            <v>MMR</v>
          </cell>
        </row>
        <row r="153">
          <cell r="A153" t="str">
            <v>Philippines</v>
          </cell>
          <cell r="B153" t="str">
            <v>Southeast Asia, East Asia, and Oceania</v>
          </cell>
          <cell r="C153" t="str">
            <v>PHL</v>
          </cell>
        </row>
        <row r="154">
          <cell r="A154" t="str">
            <v>Seychelles</v>
          </cell>
          <cell r="B154" t="str">
            <v>Southeast Asia, East Asia, and Oceania</v>
          </cell>
          <cell r="C154" t="str">
            <v>SYC</v>
          </cell>
        </row>
        <row r="155">
          <cell r="A155" t="str">
            <v>Sri Lanka</v>
          </cell>
          <cell r="B155" t="str">
            <v>Southeast Asia, East Asia, and Oceania</v>
          </cell>
          <cell r="C155" t="str">
            <v>LKA</v>
          </cell>
        </row>
        <row r="156">
          <cell r="A156" t="str">
            <v>Thailand</v>
          </cell>
          <cell r="B156" t="str">
            <v>Southeast Asia, East Asia, and Oceania</v>
          </cell>
          <cell r="C156" t="str">
            <v>THA</v>
          </cell>
        </row>
        <row r="157">
          <cell r="A157" t="str">
            <v>Tokelau</v>
          </cell>
          <cell r="B157" t="str">
            <v>Southeast Asia, East Asia, and Oceania</v>
          </cell>
          <cell r="C157" t="e">
            <v>#N/A</v>
          </cell>
        </row>
        <row r="158">
          <cell r="A158" t="str">
            <v>Vietnam</v>
          </cell>
          <cell r="B158" t="str">
            <v>Southeast Asia, East Asia, and Oceania</v>
          </cell>
          <cell r="C158" t="str">
            <v>VNM</v>
          </cell>
        </row>
        <row r="159">
          <cell r="A159" t="str">
            <v>Angola</v>
          </cell>
          <cell r="B159" t="str">
            <v>Sub-Saharan Africa</v>
          </cell>
          <cell r="C159" t="str">
            <v>AGO</v>
          </cell>
        </row>
        <row r="160">
          <cell r="A160" t="str">
            <v>Central African Republic</v>
          </cell>
          <cell r="B160" t="str">
            <v>Sub-Saharan Africa</v>
          </cell>
          <cell r="C160" t="str">
            <v>CAF</v>
          </cell>
        </row>
        <row r="161">
          <cell r="A161" t="str">
            <v>Congo</v>
          </cell>
          <cell r="B161" t="str">
            <v>Sub-Saharan Africa</v>
          </cell>
          <cell r="C161" t="str">
            <v>COG</v>
          </cell>
        </row>
        <row r="162">
          <cell r="A162" t="str">
            <v>Democratic Republic of Congo</v>
          </cell>
          <cell r="B162" t="str">
            <v>Sub-Saharan Africa</v>
          </cell>
          <cell r="C162" t="str">
            <v>COD</v>
          </cell>
        </row>
        <row r="163">
          <cell r="A163" t="str">
            <v>Equatorial Guinea</v>
          </cell>
          <cell r="B163" t="str">
            <v>Sub-Saharan Africa</v>
          </cell>
          <cell r="C163" t="str">
            <v>GNQ</v>
          </cell>
        </row>
        <row r="164">
          <cell r="A164" t="str">
            <v>Gabon</v>
          </cell>
          <cell r="B164" t="str">
            <v>Sub-Saharan Africa</v>
          </cell>
          <cell r="C164" t="str">
            <v>GAB</v>
          </cell>
        </row>
        <row r="165">
          <cell r="A165" t="str">
            <v>Burundi</v>
          </cell>
          <cell r="B165" t="str">
            <v>Sub-Saharan Africa</v>
          </cell>
          <cell r="C165" t="str">
            <v>BDI</v>
          </cell>
        </row>
        <row r="166">
          <cell r="A166" t="str">
            <v>Comoros</v>
          </cell>
          <cell r="B166" t="str">
            <v>Sub-Saharan Africa</v>
          </cell>
          <cell r="C166" t="str">
            <v>COM</v>
          </cell>
        </row>
        <row r="167">
          <cell r="A167" t="str">
            <v>Djibouti</v>
          </cell>
          <cell r="B167" t="str">
            <v>Sub-Saharan Africa</v>
          </cell>
          <cell r="C167" t="str">
            <v>DJI</v>
          </cell>
        </row>
        <row r="168">
          <cell r="A168" t="str">
            <v>Eritrea</v>
          </cell>
          <cell r="B168" t="str">
            <v>Sub-Saharan Africa</v>
          </cell>
          <cell r="C168" t="str">
            <v>ERI</v>
          </cell>
        </row>
        <row r="169">
          <cell r="A169" t="str">
            <v>Ethiopia</v>
          </cell>
          <cell r="B169" t="str">
            <v>Sub-Saharan Africa</v>
          </cell>
          <cell r="C169" t="str">
            <v>ETH</v>
          </cell>
        </row>
        <row r="170">
          <cell r="A170" t="str">
            <v>Kenya</v>
          </cell>
          <cell r="B170" t="str">
            <v>Sub-Saharan Africa</v>
          </cell>
          <cell r="C170" t="str">
            <v>KEN</v>
          </cell>
        </row>
        <row r="171">
          <cell r="A171" t="str">
            <v>Madagascar</v>
          </cell>
          <cell r="B171" t="str">
            <v>Sub-Saharan Africa</v>
          </cell>
          <cell r="C171" t="str">
            <v>MDG</v>
          </cell>
        </row>
        <row r="172">
          <cell r="A172" t="str">
            <v>Malawi</v>
          </cell>
          <cell r="B172" t="str">
            <v>Sub-Saharan Africa</v>
          </cell>
          <cell r="C172" t="str">
            <v>MWI</v>
          </cell>
        </row>
        <row r="173">
          <cell r="A173" t="str">
            <v>Mozambique</v>
          </cell>
          <cell r="B173" t="str">
            <v>Sub-Saharan Africa</v>
          </cell>
          <cell r="C173" t="str">
            <v>MOZ</v>
          </cell>
        </row>
        <row r="174">
          <cell r="A174" t="str">
            <v>Rwanda</v>
          </cell>
          <cell r="B174" t="str">
            <v>Sub-Saharan Africa</v>
          </cell>
          <cell r="C174" t="str">
            <v>RWA</v>
          </cell>
        </row>
        <row r="175">
          <cell r="A175" t="str">
            <v>Somalia</v>
          </cell>
          <cell r="B175" t="str">
            <v>Sub-Saharan Africa</v>
          </cell>
          <cell r="C175" t="str">
            <v>SOM</v>
          </cell>
        </row>
        <row r="176">
          <cell r="A176" t="str">
            <v>South Sudan</v>
          </cell>
          <cell r="B176" t="str">
            <v>Sub-Saharan Africa</v>
          </cell>
          <cell r="C176" t="str">
            <v>SSD</v>
          </cell>
        </row>
        <row r="177">
          <cell r="A177" t="str">
            <v>Uganda</v>
          </cell>
          <cell r="B177" t="str">
            <v>Sub-Saharan Africa</v>
          </cell>
          <cell r="C177" t="str">
            <v>UGA</v>
          </cell>
        </row>
        <row r="178">
          <cell r="A178" t="str">
            <v>Tanzania</v>
          </cell>
          <cell r="B178" t="str">
            <v>Sub-Saharan Africa</v>
          </cell>
          <cell r="C178" t="str">
            <v>TZA</v>
          </cell>
        </row>
        <row r="179">
          <cell r="A179" t="str">
            <v>Zambia</v>
          </cell>
          <cell r="B179" t="str">
            <v>Sub-Saharan Africa</v>
          </cell>
          <cell r="C179" t="str">
            <v>ZMB</v>
          </cell>
        </row>
        <row r="180">
          <cell r="A180" t="str">
            <v>Botswana</v>
          </cell>
          <cell r="B180" t="str">
            <v>Sub-Saharan Africa</v>
          </cell>
          <cell r="C180" t="str">
            <v>BWA</v>
          </cell>
        </row>
        <row r="181">
          <cell r="A181" t="str">
            <v>Eswatini</v>
          </cell>
          <cell r="B181" t="str">
            <v>Sub-Saharan Africa</v>
          </cell>
          <cell r="C181" t="str">
            <v>SWZ</v>
          </cell>
        </row>
        <row r="182">
          <cell r="A182" t="str">
            <v>Lesotho</v>
          </cell>
          <cell r="B182" t="str">
            <v>Sub-Saharan Africa</v>
          </cell>
          <cell r="C182" t="str">
            <v>LSO</v>
          </cell>
        </row>
        <row r="183">
          <cell r="A183" t="str">
            <v>Namibia</v>
          </cell>
          <cell r="B183" t="str">
            <v>Sub-Saharan Africa</v>
          </cell>
          <cell r="C183" t="str">
            <v>NAM</v>
          </cell>
        </row>
        <row r="184">
          <cell r="A184" t="str">
            <v>South Africa</v>
          </cell>
          <cell r="B184" t="str">
            <v>Sub-Saharan Africa</v>
          </cell>
          <cell r="C184" t="str">
            <v>ZAF</v>
          </cell>
        </row>
        <row r="185">
          <cell r="A185" t="str">
            <v>Zimbabwe</v>
          </cell>
          <cell r="B185" t="str">
            <v>Sub-Saharan Africa</v>
          </cell>
          <cell r="C185" t="str">
            <v>ZWE</v>
          </cell>
        </row>
        <row r="186">
          <cell r="A186" t="str">
            <v>Benin</v>
          </cell>
          <cell r="B186" t="str">
            <v>Sub-Saharan Africa</v>
          </cell>
          <cell r="C186" t="str">
            <v>BEN</v>
          </cell>
        </row>
        <row r="187">
          <cell r="A187" t="str">
            <v>Burkina Faso</v>
          </cell>
          <cell r="B187" t="str">
            <v>Sub-Saharan Africa</v>
          </cell>
          <cell r="C187" t="str">
            <v>BFA</v>
          </cell>
        </row>
        <row r="188">
          <cell r="A188" t="str">
            <v>Cape Verde</v>
          </cell>
          <cell r="B188" t="str">
            <v>Sub-Saharan Africa</v>
          </cell>
          <cell r="C188" t="str">
            <v>CPV</v>
          </cell>
        </row>
        <row r="189">
          <cell r="A189" t="str">
            <v>Cameroon</v>
          </cell>
          <cell r="B189" t="str">
            <v>Sub-Saharan Africa</v>
          </cell>
          <cell r="C189" t="str">
            <v>CMR</v>
          </cell>
        </row>
        <row r="190">
          <cell r="A190" t="str">
            <v>Chad</v>
          </cell>
          <cell r="B190" t="str">
            <v>Sub-Saharan Africa</v>
          </cell>
          <cell r="C190" t="str">
            <v>TCD</v>
          </cell>
        </row>
        <row r="191">
          <cell r="A191" t="str">
            <v>United States of America</v>
          </cell>
          <cell r="B191" t="str">
            <v>High-income</v>
          </cell>
          <cell r="C191" t="str">
            <v>ASM</v>
          </cell>
        </row>
        <row r="192">
          <cell r="A192" t="str">
            <v>United States Virgin Islands</v>
          </cell>
          <cell r="B192" t="str">
            <v>Latin America and Caribbean</v>
          </cell>
          <cell r="C192" t="str">
            <v>VIR</v>
          </cell>
        </row>
        <row r="193">
          <cell r="A193" t="str">
            <v>Ghana</v>
          </cell>
          <cell r="B193" t="str">
            <v>Sub-Saharan Africa</v>
          </cell>
          <cell r="C193" t="str">
            <v>GHA</v>
          </cell>
        </row>
        <row r="194">
          <cell r="A194" t="str">
            <v>Guinea</v>
          </cell>
          <cell r="B194" t="str">
            <v>Sub-Saharan Africa</v>
          </cell>
          <cell r="C194" t="str">
            <v>GIN</v>
          </cell>
        </row>
        <row r="195">
          <cell r="A195" t="str">
            <v>Guinea-Bissau</v>
          </cell>
          <cell r="B195" t="str">
            <v>Sub-Saharan Africa</v>
          </cell>
          <cell r="C195" t="str">
            <v>GNB</v>
          </cell>
        </row>
        <row r="196">
          <cell r="A196" t="str">
            <v>Liberia</v>
          </cell>
          <cell r="B196" t="str">
            <v>Sub-Saharan Africa</v>
          </cell>
          <cell r="C196" t="str">
            <v>LBR</v>
          </cell>
        </row>
        <row r="197">
          <cell r="A197" t="str">
            <v>Mali</v>
          </cell>
          <cell r="B197" t="str">
            <v>Sub-Saharan Africa</v>
          </cell>
          <cell r="C197" t="str">
            <v>MLI</v>
          </cell>
        </row>
        <row r="198">
          <cell r="A198" t="str">
            <v>Mauritania</v>
          </cell>
          <cell r="B198" t="str">
            <v>Sub-Saharan Africa</v>
          </cell>
          <cell r="C198" t="str">
            <v>MRT</v>
          </cell>
        </row>
        <row r="199">
          <cell r="A199" t="str">
            <v>Niger</v>
          </cell>
          <cell r="B199" t="str">
            <v>Sub-Saharan Africa</v>
          </cell>
          <cell r="C199" t="str">
            <v>NER</v>
          </cell>
        </row>
        <row r="200">
          <cell r="A200" t="str">
            <v>Nigeria</v>
          </cell>
          <cell r="B200" t="str">
            <v>Sub-Saharan Africa</v>
          </cell>
          <cell r="C200" t="str">
            <v>NGA</v>
          </cell>
        </row>
        <row r="201">
          <cell r="A201" t="str">
            <v>West Bank and Gaza</v>
          </cell>
          <cell r="B201" t="str">
            <v>North Africa and Middle East</v>
          </cell>
          <cell r="C201" t="str">
            <v>PSE</v>
          </cell>
        </row>
        <row r="202">
          <cell r="A202" t="str">
            <v>Senegal</v>
          </cell>
          <cell r="B202" t="str">
            <v>Sub-Saharan Africa</v>
          </cell>
          <cell r="C202" t="str">
            <v>SEN</v>
          </cell>
        </row>
        <row r="203">
          <cell r="A203" t="str">
            <v>Sierra Leone</v>
          </cell>
          <cell r="B203" t="str">
            <v>Sub-Saharan Africa</v>
          </cell>
          <cell r="C203" t="str">
            <v>SLE</v>
          </cell>
        </row>
        <row r="204">
          <cell r="A204" t="str">
            <v>Togo</v>
          </cell>
          <cell r="B204" t="str">
            <v>Sub-Saharan Africa</v>
          </cell>
          <cell r="C204" t="str">
            <v>TGO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s"/>
    </sheetNames>
    <sheetDataSet>
      <sheetData sheetId="0">
        <row r="2">
          <cell r="A2" t="str">
            <v>ABW</v>
          </cell>
          <cell r="B2" t="str">
            <v>Aruba (Neth.)</v>
          </cell>
          <cell r="C2">
            <v>27.03</v>
          </cell>
          <cell r="D2">
            <v>27.04</v>
          </cell>
          <cell r="E2">
            <v>27.11</v>
          </cell>
          <cell r="F2">
            <v>27.07</v>
          </cell>
          <cell r="G2">
            <v>27.13</v>
          </cell>
          <cell r="H2">
            <v>27.09</v>
          </cell>
        </row>
        <row r="3">
          <cell r="A3" t="str">
            <v>AFG</v>
          </cell>
          <cell r="B3" t="str">
            <v>Afghanistan</v>
          </cell>
          <cell r="C3">
            <v>13.03</v>
          </cell>
          <cell r="D3">
            <v>13.02</v>
          </cell>
          <cell r="E3">
            <v>13.1</v>
          </cell>
          <cell r="F3">
            <v>13.18</v>
          </cell>
          <cell r="G3">
            <v>13.22</v>
          </cell>
          <cell r="H3">
            <v>13.27</v>
          </cell>
        </row>
        <row r="4">
          <cell r="A4" t="str">
            <v>AGO</v>
          </cell>
          <cell r="B4" t="str">
            <v>Angola</v>
          </cell>
          <cell r="C4">
            <v>23.12</v>
          </cell>
          <cell r="D4">
            <v>23.13</v>
          </cell>
          <cell r="E4">
            <v>23.2</v>
          </cell>
          <cell r="F4">
            <v>23.23</v>
          </cell>
          <cell r="G4">
            <v>23.29</v>
          </cell>
          <cell r="H4">
            <v>23.28</v>
          </cell>
        </row>
        <row r="5">
          <cell r="A5" t="str">
            <v>AIA</v>
          </cell>
          <cell r="B5" t="str">
            <v>Anguilla (U.K.)</v>
          </cell>
          <cell r="C5">
            <v>26.41</v>
          </cell>
          <cell r="D5">
            <v>26.49</v>
          </cell>
          <cell r="E5">
            <v>26.53</v>
          </cell>
          <cell r="F5">
            <v>26.54</v>
          </cell>
          <cell r="G5">
            <v>26.58</v>
          </cell>
          <cell r="H5">
            <v>26.56</v>
          </cell>
        </row>
        <row r="6">
          <cell r="A6" t="str">
            <v>ALA</v>
          </cell>
          <cell r="B6" t="str">
            <v>ALA</v>
          </cell>
          <cell r="C6">
            <v>7.37</v>
          </cell>
          <cell r="D6">
            <v>7.54</v>
          </cell>
          <cell r="E6">
            <v>7.83</v>
          </cell>
          <cell r="F6">
            <v>7.64</v>
          </cell>
          <cell r="G6">
            <v>7.58</v>
          </cell>
          <cell r="H6">
            <v>7.65</v>
          </cell>
        </row>
        <row r="7">
          <cell r="A7" t="str">
            <v>ALB</v>
          </cell>
          <cell r="B7" t="str">
            <v>Albania</v>
          </cell>
          <cell r="C7">
            <v>13.12</v>
          </cell>
          <cell r="D7">
            <v>13.36</v>
          </cell>
          <cell r="E7">
            <v>13.35</v>
          </cell>
          <cell r="F7">
            <v>13.4</v>
          </cell>
          <cell r="G7">
            <v>13.41</v>
          </cell>
          <cell r="H7">
            <v>13.43</v>
          </cell>
        </row>
        <row r="8">
          <cell r="A8" t="str">
            <v>AND</v>
          </cell>
          <cell r="B8" t="str">
            <v>Andorra</v>
          </cell>
          <cell r="C8">
            <v>5.8</v>
          </cell>
          <cell r="D8">
            <v>5.86</v>
          </cell>
          <cell r="E8">
            <v>6.04</v>
          </cell>
          <cell r="F8">
            <v>5.97</v>
          </cell>
          <cell r="G8">
            <v>5.96</v>
          </cell>
          <cell r="H8">
            <v>6.04</v>
          </cell>
        </row>
        <row r="9">
          <cell r="A9" t="str">
            <v>ARE</v>
          </cell>
          <cell r="B9" t="str">
            <v>United Arab Emirates</v>
          </cell>
          <cell r="C9">
            <v>28.37</v>
          </cell>
          <cell r="D9">
            <v>28.37</v>
          </cell>
          <cell r="E9">
            <v>28.43</v>
          </cell>
          <cell r="F9">
            <v>28.44</v>
          </cell>
          <cell r="G9">
            <v>28.49</v>
          </cell>
          <cell r="H9">
            <v>28.62</v>
          </cell>
        </row>
        <row r="10">
          <cell r="A10" t="str">
            <v>ARG</v>
          </cell>
          <cell r="B10" t="str">
            <v>Argentina</v>
          </cell>
          <cell r="C10">
            <v>15.48</v>
          </cell>
          <cell r="D10">
            <v>15.5</v>
          </cell>
          <cell r="E10">
            <v>15.52</v>
          </cell>
          <cell r="F10">
            <v>15.52</v>
          </cell>
          <cell r="G10">
            <v>15.65</v>
          </cell>
          <cell r="H10">
            <v>15.62</v>
          </cell>
        </row>
        <row r="11">
          <cell r="A11" t="str">
            <v>ARM</v>
          </cell>
          <cell r="B11" t="str">
            <v>Armenia</v>
          </cell>
          <cell r="C11">
            <v>7.49</v>
          </cell>
          <cell r="D11">
            <v>7.67</v>
          </cell>
          <cell r="E11">
            <v>7.59</v>
          </cell>
          <cell r="F11">
            <v>7.58</v>
          </cell>
          <cell r="G11">
            <v>7.75</v>
          </cell>
          <cell r="H11">
            <v>7.8</v>
          </cell>
        </row>
        <row r="12">
          <cell r="A12" t="str">
            <v>ASM</v>
          </cell>
          <cell r="B12" t="str">
            <v>American Samoa (U.S.)</v>
          </cell>
          <cell r="C12">
            <v>26.98</v>
          </cell>
          <cell r="D12">
            <v>26.99</v>
          </cell>
          <cell r="E12">
            <v>27</v>
          </cell>
          <cell r="F12">
            <v>27.01</v>
          </cell>
          <cell r="G12">
            <v>27.07</v>
          </cell>
          <cell r="H12">
            <v>27.08</v>
          </cell>
        </row>
        <row r="13">
          <cell r="A13" t="str">
            <v>ATF</v>
          </cell>
          <cell r="B13" t="str">
            <v>French Southern and Antarctic Lands (Fr.)</v>
          </cell>
          <cell r="C13">
            <v>3.3</v>
          </cell>
          <cell r="D13">
            <v>3.36</v>
          </cell>
          <cell r="E13">
            <v>3.42</v>
          </cell>
          <cell r="F13">
            <v>3.44</v>
          </cell>
          <cell r="G13">
            <v>3.46</v>
          </cell>
          <cell r="H13">
            <v>3.45</v>
          </cell>
        </row>
        <row r="14">
          <cell r="A14" t="str">
            <v>ATG</v>
          </cell>
          <cell r="B14" t="str">
            <v>Antigua and Barbuda</v>
          </cell>
          <cell r="C14">
            <v>26.45</v>
          </cell>
          <cell r="D14">
            <v>26.53</v>
          </cell>
          <cell r="E14">
            <v>26.52</v>
          </cell>
          <cell r="F14">
            <v>26.56</v>
          </cell>
          <cell r="G14">
            <v>26.61</v>
          </cell>
          <cell r="H14">
            <v>26.59</v>
          </cell>
        </row>
        <row r="15">
          <cell r="A15" t="str">
            <v>AUS</v>
          </cell>
          <cell r="B15" t="str">
            <v>Australia</v>
          </cell>
          <cell r="C15">
            <v>22.77</v>
          </cell>
          <cell r="D15">
            <v>22.79</v>
          </cell>
          <cell r="E15">
            <v>22.83</v>
          </cell>
          <cell r="F15">
            <v>22.86</v>
          </cell>
          <cell r="G15">
            <v>22.94</v>
          </cell>
          <cell r="H15">
            <v>23</v>
          </cell>
        </row>
        <row r="16">
          <cell r="A16" t="str">
            <v>AUT</v>
          </cell>
          <cell r="B16" t="str">
            <v>Austria</v>
          </cell>
          <cell r="C16">
            <v>7.45</v>
          </cell>
          <cell r="D16">
            <v>7.49</v>
          </cell>
          <cell r="E16">
            <v>7.62</v>
          </cell>
          <cell r="F16">
            <v>7.53</v>
          </cell>
          <cell r="G16">
            <v>7.47</v>
          </cell>
          <cell r="H16">
            <v>7.62</v>
          </cell>
        </row>
        <row r="17">
          <cell r="A17" t="str">
            <v>AZE</v>
          </cell>
          <cell r="B17" t="str">
            <v>Azerbaijan</v>
          </cell>
          <cell r="C17">
            <v>13.07</v>
          </cell>
          <cell r="D17">
            <v>13.15</v>
          </cell>
          <cell r="E17">
            <v>13.13</v>
          </cell>
          <cell r="F17">
            <v>13.09</v>
          </cell>
          <cell r="G17">
            <v>13.24</v>
          </cell>
          <cell r="H17">
            <v>13.28</v>
          </cell>
        </row>
        <row r="18">
          <cell r="A18" t="str">
            <v>BDI</v>
          </cell>
          <cell r="B18" t="str">
            <v>Burundi</v>
          </cell>
          <cell r="C18">
            <v>21.12</v>
          </cell>
          <cell r="D18">
            <v>21.08</v>
          </cell>
          <cell r="E18">
            <v>21.1</v>
          </cell>
          <cell r="F18">
            <v>21.11</v>
          </cell>
          <cell r="G18">
            <v>21.21</v>
          </cell>
          <cell r="H18">
            <v>21.25</v>
          </cell>
        </row>
        <row r="19">
          <cell r="A19" t="str">
            <v>BEL</v>
          </cell>
          <cell r="B19" t="str">
            <v>Belgium</v>
          </cell>
          <cell r="C19">
            <v>10.56</v>
          </cell>
          <cell r="D19">
            <v>10.62</v>
          </cell>
          <cell r="E19">
            <v>10.78</v>
          </cell>
          <cell r="F19">
            <v>10.6</v>
          </cell>
          <cell r="G19">
            <v>10.65</v>
          </cell>
          <cell r="H19">
            <v>10.8</v>
          </cell>
        </row>
        <row r="20">
          <cell r="A20" t="str">
            <v>BEN</v>
          </cell>
          <cell r="B20" t="str">
            <v>Benin</v>
          </cell>
          <cell r="C20">
            <v>28.17</v>
          </cell>
          <cell r="D20">
            <v>28.13</v>
          </cell>
          <cell r="E20">
            <v>28.2</v>
          </cell>
          <cell r="F20">
            <v>28.22</v>
          </cell>
          <cell r="G20">
            <v>28.35</v>
          </cell>
          <cell r="H20">
            <v>28.3</v>
          </cell>
        </row>
        <row r="21">
          <cell r="A21" t="str">
            <v>BES</v>
          </cell>
          <cell r="B21" t="str">
            <v>Bonaire, Sint Eustatius and Saba</v>
          </cell>
          <cell r="C21">
            <v>26.98</v>
          </cell>
          <cell r="D21">
            <v>26.98</v>
          </cell>
          <cell r="E21">
            <v>27.03</v>
          </cell>
          <cell r="F21">
            <v>27.02</v>
          </cell>
          <cell r="G21">
            <v>27.05</v>
          </cell>
          <cell r="H21">
            <v>27.04</v>
          </cell>
        </row>
        <row r="22">
          <cell r="A22" t="str">
            <v>BFA</v>
          </cell>
          <cell r="B22" t="str">
            <v>Burkina Faso</v>
          </cell>
          <cell r="C22">
            <v>29.07</v>
          </cell>
          <cell r="D22">
            <v>29.09</v>
          </cell>
          <cell r="E22">
            <v>29.17</v>
          </cell>
          <cell r="F22">
            <v>29.13</v>
          </cell>
          <cell r="G22">
            <v>29.31</v>
          </cell>
          <cell r="H22">
            <v>29.25</v>
          </cell>
        </row>
        <row r="23">
          <cell r="A23" t="str">
            <v>BGD</v>
          </cell>
          <cell r="B23" t="str">
            <v>Bangladesh</v>
          </cell>
          <cell r="C23">
            <v>25.83</v>
          </cell>
          <cell r="D23">
            <v>25.87</v>
          </cell>
          <cell r="E23">
            <v>25.82</v>
          </cell>
          <cell r="F23">
            <v>25.91</v>
          </cell>
          <cell r="G23">
            <v>25.93</v>
          </cell>
          <cell r="H23">
            <v>25.92</v>
          </cell>
        </row>
        <row r="24">
          <cell r="A24" t="str">
            <v>BGR</v>
          </cell>
          <cell r="B24" t="str">
            <v>Bulgaria</v>
          </cell>
          <cell r="C24">
            <v>12.12</v>
          </cell>
          <cell r="D24">
            <v>12.35</v>
          </cell>
          <cell r="E24">
            <v>12.38</v>
          </cell>
          <cell r="F24">
            <v>12.38</v>
          </cell>
          <cell r="G24">
            <v>12.41</v>
          </cell>
          <cell r="H24">
            <v>12.46</v>
          </cell>
        </row>
        <row r="25">
          <cell r="A25" t="str">
            <v>BHR</v>
          </cell>
          <cell r="B25" t="str">
            <v>Bahrain</v>
          </cell>
          <cell r="C25">
            <v>26.85</v>
          </cell>
          <cell r="D25">
            <v>26.84</v>
          </cell>
          <cell r="E25">
            <v>26.92</v>
          </cell>
          <cell r="F25">
            <v>26.95</v>
          </cell>
          <cell r="G25">
            <v>27.03</v>
          </cell>
          <cell r="H25">
            <v>27.02</v>
          </cell>
        </row>
        <row r="26">
          <cell r="A26" t="str">
            <v>BHS</v>
          </cell>
          <cell r="B26" t="str">
            <v>The Bahamas</v>
          </cell>
          <cell r="C26">
            <v>25.85</v>
          </cell>
          <cell r="D26">
            <v>25.84</v>
          </cell>
          <cell r="E26">
            <v>25.84</v>
          </cell>
          <cell r="F26">
            <v>25.88</v>
          </cell>
          <cell r="G26">
            <v>25.89</v>
          </cell>
          <cell r="H26">
            <v>25.9</v>
          </cell>
        </row>
        <row r="27">
          <cell r="A27" t="str">
            <v>BIH</v>
          </cell>
          <cell r="B27" t="str">
            <v>Bosnia and Herzegovina</v>
          </cell>
          <cell r="C27">
            <v>10.81</v>
          </cell>
          <cell r="D27">
            <v>10.98</v>
          </cell>
          <cell r="E27">
            <v>11</v>
          </cell>
          <cell r="F27">
            <v>11.02</v>
          </cell>
          <cell r="G27">
            <v>11.03</v>
          </cell>
          <cell r="H27">
            <v>11.03</v>
          </cell>
        </row>
        <row r="28">
          <cell r="A28" t="str">
            <v>BLM</v>
          </cell>
          <cell r="B28" t="str">
            <v>Saint-Barthélemy (Fr.)</v>
          </cell>
          <cell r="C28">
            <v>26.44</v>
          </cell>
          <cell r="D28">
            <v>26.51</v>
          </cell>
          <cell r="E28">
            <v>26.55</v>
          </cell>
          <cell r="F28">
            <v>26.57</v>
          </cell>
          <cell r="G28">
            <v>26.61</v>
          </cell>
          <cell r="H28">
            <v>26.6</v>
          </cell>
        </row>
        <row r="29">
          <cell r="A29" t="str">
            <v>BLR</v>
          </cell>
          <cell r="B29" t="str">
            <v>Belarus</v>
          </cell>
          <cell r="C29">
            <v>7.71</v>
          </cell>
          <cell r="D29">
            <v>7.89</v>
          </cell>
          <cell r="E29">
            <v>8.1</v>
          </cell>
          <cell r="F29">
            <v>7.84</v>
          </cell>
          <cell r="G29">
            <v>7.76</v>
          </cell>
          <cell r="H29">
            <v>7.94</v>
          </cell>
        </row>
        <row r="30">
          <cell r="A30" t="str">
            <v>BLZ</v>
          </cell>
          <cell r="B30" t="str">
            <v>Belize</v>
          </cell>
          <cell r="C30">
            <v>26.17</v>
          </cell>
          <cell r="D30">
            <v>26.17</v>
          </cell>
          <cell r="E30">
            <v>26.2</v>
          </cell>
          <cell r="F30">
            <v>26.29</v>
          </cell>
          <cell r="G30">
            <v>26.29</v>
          </cell>
          <cell r="H30">
            <v>26.32</v>
          </cell>
        </row>
        <row r="31">
          <cell r="A31" t="str">
            <v>BMU</v>
          </cell>
          <cell r="B31" t="str">
            <v>Bermuda (U.K.)</v>
          </cell>
          <cell r="C31">
            <v>22.21</v>
          </cell>
          <cell r="D31">
            <v>22.29</v>
          </cell>
          <cell r="E31">
            <v>22.26</v>
          </cell>
          <cell r="F31">
            <v>22.31</v>
          </cell>
          <cell r="G31">
            <v>22.31</v>
          </cell>
          <cell r="H31">
            <v>22.38</v>
          </cell>
        </row>
        <row r="32">
          <cell r="A32" t="str">
            <v>BOL</v>
          </cell>
          <cell r="B32" t="str">
            <v>Bolivia</v>
          </cell>
          <cell r="C32">
            <v>21.34</v>
          </cell>
          <cell r="D32">
            <v>21.4</v>
          </cell>
          <cell r="E32">
            <v>21.41</v>
          </cell>
          <cell r="F32">
            <v>21.44</v>
          </cell>
          <cell r="G32">
            <v>21.52</v>
          </cell>
          <cell r="H32">
            <v>21.53</v>
          </cell>
        </row>
        <row r="33">
          <cell r="A33" t="str">
            <v>BRA</v>
          </cell>
          <cell r="B33" t="str">
            <v>Brazil</v>
          </cell>
          <cell r="C33">
            <v>25.97</v>
          </cell>
          <cell r="D33">
            <v>25.97</v>
          </cell>
          <cell r="E33">
            <v>26.04</v>
          </cell>
          <cell r="F33">
            <v>26.06</v>
          </cell>
          <cell r="G33">
            <v>26.1</v>
          </cell>
          <cell r="H33">
            <v>26.1</v>
          </cell>
        </row>
        <row r="34">
          <cell r="A34" t="str">
            <v>BRB</v>
          </cell>
          <cell r="B34" t="str">
            <v>Barbados</v>
          </cell>
          <cell r="C34">
            <v>26.69</v>
          </cell>
          <cell r="D34">
            <v>26.73</v>
          </cell>
          <cell r="E34">
            <v>26.73</v>
          </cell>
          <cell r="F34">
            <v>26.77</v>
          </cell>
          <cell r="G34">
            <v>26.78</v>
          </cell>
          <cell r="H34">
            <v>26.8</v>
          </cell>
        </row>
        <row r="35">
          <cell r="A35" t="str">
            <v>BRN</v>
          </cell>
          <cell r="B35" t="str">
            <v>Brunei Darussalam</v>
          </cell>
          <cell r="C35">
            <v>27.02</v>
          </cell>
          <cell r="D35">
            <v>27.04</v>
          </cell>
          <cell r="E35">
            <v>27.07</v>
          </cell>
          <cell r="F35">
            <v>27.11</v>
          </cell>
          <cell r="G35">
            <v>27.14</v>
          </cell>
          <cell r="H35">
            <v>27.13</v>
          </cell>
        </row>
        <row r="36">
          <cell r="A36" t="str">
            <v>BTN</v>
          </cell>
          <cell r="B36" t="str">
            <v>Bhutan</v>
          </cell>
          <cell r="C36">
            <v>10.1</v>
          </cell>
          <cell r="D36">
            <v>10.06</v>
          </cell>
          <cell r="E36">
            <v>10.07</v>
          </cell>
          <cell r="F36">
            <v>10.130000000000001</v>
          </cell>
          <cell r="G36">
            <v>10.220000000000001</v>
          </cell>
          <cell r="H36">
            <v>10.23</v>
          </cell>
        </row>
        <row r="37">
          <cell r="A37" t="str">
            <v>BVT</v>
          </cell>
          <cell r="B37" t="str">
            <v>Bouvet Island (Nor.)</v>
          </cell>
          <cell r="C37">
            <v>-0.22</v>
          </cell>
          <cell r="D37">
            <v>-0.12</v>
          </cell>
          <cell r="E37">
            <v>-0.21</v>
          </cell>
          <cell r="F37">
            <v>-0.08</v>
          </cell>
          <cell r="G37">
            <v>-0.02</v>
          </cell>
          <cell r="H37">
            <v>-0.17</v>
          </cell>
        </row>
        <row r="38">
          <cell r="A38" t="str">
            <v>BWA</v>
          </cell>
          <cell r="B38" t="str">
            <v>Botswana</v>
          </cell>
          <cell r="C38">
            <v>22.9</v>
          </cell>
          <cell r="D38">
            <v>22.84</v>
          </cell>
          <cell r="E38">
            <v>23.05</v>
          </cell>
          <cell r="F38">
            <v>23.08</v>
          </cell>
          <cell r="G38">
            <v>23.02</v>
          </cell>
          <cell r="H38">
            <v>23.03</v>
          </cell>
        </row>
        <row r="39">
          <cell r="A39" t="str">
            <v>CAF</v>
          </cell>
          <cell r="B39" t="str">
            <v>Central African Republic</v>
          </cell>
          <cell r="C39">
            <v>26.66</v>
          </cell>
          <cell r="D39">
            <v>26.66</v>
          </cell>
          <cell r="E39">
            <v>26.69</v>
          </cell>
          <cell r="F39">
            <v>26.7</v>
          </cell>
          <cell r="G39">
            <v>26.83</v>
          </cell>
          <cell r="H39">
            <v>26.78</v>
          </cell>
        </row>
        <row r="40">
          <cell r="A40" t="str">
            <v>CAN</v>
          </cell>
          <cell r="B40" t="str">
            <v>Canada</v>
          </cell>
          <cell r="C40">
            <v>-2.52</v>
          </cell>
          <cell r="D40">
            <v>-2.44</v>
          </cell>
          <cell r="E40">
            <v>-2.41</v>
          </cell>
          <cell r="F40">
            <v>-2.3199999999999998</v>
          </cell>
          <cell r="G40">
            <v>-2.19</v>
          </cell>
          <cell r="H40">
            <v>-2.2200000000000002</v>
          </cell>
        </row>
        <row r="41">
          <cell r="A41" t="str">
            <v>CCK</v>
          </cell>
          <cell r="B41" t="str">
            <v>Cocos (Keeling) Islands (Aus.)</v>
          </cell>
          <cell r="C41">
            <v>26.41</v>
          </cell>
          <cell r="D41">
            <v>26.4</v>
          </cell>
          <cell r="E41">
            <v>26.39</v>
          </cell>
          <cell r="F41">
            <v>26.45</v>
          </cell>
          <cell r="G41">
            <v>26.46</v>
          </cell>
          <cell r="H41">
            <v>26.49</v>
          </cell>
        </row>
        <row r="42">
          <cell r="A42" t="str">
            <v>CHE</v>
          </cell>
          <cell r="B42" t="str">
            <v>Switzerland</v>
          </cell>
          <cell r="C42">
            <v>5.87</v>
          </cell>
          <cell r="D42">
            <v>6.01</v>
          </cell>
          <cell r="E42">
            <v>6.16</v>
          </cell>
          <cell r="F42">
            <v>6.05</v>
          </cell>
          <cell r="G42">
            <v>6.04</v>
          </cell>
          <cell r="H42">
            <v>6.2</v>
          </cell>
        </row>
        <row r="43">
          <cell r="A43" t="str">
            <v>CHL</v>
          </cell>
          <cell r="B43" t="str">
            <v>Chile</v>
          </cell>
          <cell r="C43">
            <v>9.5399999999999991</v>
          </cell>
          <cell r="D43">
            <v>9.56</v>
          </cell>
          <cell r="E43">
            <v>9.57</v>
          </cell>
          <cell r="F43">
            <v>9.6199999999999992</v>
          </cell>
          <cell r="G43">
            <v>9.6999999999999993</v>
          </cell>
          <cell r="H43">
            <v>9.68</v>
          </cell>
        </row>
        <row r="44">
          <cell r="A44" t="str">
            <v>CHN</v>
          </cell>
          <cell r="B44" t="str">
            <v>China</v>
          </cell>
          <cell r="C44">
            <v>7.67</v>
          </cell>
          <cell r="D44">
            <v>7.71</v>
          </cell>
          <cell r="E44">
            <v>7.77</v>
          </cell>
          <cell r="F44">
            <v>7.86</v>
          </cell>
          <cell r="G44">
            <v>7.87</v>
          </cell>
          <cell r="H44">
            <v>7.93</v>
          </cell>
        </row>
        <row r="45">
          <cell r="A45" t="str">
            <v>CIV</v>
          </cell>
          <cell r="B45" t="str">
            <v>Côte d'Ivoire</v>
          </cell>
          <cell r="C45">
            <v>27.19</v>
          </cell>
          <cell r="D45">
            <v>27.21</v>
          </cell>
          <cell r="E45">
            <v>27.23</v>
          </cell>
          <cell r="F45">
            <v>27.25</v>
          </cell>
          <cell r="G45">
            <v>27.31</v>
          </cell>
          <cell r="H45">
            <v>27.31</v>
          </cell>
        </row>
        <row r="46">
          <cell r="A46" t="str">
            <v>CMR</v>
          </cell>
          <cell r="B46" t="str">
            <v>Cameroon</v>
          </cell>
          <cell r="C46">
            <v>25.35</v>
          </cell>
          <cell r="D46">
            <v>25.39</v>
          </cell>
          <cell r="E46">
            <v>25.43</v>
          </cell>
          <cell r="F46">
            <v>25.44</v>
          </cell>
          <cell r="G46">
            <v>25.51</v>
          </cell>
          <cell r="H46">
            <v>25.5</v>
          </cell>
        </row>
        <row r="47">
          <cell r="A47" t="str">
            <v>COD</v>
          </cell>
          <cell r="B47" t="str">
            <v>Democratic Republic of Congo</v>
          </cell>
          <cell r="C47">
            <v>25.01</v>
          </cell>
          <cell r="D47">
            <v>25.03</v>
          </cell>
          <cell r="E47">
            <v>25.04</v>
          </cell>
          <cell r="F47">
            <v>25.08</v>
          </cell>
          <cell r="G47">
            <v>25.17</v>
          </cell>
          <cell r="H47">
            <v>25.14</v>
          </cell>
        </row>
        <row r="48">
          <cell r="A48" t="str">
            <v>COG</v>
          </cell>
          <cell r="B48" t="str">
            <v>Congo</v>
          </cell>
          <cell r="C48">
            <v>25.62</v>
          </cell>
          <cell r="D48">
            <v>25.67</v>
          </cell>
          <cell r="E48">
            <v>25.69</v>
          </cell>
          <cell r="F48">
            <v>25.71</v>
          </cell>
          <cell r="G48">
            <v>25.8</v>
          </cell>
          <cell r="H48">
            <v>25.75</v>
          </cell>
        </row>
        <row r="49">
          <cell r="A49" t="str">
            <v>COK</v>
          </cell>
          <cell r="B49" t="str">
            <v>Cook Islands (N.Z.)</v>
          </cell>
          <cell r="C49">
            <v>25.05</v>
          </cell>
          <cell r="D49">
            <v>25.08</v>
          </cell>
          <cell r="E49">
            <v>25.09</v>
          </cell>
          <cell r="F49">
            <v>25.14</v>
          </cell>
          <cell r="G49">
            <v>25.22</v>
          </cell>
          <cell r="H49">
            <v>25.22</v>
          </cell>
        </row>
        <row r="50">
          <cell r="A50" t="str">
            <v>COL</v>
          </cell>
          <cell r="B50" t="str">
            <v>Colombia</v>
          </cell>
          <cell r="C50">
            <v>24.89</v>
          </cell>
          <cell r="D50">
            <v>24.91</v>
          </cell>
          <cell r="E50">
            <v>24.95</v>
          </cell>
          <cell r="F50">
            <v>24.97</v>
          </cell>
          <cell r="G50">
            <v>25.04</v>
          </cell>
          <cell r="H50">
            <v>25.01</v>
          </cell>
        </row>
        <row r="51">
          <cell r="A51" t="str">
            <v>COM</v>
          </cell>
          <cell r="B51" t="str">
            <v>Comoros</v>
          </cell>
          <cell r="C51">
            <v>25.6</v>
          </cell>
          <cell r="D51">
            <v>25.62</v>
          </cell>
          <cell r="E51">
            <v>25.66</v>
          </cell>
          <cell r="F51">
            <v>25.7</v>
          </cell>
          <cell r="G51">
            <v>25.73</v>
          </cell>
          <cell r="H51">
            <v>25.72</v>
          </cell>
        </row>
        <row r="52">
          <cell r="A52" t="str">
            <v>CPV</v>
          </cell>
          <cell r="B52" t="str">
            <v>Cabo Verde</v>
          </cell>
          <cell r="C52">
            <v>23.58</v>
          </cell>
          <cell r="D52">
            <v>23.58</v>
          </cell>
          <cell r="E52">
            <v>23.71</v>
          </cell>
          <cell r="F52">
            <v>23.64</v>
          </cell>
          <cell r="G52">
            <v>23.68</v>
          </cell>
          <cell r="H52">
            <v>23.71</v>
          </cell>
        </row>
        <row r="53">
          <cell r="A53" t="str">
            <v>CRI</v>
          </cell>
          <cell r="B53" t="str">
            <v>Costa Rica</v>
          </cell>
          <cell r="C53">
            <v>23.96</v>
          </cell>
          <cell r="D53">
            <v>24.02</v>
          </cell>
          <cell r="E53">
            <v>24.05</v>
          </cell>
          <cell r="F53">
            <v>24.05</v>
          </cell>
          <cell r="G53">
            <v>24.09</v>
          </cell>
          <cell r="H53">
            <v>24.1</v>
          </cell>
        </row>
        <row r="54">
          <cell r="A54" t="str">
            <v>CUB</v>
          </cell>
          <cell r="B54" t="str">
            <v>Cuba</v>
          </cell>
          <cell r="C54">
            <v>26.42</v>
          </cell>
          <cell r="D54">
            <v>26.44</v>
          </cell>
          <cell r="E54">
            <v>26.41</v>
          </cell>
          <cell r="F54">
            <v>26.46</v>
          </cell>
          <cell r="G54">
            <v>26.45</v>
          </cell>
          <cell r="H54">
            <v>26.5</v>
          </cell>
        </row>
        <row r="55">
          <cell r="A55" t="str">
            <v>CUW</v>
          </cell>
          <cell r="B55" t="str">
            <v>Curaçao (Neth.)</v>
          </cell>
          <cell r="C55">
            <v>26.99</v>
          </cell>
          <cell r="D55">
            <v>26.99</v>
          </cell>
          <cell r="E55">
            <v>27.05</v>
          </cell>
          <cell r="F55">
            <v>27.01</v>
          </cell>
          <cell r="G55">
            <v>27.06</v>
          </cell>
          <cell r="H55">
            <v>27.05</v>
          </cell>
        </row>
        <row r="56">
          <cell r="A56" t="str">
            <v>CXR</v>
          </cell>
          <cell r="B56" t="str">
            <v>Christmas Island (Aus.)</v>
          </cell>
          <cell r="C56">
            <v>26.71</v>
          </cell>
          <cell r="D56">
            <v>26.67</v>
          </cell>
          <cell r="E56">
            <v>26.72</v>
          </cell>
          <cell r="F56">
            <v>26.74</v>
          </cell>
          <cell r="G56">
            <v>26.78</v>
          </cell>
          <cell r="H56">
            <v>26.78</v>
          </cell>
        </row>
        <row r="57">
          <cell r="A57" t="str">
            <v>CYM</v>
          </cell>
          <cell r="B57" t="str">
            <v>Cayman Islands (U.K.)</v>
          </cell>
          <cell r="C57">
            <v>27.11</v>
          </cell>
          <cell r="D57">
            <v>27.16</v>
          </cell>
          <cell r="E57">
            <v>27.15</v>
          </cell>
          <cell r="F57">
            <v>27.15</v>
          </cell>
          <cell r="G57">
            <v>27.18</v>
          </cell>
          <cell r="H57">
            <v>27.2</v>
          </cell>
        </row>
        <row r="58">
          <cell r="A58" t="str">
            <v>CYP</v>
          </cell>
          <cell r="B58" t="str">
            <v>Cyprus</v>
          </cell>
          <cell r="C58">
            <v>20.09</v>
          </cell>
          <cell r="D58">
            <v>20.170000000000002</v>
          </cell>
          <cell r="E58">
            <v>20.260000000000002</v>
          </cell>
          <cell r="F58">
            <v>20.25</v>
          </cell>
          <cell r="G58">
            <v>20.27</v>
          </cell>
          <cell r="H58">
            <v>20.36</v>
          </cell>
        </row>
        <row r="59">
          <cell r="A59" t="str">
            <v>CZE</v>
          </cell>
          <cell r="B59" t="str">
            <v>Czech Republic</v>
          </cell>
          <cell r="C59">
            <v>9.24</v>
          </cell>
          <cell r="D59">
            <v>9.23</v>
          </cell>
          <cell r="E59">
            <v>9.36</v>
          </cell>
          <cell r="F59">
            <v>9.3000000000000007</v>
          </cell>
          <cell r="G59">
            <v>9.25</v>
          </cell>
          <cell r="H59">
            <v>9.31</v>
          </cell>
        </row>
        <row r="60">
          <cell r="A60" t="str">
            <v>DEU</v>
          </cell>
          <cell r="B60" t="str">
            <v>Germany</v>
          </cell>
          <cell r="C60">
            <v>9.89</v>
          </cell>
          <cell r="D60">
            <v>9.92</v>
          </cell>
          <cell r="E60">
            <v>10.130000000000001</v>
          </cell>
          <cell r="F60">
            <v>9.9700000000000006</v>
          </cell>
          <cell r="G60">
            <v>9.9499999999999993</v>
          </cell>
          <cell r="H60">
            <v>10.09</v>
          </cell>
        </row>
        <row r="61">
          <cell r="A61" t="str">
            <v>DJI</v>
          </cell>
          <cell r="B61" t="str">
            <v>Djibouti</v>
          </cell>
          <cell r="C61">
            <v>29.07</v>
          </cell>
          <cell r="D61">
            <v>29.1</v>
          </cell>
          <cell r="E61">
            <v>29.1</v>
          </cell>
          <cell r="F61">
            <v>29.15</v>
          </cell>
          <cell r="G61">
            <v>29.17</v>
          </cell>
          <cell r="H61">
            <v>29.22</v>
          </cell>
        </row>
        <row r="62">
          <cell r="A62" t="str">
            <v>DMA</v>
          </cell>
          <cell r="B62" t="str">
            <v>Dominica</v>
          </cell>
          <cell r="C62">
            <v>25.98</v>
          </cell>
          <cell r="D62">
            <v>26.06</v>
          </cell>
          <cell r="E62">
            <v>26.02</v>
          </cell>
          <cell r="F62">
            <v>26.05</v>
          </cell>
          <cell r="G62">
            <v>26.11</v>
          </cell>
          <cell r="H62">
            <v>26.11</v>
          </cell>
        </row>
        <row r="63">
          <cell r="A63" t="str">
            <v>DNK</v>
          </cell>
          <cell r="B63" t="str">
            <v>Denmark</v>
          </cell>
          <cell r="C63">
            <v>9.24</v>
          </cell>
          <cell r="D63">
            <v>9.31</v>
          </cell>
          <cell r="E63">
            <v>9.48</v>
          </cell>
          <cell r="F63">
            <v>9.2899999999999991</v>
          </cell>
          <cell r="G63">
            <v>9.35</v>
          </cell>
          <cell r="H63">
            <v>9.3800000000000008</v>
          </cell>
        </row>
        <row r="64">
          <cell r="A64" t="str">
            <v>DOM</v>
          </cell>
          <cell r="B64" t="str">
            <v>Dominican Republic</v>
          </cell>
          <cell r="C64">
            <v>24.88</v>
          </cell>
          <cell r="D64">
            <v>24.95</v>
          </cell>
          <cell r="E64">
            <v>24.97</v>
          </cell>
          <cell r="F64">
            <v>25</v>
          </cell>
          <cell r="G64">
            <v>25.02</v>
          </cell>
          <cell r="H64">
            <v>25.02</v>
          </cell>
        </row>
        <row r="65">
          <cell r="A65" t="str">
            <v>DZA</v>
          </cell>
          <cell r="B65" t="str">
            <v>Algeria</v>
          </cell>
          <cell r="C65">
            <v>23.98</v>
          </cell>
          <cell r="D65">
            <v>24.05</v>
          </cell>
          <cell r="E65">
            <v>24.18</v>
          </cell>
          <cell r="F65">
            <v>24.12</v>
          </cell>
          <cell r="G65">
            <v>24.2</v>
          </cell>
          <cell r="H65">
            <v>24.22</v>
          </cell>
        </row>
        <row r="66">
          <cell r="A66" t="str">
            <v>ECU</v>
          </cell>
          <cell r="B66" t="str">
            <v>Ecuador</v>
          </cell>
          <cell r="C66">
            <v>21.55</v>
          </cell>
          <cell r="D66">
            <v>21.58</v>
          </cell>
          <cell r="E66">
            <v>21.61</v>
          </cell>
          <cell r="F66">
            <v>21.63</v>
          </cell>
          <cell r="G66">
            <v>21.71</v>
          </cell>
          <cell r="H66">
            <v>21.68</v>
          </cell>
        </row>
        <row r="67">
          <cell r="A67" t="str">
            <v>EGY</v>
          </cell>
          <cell r="B67" t="str">
            <v>Arab Republic of Egypt</v>
          </cell>
          <cell r="C67">
            <v>23.48</v>
          </cell>
          <cell r="D67">
            <v>23.54</v>
          </cell>
          <cell r="E67">
            <v>23.62</v>
          </cell>
          <cell r="F67">
            <v>23.61</v>
          </cell>
          <cell r="G67">
            <v>23.69</v>
          </cell>
          <cell r="H67">
            <v>23.73</v>
          </cell>
        </row>
        <row r="68">
          <cell r="A68" t="str">
            <v>ERI</v>
          </cell>
          <cell r="B68" t="str">
            <v>Eritrea</v>
          </cell>
          <cell r="C68">
            <v>27.57</v>
          </cell>
          <cell r="D68">
            <v>27.62</v>
          </cell>
          <cell r="E68">
            <v>27.66</v>
          </cell>
          <cell r="F68">
            <v>27.66</v>
          </cell>
          <cell r="G68">
            <v>27.74</v>
          </cell>
          <cell r="H68">
            <v>27.74</v>
          </cell>
        </row>
        <row r="69">
          <cell r="A69" t="str">
            <v>ESP</v>
          </cell>
          <cell r="B69" t="str">
            <v>Spain</v>
          </cell>
          <cell r="C69">
            <v>14.55</v>
          </cell>
          <cell r="D69">
            <v>14.65</v>
          </cell>
          <cell r="E69">
            <v>14.78</v>
          </cell>
          <cell r="F69">
            <v>14.75</v>
          </cell>
          <cell r="G69">
            <v>14.78</v>
          </cell>
          <cell r="H69">
            <v>14.79</v>
          </cell>
        </row>
        <row r="70">
          <cell r="A70" t="str">
            <v>EST</v>
          </cell>
          <cell r="B70" t="str">
            <v>Estonia</v>
          </cell>
          <cell r="C70">
            <v>6.67</v>
          </cell>
          <cell r="D70">
            <v>6.9</v>
          </cell>
          <cell r="E70">
            <v>7.13</v>
          </cell>
          <cell r="F70">
            <v>6.9</v>
          </cell>
          <cell r="G70">
            <v>6.84</v>
          </cell>
          <cell r="H70">
            <v>6.96</v>
          </cell>
        </row>
        <row r="71">
          <cell r="A71" t="str">
            <v>ETH</v>
          </cell>
          <cell r="B71" t="str">
            <v>Ethiopia</v>
          </cell>
          <cell r="C71">
            <v>23.91</v>
          </cell>
          <cell r="D71">
            <v>23.91</v>
          </cell>
          <cell r="E71">
            <v>23.93</v>
          </cell>
          <cell r="F71">
            <v>24.02</v>
          </cell>
          <cell r="G71">
            <v>24.07</v>
          </cell>
          <cell r="H71">
            <v>24.07</v>
          </cell>
        </row>
        <row r="72">
          <cell r="A72" t="str">
            <v>FIN</v>
          </cell>
          <cell r="B72" t="str">
            <v>Finland</v>
          </cell>
          <cell r="C72">
            <v>3.3</v>
          </cell>
          <cell r="D72">
            <v>3.55</v>
          </cell>
          <cell r="E72">
            <v>3.74</v>
          </cell>
          <cell r="F72">
            <v>3.6</v>
          </cell>
          <cell r="G72">
            <v>3.52</v>
          </cell>
          <cell r="H72">
            <v>3.7</v>
          </cell>
        </row>
        <row r="73">
          <cell r="A73" t="str">
            <v>FJI</v>
          </cell>
          <cell r="B73" t="str">
            <v>Fiji</v>
          </cell>
          <cell r="C73">
            <v>24.99</v>
          </cell>
          <cell r="D73">
            <v>25.03</v>
          </cell>
          <cell r="E73">
            <v>25.07</v>
          </cell>
          <cell r="F73">
            <v>25.08</v>
          </cell>
          <cell r="G73">
            <v>25.09</v>
          </cell>
          <cell r="H73">
            <v>25.15</v>
          </cell>
        </row>
        <row r="74">
          <cell r="A74" t="str">
            <v>FRA</v>
          </cell>
          <cell r="B74" t="str">
            <v>France</v>
          </cell>
          <cell r="C74">
            <v>11.82</v>
          </cell>
          <cell r="D74">
            <v>11.95</v>
          </cell>
          <cell r="E74">
            <v>12.01</v>
          </cell>
          <cell r="F74">
            <v>11.93</v>
          </cell>
          <cell r="G74">
            <v>11.99</v>
          </cell>
          <cell r="H74">
            <v>12.09</v>
          </cell>
        </row>
        <row r="75">
          <cell r="A75" t="str">
            <v>FRO</v>
          </cell>
          <cell r="B75" t="str">
            <v>Faroe Islands (Den.)</v>
          </cell>
          <cell r="C75">
            <v>7.46</v>
          </cell>
          <cell r="D75">
            <v>7.5</v>
          </cell>
          <cell r="E75">
            <v>7.55</v>
          </cell>
          <cell r="F75">
            <v>7.6</v>
          </cell>
          <cell r="G75">
            <v>7.62</v>
          </cell>
          <cell r="H75">
            <v>7.66</v>
          </cell>
        </row>
        <row r="76">
          <cell r="A76" t="str">
            <v>FSM</v>
          </cell>
          <cell r="B76" t="str">
            <v>Federated States of Micronesia</v>
          </cell>
          <cell r="C76">
            <v>27.39</v>
          </cell>
          <cell r="D76">
            <v>27.41</v>
          </cell>
          <cell r="E76">
            <v>27.44</v>
          </cell>
          <cell r="F76">
            <v>27.43</v>
          </cell>
          <cell r="G76">
            <v>27.46</v>
          </cell>
          <cell r="H76">
            <v>27.48</v>
          </cell>
        </row>
        <row r="77">
          <cell r="A77" t="str">
            <v>GAB</v>
          </cell>
          <cell r="B77" t="str">
            <v>Gabon</v>
          </cell>
          <cell r="C77">
            <v>25.41</v>
          </cell>
          <cell r="D77">
            <v>25.44</v>
          </cell>
          <cell r="E77">
            <v>25.5</v>
          </cell>
          <cell r="F77">
            <v>25.51</v>
          </cell>
          <cell r="G77">
            <v>25.59</v>
          </cell>
          <cell r="H77">
            <v>25.56</v>
          </cell>
        </row>
        <row r="78">
          <cell r="A78" t="str">
            <v>GBR</v>
          </cell>
          <cell r="B78" t="str">
            <v>United Kingdom</v>
          </cell>
          <cell r="C78">
            <v>9.73</v>
          </cell>
          <cell r="D78">
            <v>9.6999999999999993</v>
          </cell>
          <cell r="E78">
            <v>9.76</v>
          </cell>
          <cell r="F78">
            <v>9.7100000000000009</v>
          </cell>
          <cell r="G78">
            <v>9.7799999999999994</v>
          </cell>
          <cell r="H78">
            <v>9.82</v>
          </cell>
        </row>
        <row r="79">
          <cell r="A79" t="str">
            <v>GEO</v>
          </cell>
          <cell r="B79" t="str">
            <v>Georgia</v>
          </cell>
          <cell r="C79">
            <v>8.84</v>
          </cell>
          <cell r="D79">
            <v>8.9600000000000009</v>
          </cell>
          <cell r="E79">
            <v>8.93</v>
          </cell>
          <cell r="F79">
            <v>8.9499999999999993</v>
          </cell>
          <cell r="G79">
            <v>9.0500000000000007</v>
          </cell>
          <cell r="H79">
            <v>9.1199999999999992</v>
          </cell>
        </row>
        <row r="80">
          <cell r="A80" t="str">
            <v>GGY</v>
          </cell>
          <cell r="B80" t="str">
            <v>Guernsey (U.K.)</v>
          </cell>
          <cell r="C80">
            <v>12.66</v>
          </cell>
          <cell r="D80">
            <v>12.66</v>
          </cell>
          <cell r="E80">
            <v>12.62</v>
          </cell>
          <cell r="F80">
            <v>12.62</v>
          </cell>
          <cell r="G80">
            <v>12.76</v>
          </cell>
          <cell r="H80">
            <v>12.73</v>
          </cell>
        </row>
        <row r="81">
          <cell r="A81" t="str">
            <v>GHA</v>
          </cell>
          <cell r="B81" t="str">
            <v>Ghana</v>
          </cell>
          <cell r="C81">
            <v>27.98</v>
          </cell>
          <cell r="D81">
            <v>27.97</v>
          </cell>
          <cell r="E81">
            <v>28.01</v>
          </cell>
          <cell r="F81">
            <v>28.04</v>
          </cell>
          <cell r="G81">
            <v>28.11</v>
          </cell>
          <cell r="H81">
            <v>28.08</v>
          </cell>
        </row>
        <row r="82">
          <cell r="A82" t="str">
            <v>GIB</v>
          </cell>
          <cell r="B82" t="str">
            <v>Gibraltar (U.K.)</v>
          </cell>
          <cell r="C82">
            <v>18.36</v>
          </cell>
          <cell r="D82">
            <v>18.5</v>
          </cell>
          <cell r="E82">
            <v>18.489999999999998</v>
          </cell>
          <cell r="F82">
            <v>18.52</v>
          </cell>
          <cell r="G82">
            <v>18.57</v>
          </cell>
          <cell r="H82">
            <v>18.54</v>
          </cell>
        </row>
        <row r="83">
          <cell r="A83" t="str">
            <v>GIN</v>
          </cell>
          <cell r="B83" t="str">
            <v>Guinea</v>
          </cell>
          <cell r="C83">
            <v>26.84</v>
          </cell>
          <cell r="D83">
            <v>26.87</v>
          </cell>
          <cell r="E83">
            <v>26.92</v>
          </cell>
          <cell r="F83">
            <v>26.94</v>
          </cell>
          <cell r="G83">
            <v>27.03</v>
          </cell>
          <cell r="H83">
            <v>27.01</v>
          </cell>
        </row>
        <row r="84">
          <cell r="A84" t="str">
            <v>GLP</v>
          </cell>
          <cell r="B84" t="str">
            <v>GLP</v>
          </cell>
          <cell r="C84">
            <v>26.21</v>
          </cell>
          <cell r="D84">
            <v>26.29</v>
          </cell>
          <cell r="E84">
            <v>26.25</v>
          </cell>
          <cell r="F84">
            <v>26.29</v>
          </cell>
          <cell r="G84">
            <v>26.35</v>
          </cell>
          <cell r="H84">
            <v>26.34</v>
          </cell>
        </row>
        <row r="85">
          <cell r="A85" t="str">
            <v>GMB</v>
          </cell>
          <cell r="B85" t="str">
            <v>The Gambia</v>
          </cell>
          <cell r="C85">
            <v>28.62</v>
          </cell>
          <cell r="D85">
            <v>28.69</v>
          </cell>
          <cell r="E85">
            <v>28.78</v>
          </cell>
          <cell r="F85">
            <v>28.74</v>
          </cell>
          <cell r="G85">
            <v>28.83</v>
          </cell>
          <cell r="H85">
            <v>28.78</v>
          </cell>
        </row>
        <row r="86">
          <cell r="A86" t="str">
            <v>GNB</v>
          </cell>
          <cell r="B86" t="str">
            <v>Guinea-Bissau</v>
          </cell>
          <cell r="C86">
            <v>28.36</v>
          </cell>
          <cell r="D86">
            <v>28.41</v>
          </cell>
          <cell r="E86">
            <v>28.49</v>
          </cell>
          <cell r="F86">
            <v>28.47</v>
          </cell>
          <cell r="G86">
            <v>28.54</v>
          </cell>
          <cell r="H86">
            <v>28.53</v>
          </cell>
        </row>
        <row r="87">
          <cell r="A87" t="str">
            <v>GNQ</v>
          </cell>
          <cell r="B87" t="str">
            <v>Equatorial Guinea</v>
          </cell>
          <cell r="C87">
            <v>24.76</v>
          </cell>
          <cell r="D87">
            <v>24.79</v>
          </cell>
          <cell r="E87">
            <v>24.82</v>
          </cell>
          <cell r="F87">
            <v>24.84</v>
          </cell>
          <cell r="G87">
            <v>24.9</v>
          </cell>
          <cell r="H87">
            <v>24.9</v>
          </cell>
        </row>
        <row r="88">
          <cell r="A88" t="str">
            <v>GRC</v>
          </cell>
          <cell r="B88" t="str">
            <v>Greece</v>
          </cell>
          <cell r="C88">
            <v>15.56</v>
          </cell>
          <cell r="D88">
            <v>15.76</v>
          </cell>
          <cell r="E88">
            <v>15.82</v>
          </cell>
          <cell r="F88">
            <v>15.79</v>
          </cell>
          <cell r="G88">
            <v>15.87</v>
          </cell>
          <cell r="H88">
            <v>15.87</v>
          </cell>
        </row>
        <row r="89">
          <cell r="A89" t="str">
            <v>GRD</v>
          </cell>
          <cell r="B89" t="str">
            <v>Grenada</v>
          </cell>
          <cell r="C89">
            <v>26.78</v>
          </cell>
          <cell r="D89">
            <v>26.8</v>
          </cell>
          <cell r="E89">
            <v>26.82</v>
          </cell>
          <cell r="F89">
            <v>26.84</v>
          </cell>
          <cell r="G89">
            <v>26.88</v>
          </cell>
          <cell r="H89">
            <v>26.87</v>
          </cell>
        </row>
        <row r="90">
          <cell r="A90" t="str">
            <v>GRL</v>
          </cell>
          <cell r="B90" t="str">
            <v>Greenland (Den.)</v>
          </cell>
          <cell r="C90">
            <v>-17.47</v>
          </cell>
          <cell r="D90">
            <v>-17.510000000000002</v>
          </cell>
          <cell r="E90">
            <v>-17.38</v>
          </cell>
          <cell r="F90">
            <v>-17.309999999999999</v>
          </cell>
          <cell r="G90">
            <v>-17.13</v>
          </cell>
          <cell r="H90">
            <v>-17.28</v>
          </cell>
        </row>
        <row r="91">
          <cell r="A91" t="str">
            <v>GTM</v>
          </cell>
          <cell r="B91" t="str">
            <v>Guatemala</v>
          </cell>
          <cell r="C91">
            <v>23.7</v>
          </cell>
          <cell r="D91">
            <v>23.72</v>
          </cell>
          <cell r="E91">
            <v>23.75</v>
          </cell>
          <cell r="F91">
            <v>23.82</v>
          </cell>
          <cell r="G91">
            <v>23.83</v>
          </cell>
          <cell r="H91">
            <v>23.85</v>
          </cell>
        </row>
        <row r="92">
          <cell r="A92" t="str">
            <v>GUF</v>
          </cell>
          <cell r="B92" t="str">
            <v>GUF</v>
          </cell>
          <cell r="C92">
            <v>26.89</v>
          </cell>
          <cell r="D92">
            <v>26.96</v>
          </cell>
          <cell r="E92">
            <v>27</v>
          </cell>
          <cell r="F92">
            <v>27.05</v>
          </cell>
          <cell r="G92">
            <v>27.04</v>
          </cell>
          <cell r="H92">
            <v>27.03</v>
          </cell>
        </row>
        <row r="93">
          <cell r="A93" t="str">
            <v>GUM</v>
          </cell>
          <cell r="B93" t="str">
            <v>Guam (U.S.)</v>
          </cell>
          <cell r="C93">
            <v>27.33</v>
          </cell>
          <cell r="D93">
            <v>27.34</v>
          </cell>
          <cell r="E93">
            <v>27.36</v>
          </cell>
          <cell r="F93">
            <v>27.38</v>
          </cell>
          <cell r="G93">
            <v>27.39</v>
          </cell>
          <cell r="H93">
            <v>27.39</v>
          </cell>
        </row>
        <row r="94">
          <cell r="A94" t="str">
            <v>GUY</v>
          </cell>
          <cell r="B94" t="str">
            <v>Guyana</v>
          </cell>
          <cell r="C94">
            <v>26.37</v>
          </cell>
          <cell r="D94">
            <v>26.38</v>
          </cell>
          <cell r="E94">
            <v>26.5</v>
          </cell>
          <cell r="F94">
            <v>26.5</v>
          </cell>
          <cell r="G94">
            <v>26.53</v>
          </cell>
          <cell r="H94">
            <v>26.53</v>
          </cell>
        </row>
        <row r="95">
          <cell r="A95" t="str">
            <v>HKG</v>
          </cell>
          <cell r="B95" t="str">
            <v>HKG</v>
          </cell>
          <cell r="C95">
            <v>23.5</v>
          </cell>
          <cell r="D95">
            <v>23.51</v>
          </cell>
          <cell r="E95">
            <v>23.57</v>
          </cell>
          <cell r="F95">
            <v>23.63</v>
          </cell>
          <cell r="G95">
            <v>23.66</v>
          </cell>
          <cell r="H95">
            <v>23.6</v>
          </cell>
        </row>
        <row r="96">
          <cell r="A96" t="str">
            <v>HMD</v>
          </cell>
          <cell r="B96" t="str">
            <v>Heard Island and McDonald Islands (Aus.)</v>
          </cell>
          <cell r="C96">
            <v>1.85</v>
          </cell>
          <cell r="D96">
            <v>1.96</v>
          </cell>
          <cell r="E96">
            <v>1.94</v>
          </cell>
          <cell r="F96">
            <v>1.98</v>
          </cell>
          <cell r="G96">
            <v>1.95</v>
          </cell>
          <cell r="H96">
            <v>1.99</v>
          </cell>
        </row>
        <row r="97">
          <cell r="A97" t="str">
            <v>HND</v>
          </cell>
          <cell r="B97" t="str">
            <v>Honduras</v>
          </cell>
          <cell r="C97">
            <v>24.52</v>
          </cell>
          <cell r="D97">
            <v>24.54</v>
          </cell>
          <cell r="E97">
            <v>24.55</v>
          </cell>
          <cell r="F97">
            <v>24.6</v>
          </cell>
          <cell r="G97">
            <v>24.61</v>
          </cell>
          <cell r="H97">
            <v>24.61</v>
          </cell>
        </row>
        <row r="98">
          <cell r="A98" t="str">
            <v>HRV</v>
          </cell>
          <cell r="B98" t="str">
            <v>Croatia</v>
          </cell>
          <cell r="C98">
            <v>12.88</v>
          </cell>
          <cell r="D98">
            <v>13.01</v>
          </cell>
          <cell r="E98">
            <v>13.1</v>
          </cell>
          <cell r="F98">
            <v>13.09</v>
          </cell>
          <cell r="G98">
            <v>13.11</v>
          </cell>
          <cell r="H98">
            <v>13.1</v>
          </cell>
        </row>
        <row r="99">
          <cell r="A99" t="str">
            <v>HTI</v>
          </cell>
          <cell r="B99" t="str">
            <v>Haiti</v>
          </cell>
          <cell r="C99">
            <v>25.78</v>
          </cell>
          <cell r="D99">
            <v>25.84</v>
          </cell>
          <cell r="E99">
            <v>25.86</v>
          </cell>
          <cell r="F99">
            <v>25.89</v>
          </cell>
          <cell r="G99">
            <v>25.9</v>
          </cell>
          <cell r="H99">
            <v>25.89</v>
          </cell>
        </row>
        <row r="100">
          <cell r="A100" t="str">
            <v>HUN</v>
          </cell>
          <cell r="B100" t="str">
            <v>Hungary</v>
          </cell>
          <cell r="C100">
            <v>12.18</v>
          </cell>
          <cell r="D100">
            <v>12.26</v>
          </cell>
          <cell r="E100">
            <v>12.35</v>
          </cell>
          <cell r="F100">
            <v>12.35</v>
          </cell>
          <cell r="G100">
            <v>12.34</v>
          </cell>
          <cell r="H100">
            <v>12.33</v>
          </cell>
        </row>
        <row r="101">
          <cell r="A101" t="str">
            <v>IDN</v>
          </cell>
          <cell r="B101" t="str">
            <v>Indonesia</v>
          </cell>
          <cell r="C101">
            <v>25.88</v>
          </cell>
          <cell r="D101">
            <v>25.9</v>
          </cell>
          <cell r="E101">
            <v>25.93</v>
          </cell>
          <cell r="F101">
            <v>25.94</v>
          </cell>
          <cell r="G101">
            <v>25.98</v>
          </cell>
          <cell r="H101">
            <v>25.97</v>
          </cell>
        </row>
        <row r="102">
          <cell r="A102" t="str">
            <v>IMN</v>
          </cell>
          <cell r="B102" t="str">
            <v>Isle of Man (U.K.)</v>
          </cell>
          <cell r="C102">
            <v>10.81</v>
          </cell>
          <cell r="D102">
            <v>10.73</v>
          </cell>
          <cell r="E102">
            <v>10.85</v>
          </cell>
          <cell r="F102">
            <v>10.75</v>
          </cell>
          <cell r="G102">
            <v>10.87</v>
          </cell>
          <cell r="H102">
            <v>10.9</v>
          </cell>
        </row>
        <row r="103">
          <cell r="A103" t="str">
            <v>IND</v>
          </cell>
          <cell r="B103" t="str">
            <v>India</v>
          </cell>
          <cell r="C103">
            <v>24.72</v>
          </cell>
          <cell r="D103">
            <v>24.73</v>
          </cell>
          <cell r="E103">
            <v>24.71</v>
          </cell>
          <cell r="F103">
            <v>24.76</v>
          </cell>
          <cell r="G103">
            <v>24.79</v>
          </cell>
          <cell r="H103">
            <v>24.76</v>
          </cell>
        </row>
        <row r="104">
          <cell r="A104" t="str">
            <v>IOT</v>
          </cell>
          <cell r="B104" t="str">
            <v>British Indian Ocean Territory (U.K.)</v>
          </cell>
          <cell r="C104">
            <v>26.78</v>
          </cell>
          <cell r="D104">
            <v>26.81</v>
          </cell>
          <cell r="E104">
            <v>26.82</v>
          </cell>
          <cell r="F104">
            <v>26.84</v>
          </cell>
          <cell r="G104">
            <v>26.89</v>
          </cell>
          <cell r="H104">
            <v>26.85</v>
          </cell>
        </row>
        <row r="105">
          <cell r="A105" t="str">
            <v>IRL</v>
          </cell>
          <cell r="B105" t="str">
            <v>Ireland</v>
          </cell>
          <cell r="C105">
            <v>10.28</v>
          </cell>
          <cell r="D105">
            <v>10.220000000000001</v>
          </cell>
          <cell r="E105">
            <v>10.26</v>
          </cell>
          <cell r="F105">
            <v>10.27</v>
          </cell>
          <cell r="G105">
            <v>10.31</v>
          </cell>
          <cell r="H105">
            <v>10.38</v>
          </cell>
        </row>
        <row r="106">
          <cell r="A106" t="str">
            <v>IRN</v>
          </cell>
          <cell r="B106" t="str">
            <v>Islamic Republic of Iran</v>
          </cell>
          <cell r="C106">
            <v>18.600000000000001</v>
          </cell>
          <cell r="D106">
            <v>18.61</v>
          </cell>
          <cell r="E106">
            <v>18.72</v>
          </cell>
          <cell r="F106">
            <v>18.73</v>
          </cell>
          <cell r="G106">
            <v>18.78</v>
          </cell>
          <cell r="H106">
            <v>18.87</v>
          </cell>
        </row>
        <row r="107">
          <cell r="A107" t="str">
            <v>IRQ</v>
          </cell>
          <cell r="B107" t="str">
            <v>Iraq</v>
          </cell>
          <cell r="C107">
            <v>23.38</v>
          </cell>
          <cell r="D107">
            <v>23.44</v>
          </cell>
          <cell r="E107">
            <v>23.56</v>
          </cell>
          <cell r="F107">
            <v>23.56</v>
          </cell>
          <cell r="G107">
            <v>23.68</v>
          </cell>
          <cell r="H107">
            <v>23.7</v>
          </cell>
        </row>
        <row r="108">
          <cell r="A108" t="str">
            <v>ISL</v>
          </cell>
          <cell r="B108" t="str">
            <v>Iceland</v>
          </cell>
          <cell r="C108">
            <v>1.72</v>
          </cell>
          <cell r="D108">
            <v>1.66</v>
          </cell>
          <cell r="E108">
            <v>1.79</v>
          </cell>
          <cell r="F108">
            <v>1.78</v>
          </cell>
          <cell r="G108">
            <v>1.93</v>
          </cell>
          <cell r="H108">
            <v>1.85</v>
          </cell>
        </row>
        <row r="109">
          <cell r="A109" t="str">
            <v>ISR</v>
          </cell>
          <cell r="B109" t="str">
            <v>Israel</v>
          </cell>
          <cell r="C109">
            <v>21.05</v>
          </cell>
          <cell r="D109">
            <v>21.08</v>
          </cell>
          <cell r="E109">
            <v>21.16</v>
          </cell>
          <cell r="F109">
            <v>21.14</v>
          </cell>
          <cell r="G109">
            <v>21.18</v>
          </cell>
          <cell r="H109">
            <v>21.29</v>
          </cell>
        </row>
        <row r="110">
          <cell r="A110" t="str">
            <v>ITA</v>
          </cell>
          <cell r="B110" t="str">
            <v>Italy</v>
          </cell>
          <cell r="C110">
            <v>13.62</v>
          </cell>
          <cell r="D110">
            <v>13.76</v>
          </cell>
          <cell r="E110">
            <v>13.87</v>
          </cell>
          <cell r="F110">
            <v>13.79</v>
          </cell>
          <cell r="G110">
            <v>13.81</v>
          </cell>
          <cell r="H110">
            <v>13.89</v>
          </cell>
        </row>
        <row r="111">
          <cell r="A111" t="str">
            <v>JAM</v>
          </cell>
          <cell r="B111" t="str">
            <v>Jamaica</v>
          </cell>
          <cell r="C111">
            <v>26.22</v>
          </cell>
          <cell r="D111">
            <v>26.27</v>
          </cell>
          <cell r="E111">
            <v>26.32</v>
          </cell>
          <cell r="F111">
            <v>26.28</v>
          </cell>
          <cell r="G111">
            <v>26.31</v>
          </cell>
          <cell r="H111">
            <v>26.34</v>
          </cell>
        </row>
        <row r="112">
          <cell r="A112" t="str">
            <v>JEY</v>
          </cell>
          <cell r="B112" t="str">
            <v>Jersey (U.K.)</v>
          </cell>
          <cell r="C112">
            <v>12.65</v>
          </cell>
          <cell r="D112">
            <v>12.65</v>
          </cell>
          <cell r="E112">
            <v>12.66</v>
          </cell>
          <cell r="F112">
            <v>12.62</v>
          </cell>
          <cell r="G112">
            <v>12.78</v>
          </cell>
          <cell r="H112">
            <v>12.75</v>
          </cell>
        </row>
        <row r="113">
          <cell r="A113" t="str">
            <v>JOR</v>
          </cell>
          <cell r="B113" t="str">
            <v>Jordan</v>
          </cell>
          <cell r="C113">
            <v>19.89</v>
          </cell>
          <cell r="D113">
            <v>19.940000000000001</v>
          </cell>
          <cell r="E113">
            <v>20.010000000000002</v>
          </cell>
          <cell r="F113">
            <v>20.03</v>
          </cell>
          <cell r="G113">
            <v>20.09</v>
          </cell>
          <cell r="H113">
            <v>20.2</v>
          </cell>
        </row>
        <row r="114">
          <cell r="A114" t="str">
            <v>JPN</v>
          </cell>
          <cell r="B114" t="str">
            <v>Japan</v>
          </cell>
          <cell r="C114">
            <v>12.79</v>
          </cell>
          <cell r="D114">
            <v>12.8</v>
          </cell>
          <cell r="E114">
            <v>12.85</v>
          </cell>
          <cell r="F114">
            <v>12.99</v>
          </cell>
          <cell r="G114">
            <v>13.05</v>
          </cell>
          <cell r="H114">
            <v>12.9</v>
          </cell>
        </row>
        <row r="115">
          <cell r="A115" t="str">
            <v>KAZ</v>
          </cell>
          <cell r="B115" t="str">
            <v>Kazakhstan</v>
          </cell>
          <cell r="C115">
            <v>7.55</v>
          </cell>
          <cell r="D115">
            <v>7.65</v>
          </cell>
          <cell r="E115">
            <v>7.81</v>
          </cell>
          <cell r="F115">
            <v>7.65</v>
          </cell>
          <cell r="G115">
            <v>7.66</v>
          </cell>
          <cell r="H115">
            <v>7.78</v>
          </cell>
        </row>
        <row r="116">
          <cell r="A116" t="str">
            <v>KEN</v>
          </cell>
          <cell r="B116" t="str">
            <v>Kenya</v>
          </cell>
          <cell r="C116">
            <v>25.86</v>
          </cell>
          <cell r="D116">
            <v>25.86</v>
          </cell>
          <cell r="E116">
            <v>25.87</v>
          </cell>
          <cell r="F116">
            <v>25.94</v>
          </cell>
          <cell r="G116">
            <v>26</v>
          </cell>
          <cell r="H116">
            <v>25.99</v>
          </cell>
        </row>
        <row r="117">
          <cell r="A117" t="str">
            <v>KGZ</v>
          </cell>
          <cell r="B117" t="str">
            <v>Kyrgyz Republic</v>
          </cell>
          <cell r="C117">
            <v>1.32</v>
          </cell>
          <cell r="D117">
            <v>1.28</v>
          </cell>
          <cell r="E117">
            <v>1.37</v>
          </cell>
          <cell r="F117">
            <v>1.36</v>
          </cell>
          <cell r="G117">
            <v>1.44</v>
          </cell>
          <cell r="H117">
            <v>1.47</v>
          </cell>
        </row>
        <row r="118">
          <cell r="A118" t="str">
            <v>KHM</v>
          </cell>
          <cell r="B118" t="str">
            <v>Cambodia</v>
          </cell>
          <cell r="C118">
            <v>28.11</v>
          </cell>
          <cell r="D118">
            <v>28.14</v>
          </cell>
          <cell r="E118">
            <v>28.19</v>
          </cell>
          <cell r="F118">
            <v>28.22</v>
          </cell>
          <cell r="G118">
            <v>28.21</v>
          </cell>
          <cell r="H118">
            <v>28.24</v>
          </cell>
        </row>
        <row r="119">
          <cell r="A119" t="str">
            <v>KIR</v>
          </cell>
          <cell r="B119" t="str">
            <v>Kiribati</v>
          </cell>
          <cell r="C119">
            <v>27.09</v>
          </cell>
          <cell r="D119">
            <v>27.17</v>
          </cell>
          <cell r="E119">
            <v>27.15</v>
          </cell>
          <cell r="F119">
            <v>27.2</v>
          </cell>
          <cell r="G119">
            <v>27.19</v>
          </cell>
          <cell r="H119">
            <v>27.19</v>
          </cell>
        </row>
        <row r="120">
          <cell r="A120" t="str">
            <v>KNA</v>
          </cell>
          <cell r="B120" t="str">
            <v>Saint Kitts and Nevis</v>
          </cell>
          <cell r="C120">
            <v>26.42</v>
          </cell>
          <cell r="D120">
            <v>26.5</v>
          </cell>
          <cell r="E120">
            <v>26.51</v>
          </cell>
          <cell r="F120">
            <v>26.55</v>
          </cell>
          <cell r="G120">
            <v>26.59</v>
          </cell>
          <cell r="H120">
            <v>26.58</v>
          </cell>
        </row>
        <row r="121">
          <cell r="A121" t="str">
            <v>KOR</v>
          </cell>
          <cell r="B121" t="str">
            <v>Republic of Korea</v>
          </cell>
          <cell r="C121">
            <v>13.22</v>
          </cell>
          <cell r="D121">
            <v>13.23</v>
          </cell>
          <cell r="E121">
            <v>13.36</v>
          </cell>
          <cell r="F121">
            <v>13.5</v>
          </cell>
          <cell r="G121">
            <v>13.48</v>
          </cell>
          <cell r="H121">
            <v>13.38</v>
          </cell>
        </row>
        <row r="122">
          <cell r="A122" t="str">
            <v>KSV</v>
          </cell>
          <cell r="B122" t="str">
            <v>Kosovo</v>
          </cell>
          <cell r="C122">
            <v>11.12</v>
          </cell>
          <cell r="D122">
            <v>11.47</v>
          </cell>
          <cell r="E122">
            <v>11.41</v>
          </cell>
          <cell r="F122">
            <v>11.44</v>
          </cell>
          <cell r="G122">
            <v>11.47</v>
          </cell>
          <cell r="H122">
            <v>11.54</v>
          </cell>
        </row>
        <row r="123">
          <cell r="A123" t="str">
            <v>KWT</v>
          </cell>
          <cell r="B123" t="str">
            <v>Kuwait</v>
          </cell>
          <cell r="C123">
            <v>26.65</v>
          </cell>
          <cell r="D123">
            <v>26.7</v>
          </cell>
          <cell r="E123">
            <v>26.84</v>
          </cell>
          <cell r="F123">
            <v>26.84</v>
          </cell>
          <cell r="G123">
            <v>26.86</v>
          </cell>
          <cell r="H123">
            <v>26.94</v>
          </cell>
        </row>
        <row r="124">
          <cell r="A124" t="str">
            <v>LAO</v>
          </cell>
          <cell r="B124" t="str">
            <v>Lao People's Democratic Republic</v>
          </cell>
          <cell r="C124">
            <v>23.85</v>
          </cell>
          <cell r="D124">
            <v>23.92</v>
          </cell>
          <cell r="E124">
            <v>23.95</v>
          </cell>
          <cell r="F124">
            <v>23.95</v>
          </cell>
          <cell r="G124">
            <v>24.01</v>
          </cell>
          <cell r="H124">
            <v>24.01</v>
          </cell>
        </row>
        <row r="125">
          <cell r="A125" t="str">
            <v>LBN</v>
          </cell>
          <cell r="B125" t="str">
            <v>Lebanon</v>
          </cell>
          <cell r="C125">
            <v>16.010000000000002</v>
          </cell>
          <cell r="D125">
            <v>16.079999999999998</v>
          </cell>
          <cell r="E125">
            <v>16.16</v>
          </cell>
          <cell r="F125">
            <v>16.149999999999999</v>
          </cell>
          <cell r="G125">
            <v>16.23</v>
          </cell>
          <cell r="H125">
            <v>16.309999999999999</v>
          </cell>
        </row>
        <row r="126">
          <cell r="A126" t="str">
            <v>LBR</v>
          </cell>
          <cell r="B126" t="str">
            <v>Liberia</v>
          </cell>
          <cell r="C126">
            <v>26.13</v>
          </cell>
          <cell r="D126">
            <v>26.16</v>
          </cell>
          <cell r="E126">
            <v>26.18</v>
          </cell>
          <cell r="F126">
            <v>26.21</v>
          </cell>
          <cell r="G126">
            <v>26.25</v>
          </cell>
          <cell r="H126">
            <v>26.22</v>
          </cell>
        </row>
        <row r="127">
          <cell r="A127" t="str">
            <v>LBY</v>
          </cell>
          <cell r="B127" t="str">
            <v>Libya</v>
          </cell>
          <cell r="C127">
            <v>22.73</v>
          </cell>
          <cell r="D127">
            <v>22.78</v>
          </cell>
          <cell r="E127">
            <v>22.86</v>
          </cell>
          <cell r="F127">
            <v>22.85</v>
          </cell>
          <cell r="G127">
            <v>22.96</v>
          </cell>
          <cell r="H127">
            <v>22.95</v>
          </cell>
        </row>
        <row r="128">
          <cell r="A128" t="str">
            <v>LCA</v>
          </cell>
          <cell r="B128" t="str">
            <v>Latin America &amp; Caribbean</v>
          </cell>
          <cell r="C128">
            <v>27.03</v>
          </cell>
          <cell r="D128">
            <v>27.1</v>
          </cell>
          <cell r="E128">
            <v>27.09</v>
          </cell>
          <cell r="F128">
            <v>27.12</v>
          </cell>
          <cell r="G128">
            <v>27.15</v>
          </cell>
          <cell r="H128">
            <v>27.16</v>
          </cell>
        </row>
        <row r="129">
          <cell r="A129" t="str">
            <v>LIE</v>
          </cell>
          <cell r="B129" t="str">
            <v>Liechtenstein</v>
          </cell>
          <cell r="C129">
            <v>6.41</v>
          </cell>
          <cell r="D129">
            <v>6.5</v>
          </cell>
          <cell r="E129">
            <v>6.7</v>
          </cell>
          <cell r="F129">
            <v>6.58</v>
          </cell>
          <cell r="G129">
            <v>6.57</v>
          </cell>
          <cell r="H129">
            <v>6.73</v>
          </cell>
        </row>
        <row r="130">
          <cell r="A130" t="str">
            <v>LKA</v>
          </cell>
          <cell r="B130" t="str">
            <v>Sri Lanka</v>
          </cell>
          <cell r="C130">
            <v>27.24</v>
          </cell>
          <cell r="D130">
            <v>27.28</v>
          </cell>
          <cell r="E130">
            <v>27.3</v>
          </cell>
          <cell r="F130">
            <v>27.32</v>
          </cell>
          <cell r="G130">
            <v>27.37</v>
          </cell>
          <cell r="H130">
            <v>27.34</v>
          </cell>
        </row>
        <row r="131">
          <cell r="A131" t="str">
            <v>LSO</v>
          </cell>
          <cell r="B131" t="str">
            <v>Lesotho</v>
          </cell>
          <cell r="C131">
            <v>12.2</v>
          </cell>
          <cell r="D131">
            <v>12.18</v>
          </cell>
          <cell r="E131">
            <v>12.26</v>
          </cell>
          <cell r="F131">
            <v>12.35</v>
          </cell>
          <cell r="G131">
            <v>12.41</v>
          </cell>
          <cell r="H131">
            <v>12.37</v>
          </cell>
        </row>
        <row r="132">
          <cell r="A132" t="str">
            <v>LTU</v>
          </cell>
          <cell r="B132" t="str">
            <v>Lithuania</v>
          </cell>
          <cell r="C132">
            <v>7.77</v>
          </cell>
          <cell r="D132">
            <v>7.91</v>
          </cell>
          <cell r="E132">
            <v>8.1199999999999992</v>
          </cell>
          <cell r="F132">
            <v>7.82</v>
          </cell>
          <cell r="G132">
            <v>7.81</v>
          </cell>
          <cell r="H132">
            <v>7.99</v>
          </cell>
        </row>
        <row r="133">
          <cell r="A133" t="str">
            <v>LUX</v>
          </cell>
          <cell r="B133" t="str">
            <v>Luxembourg</v>
          </cell>
          <cell r="C133">
            <v>9.75</v>
          </cell>
          <cell r="D133">
            <v>9.9</v>
          </cell>
          <cell r="E133">
            <v>9.98</v>
          </cell>
          <cell r="F133">
            <v>9.82</v>
          </cell>
          <cell r="G133">
            <v>9.8800000000000008</v>
          </cell>
          <cell r="H133">
            <v>10.039999999999999</v>
          </cell>
        </row>
        <row r="134">
          <cell r="A134" t="str">
            <v>LVA</v>
          </cell>
          <cell r="B134" t="str">
            <v>Latvia</v>
          </cell>
          <cell r="C134">
            <v>7.24</v>
          </cell>
          <cell r="D134">
            <v>7.38</v>
          </cell>
          <cell r="E134">
            <v>7.62</v>
          </cell>
          <cell r="F134">
            <v>7.29</v>
          </cell>
          <cell r="G134">
            <v>7.31</v>
          </cell>
          <cell r="H134">
            <v>7.47</v>
          </cell>
        </row>
        <row r="135">
          <cell r="A135" t="str">
            <v>MAC</v>
          </cell>
          <cell r="B135" t="str">
            <v>MAC</v>
          </cell>
          <cell r="C135">
            <v>23.73</v>
          </cell>
          <cell r="D135">
            <v>23.72</v>
          </cell>
          <cell r="E135">
            <v>23.77</v>
          </cell>
          <cell r="F135">
            <v>23.83</v>
          </cell>
          <cell r="G135">
            <v>23.86</v>
          </cell>
          <cell r="H135">
            <v>23.81</v>
          </cell>
        </row>
        <row r="136">
          <cell r="A136" t="str">
            <v>MAF</v>
          </cell>
          <cell r="B136" t="str">
            <v>Saint-Martin (Fr.)</v>
          </cell>
          <cell r="C136">
            <v>26.44</v>
          </cell>
          <cell r="D136">
            <v>26.51</v>
          </cell>
          <cell r="E136">
            <v>26.55</v>
          </cell>
          <cell r="F136">
            <v>26.57</v>
          </cell>
          <cell r="G136">
            <v>26.62</v>
          </cell>
          <cell r="H136">
            <v>26.6</v>
          </cell>
        </row>
        <row r="137">
          <cell r="A137" t="str">
            <v>MAR</v>
          </cell>
          <cell r="B137" t="str">
            <v>Morocco</v>
          </cell>
          <cell r="C137">
            <v>18.989999999999998</v>
          </cell>
          <cell r="D137">
            <v>19.100000000000001</v>
          </cell>
          <cell r="E137">
            <v>19.25</v>
          </cell>
          <cell r="F137">
            <v>19.2</v>
          </cell>
          <cell r="G137">
            <v>19.25</v>
          </cell>
          <cell r="H137">
            <v>19.22</v>
          </cell>
        </row>
        <row r="138">
          <cell r="A138" t="str">
            <v>MCO</v>
          </cell>
          <cell r="B138" t="str">
            <v>Monaco</v>
          </cell>
          <cell r="C138">
            <v>15.3</v>
          </cell>
          <cell r="D138">
            <v>15.49</v>
          </cell>
          <cell r="E138">
            <v>15.59</v>
          </cell>
          <cell r="F138">
            <v>15.46</v>
          </cell>
          <cell r="G138">
            <v>15.42</v>
          </cell>
          <cell r="H138">
            <v>15.55</v>
          </cell>
        </row>
        <row r="139">
          <cell r="A139" t="str">
            <v>MDA</v>
          </cell>
          <cell r="B139" t="str">
            <v>Moldova</v>
          </cell>
          <cell r="C139">
            <v>11.13</v>
          </cell>
          <cell r="D139">
            <v>11.21</v>
          </cell>
          <cell r="E139">
            <v>11.35</v>
          </cell>
          <cell r="F139">
            <v>11.28</v>
          </cell>
          <cell r="G139">
            <v>11.25</v>
          </cell>
          <cell r="H139">
            <v>11.37</v>
          </cell>
        </row>
        <row r="140">
          <cell r="A140" t="str">
            <v>MDG</v>
          </cell>
          <cell r="B140" t="str">
            <v>Madagascar</v>
          </cell>
          <cell r="C140">
            <v>23.27</v>
          </cell>
          <cell r="D140">
            <v>23.29</v>
          </cell>
          <cell r="E140">
            <v>23.38</v>
          </cell>
          <cell r="F140">
            <v>23.39</v>
          </cell>
          <cell r="G140">
            <v>23.4</v>
          </cell>
          <cell r="H140">
            <v>23.43</v>
          </cell>
        </row>
        <row r="141">
          <cell r="A141" t="str">
            <v>MDV</v>
          </cell>
          <cell r="B141" t="str">
            <v>Maldives</v>
          </cell>
          <cell r="C141">
            <v>27.39</v>
          </cell>
          <cell r="D141">
            <v>27.4</v>
          </cell>
          <cell r="E141">
            <v>27.41</v>
          </cell>
          <cell r="F141">
            <v>27.43</v>
          </cell>
          <cell r="G141">
            <v>27.5</v>
          </cell>
          <cell r="H141">
            <v>27.47</v>
          </cell>
        </row>
        <row r="142">
          <cell r="A142" t="str">
            <v>MEX</v>
          </cell>
          <cell r="B142" t="str">
            <v>Mexico</v>
          </cell>
          <cell r="C142">
            <v>21.76</v>
          </cell>
          <cell r="D142">
            <v>21.77</v>
          </cell>
          <cell r="E142">
            <v>21.8</v>
          </cell>
          <cell r="F142">
            <v>21.89</v>
          </cell>
          <cell r="G142">
            <v>21.85</v>
          </cell>
          <cell r="H142">
            <v>21.9</v>
          </cell>
        </row>
        <row r="143">
          <cell r="A143" t="str">
            <v>MHL</v>
          </cell>
          <cell r="B143" t="str">
            <v>Marshall Islands</v>
          </cell>
          <cell r="C143">
            <v>27.27</v>
          </cell>
          <cell r="D143">
            <v>27.31</v>
          </cell>
          <cell r="E143">
            <v>27.32</v>
          </cell>
          <cell r="F143">
            <v>27.34</v>
          </cell>
          <cell r="G143">
            <v>27.37</v>
          </cell>
          <cell r="H143">
            <v>27.38</v>
          </cell>
        </row>
        <row r="144">
          <cell r="A144" t="str">
            <v>MKD</v>
          </cell>
          <cell r="B144" t="str">
            <v>North Macedonia</v>
          </cell>
          <cell r="C144">
            <v>11.79</v>
          </cell>
          <cell r="D144">
            <v>12.05</v>
          </cell>
          <cell r="E144">
            <v>12.1</v>
          </cell>
          <cell r="F144">
            <v>12.05</v>
          </cell>
          <cell r="G144">
            <v>12.13</v>
          </cell>
          <cell r="H144">
            <v>12.17</v>
          </cell>
        </row>
        <row r="145">
          <cell r="A145" t="str">
            <v>MLI</v>
          </cell>
          <cell r="B145" t="str">
            <v>Mali</v>
          </cell>
          <cell r="C145">
            <v>29.12</v>
          </cell>
          <cell r="D145">
            <v>29.13</v>
          </cell>
          <cell r="E145">
            <v>29.24</v>
          </cell>
          <cell r="F145">
            <v>29.2</v>
          </cell>
          <cell r="G145">
            <v>29.35</v>
          </cell>
          <cell r="H145">
            <v>29.3</v>
          </cell>
        </row>
        <row r="146">
          <cell r="A146" t="str">
            <v>MLT</v>
          </cell>
          <cell r="B146" t="str">
            <v>Malta</v>
          </cell>
          <cell r="C146">
            <v>19.87</v>
          </cell>
          <cell r="D146">
            <v>20.010000000000002</v>
          </cell>
          <cell r="E146">
            <v>20</v>
          </cell>
          <cell r="F146">
            <v>20.05</v>
          </cell>
          <cell r="G146">
            <v>20.079999999999998</v>
          </cell>
          <cell r="H146">
            <v>20.09</v>
          </cell>
        </row>
        <row r="147">
          <cell r="A147" t="str">
            <v>MMR</v>
          </cell>
          <cell r="B147" t="str">
            <v>Myanmar</v>
          </cell>
          <cell r="C147">
            <v>24.23</v>
          </cell>
          <cell r="D147">
            <v>24.27</v>
          </cell>
          <cell r="E147">
            <v>24.26</v>
          </cell>
          <cell r="F147">
            <v>24.31</v>
          </cell>
          <cell r="G147">
            <v>24.35</v>
          </cell>
          <cell r="H147">
            <v>24.34</v>
          </cell>
        </row>
        <row r="148">
          <cell r="A148" t="str">
            <v>MNE</v>
          </cell>
          <cell r="B148" t="str">
            <v>Montenegro</v>
          </cell>
          <cell r="C148">
            <v>10.23</v>
          </cell>
          <cell r="D148">
            <v>10.46</v>
          </cell>
          <cell r="E148">
            <v>10.45</v>
          </cell>
          <cell r="F148">
            <v>10.49</v>
          </cell>
          <cell r="G148">
            <v>10.46</v>
          </cell>
          <cell r="H148">
            <v>10.54</v>
          </cell>
        </row>
        <row r="149">
          <cell r="A149" t="str">
            <v>MNG</v>
          </cell>
          <cell r="B149" t="str">
            <v>Mongolia</v>
          </cell>
          <cell r="C149">
            <v>1.93</v>
          </cell>
          <cell r="D149">
            <v>2.04</v>
          </cell>
          <cell r="E149">
            <v>2.11</v>
          </cell>
          <cell r="F149">
            <v>2.2200000000000002</v>
          </cell>
          <cell r="G149">
            <v>2.13</v>
          </cell>
          <cell r="H149">
            <v>2.31</v>
          </cell>
        </row>
        <row r="150">
          <cell r="A150" t="str">
            <v>MNP</v>
          </cell>
          <cell r="B150" t="str">
            <v>Northern Mariana Islands (U.S.)</v>
          </cell>
          <cell r="C150">
            <v>27.28</v>
          </cell>
          <cell r="D150">
            <v>27.27</v>
          </cell>
          <cell r="E150">
            <v>27.28</v>
          </cell>
          <cell r="F150">
            <v>27.32</v>
          </cell>
          <cell r="G150">
            <v>27.32</v>
          </cell>
          <cell r="H150">
            <v>27.31</v>
          </cell>
        </row>
        <row r="151">
          <cell r="A151" t="str">
            <v>MOZ</v>
          </cell>
          <cell r="B151" t="str">
            <v>Mozambique</v>
          </cell>
          <cell r="C151">
            <v>24.65</v>
          </cell>
          <cell r="D151">
            <v>24.67</v>
          </cell>
          <cell r="E151">
            <v>24.78</v>
          </cell>
          <cell r="F151">
            <v>24.79</v>
          </cell>
          <cell r="G151">
            <v>24.79</v>
          </cell>
          <cell r="H151">
            <v>24.84</v>
          </cell>
        </row>
        <row r="152">
          <cell r="A152" t="str">
            <v>MRT</v>
          </cell>
          <cell r="B152" t="str">
            <v>Mauritania</v>
          </cell>
          <cell r="C152">
            <v>28.1</v>
          </cell>
          <cell r="D152">
            <v>28.16</v>
          </cell>
          <cell r="E152">
            <v>28.28</v>
          </cell>
          <cell r="F152">
            <v>28.22</v>
          </cell>
          <cell r="G152">
            <v>28.34</v>
          </cell>
          <cell r="H152">
            <v>28.29</v>
          </cell>
        </row>
        <row r="153">
          <cell r="A153" t="str">
            <v>MSR</v>
          </cell>
          <cell r="B153" t="str">
            <v>Montserrat (U.K.)</v>
          </cell>
          <cell r="C153">
            <v>26.49</v>
          </cell>
          <cell r="D153">
            <v>26.57</v>
          </cell>
          <cell r="E153">
            <v>26.55</v>
          </cell>
          <cell r="F153">
            <v>26.59</v>
          </cell>
          <cell r="G153">
            <v>26.64</v>
          </cell>
          <cell r="H153">
            <v>26.63</v>
          </cell>
        </row>
        <row r="154">
          <cell r="A154" t="str">
            <v>MTQ</v>
          </cell>
          <cell r="B154" t="str">
            <v>MTQ</v>
          </cell>
          <cell r="C154">
            <v>26.38</v>
          </cell>
          <cell r="D154">
            <v>26.47</v>
          </cell>
          <cell r="E154">
            <v>26.45</v>
          </cell>
          <cell r="F154">
            <v>26.47</v>
          </cell>
          <cell r="G154">
            <v>26.51</v>
          </cell>
          <cell r="H154">
            <v>26.52</v>
          </cell>
        </row>
        <row r="155">
          <cell r="A155" t="str">
            <v>MUS</v>
          </cell>
          <cell r="B155" t="str">
            <v>Mauritius</v>
          </cell>
          <cell r="C155">
            <v>24.01</v>
          </cell>
          <cell r="D155">
            <v>24.01</v>
          </cell>
          <cell r="E155">
            <v>24.06</v>
          </cell>
          <cell r="F155">
            <v>24.14</v>
          </cell>
          <cell r="G155">
            <v>24.13</v>
          </cell>
          <cell r="H155">
            <v>24.12</v>
          </cell>
        </row>
        <row r="156">
          <cell r="A156" t="str">
            <v>MWI</v>
          </cell>
          <cell r="B156" t="str">
            <v>Malawi</v>
          </cell>
          <cell r="C156">
            <v>22.7</v>
          </cell>
          <cell r="D156">
            <v>22.77</v>
          </cell>
          <cell r="E156">
            <v>22.88</v>
          </cell>
          <cell r="F156">
            <v>22.87</v>
          </cell>
          <cell r="G156">
            <v>22.87</v>
          </cell>
          <cell r="H156">
            <v>22.94</v>
          </cell>
        </row>
        <row r="157">
          <cell r="A157" t="str">
            <v>MYS</v>
          </cell>
          <cell r="B157" t="str">
            <v>Malaysia</v>
          </cell>
          <cell r="C157">
            <v>26.36</v>
          </cell>
          <cell r="D157">
            <v>26.4</v>
          </cell>
          <cell r="E157">
            <v>26.41</v>
          </cell>
          <cell r="F157">
            <v>26.44</v>
          </cell>
          <cell r="G157">
            <v>26.47</v>
          </cell>
          <cell r="H157">
            <v>26.46</v>
          </cell>
        </row>
        <row r="158">
          <cell r="A158" t="str">
            <v>MYT</v>
          </cell>
          <cell r="B158" t="str">
            <v>MYT</v>
          </cell>
          <cell r="C158">
            <v>26.37</v>
          </cell>
          <cell r="D158">
            <v>26.37</v>
          </cell>
          <cell r="E158">
            <v>26.43</v>
          </cell>
          <cell r="F158">
            <v>26.47</v>
          </cell>
          <cell r="G158">
            <v>26.48</v>
          </cell>
          <cell r="H158">
            <v>26.5</v>
          </cell>
        </row>
        <row r="159">
          <cell r="A159" t="str">
            <v>NAM</v>
          </cell>
          <cell r="B159" t="str">
            <v>Namibia</v>
          </cell>
          <cell r="C159">
            <v>22.2</v>
          </cell>
          <cell r="D159">
            <v>22.15</v>
          </cell>
          <cell r="E159">
            <v>22.27</v>
          </cell>
          <cell r="F159">
            <v>22.29</v>
          </cell>
          <cell r="G159">
            <v>22.33</v>
          </cell>
          <cell r="H159">
            <v>22.3</v>
          </cell>
        </row>
        <row r="160">
          <cell r="A160" t="str">
            <v>NCL</v>
          </cell>
          <cell r="B160" t="str">
            <v>New Caledonia (Fr.)</v>
          </cell>
          <cell r="C160">
            <v>22.94</v>
          </cell>
          <cell r="D160">
            <v>22.96</v>
          </cell>
          <cell r="E160">
            <v>23.02</v>
          </cell>
          <cell r="F160">
            <v>23.09</v>
          </cell>
          <cell r="G160">
            <v>23.05</v>
          </cell>
          <cell r="H160">
            <v>23.06</v>
          </cell>
        </row>
        <row r="161">
          <cell r="A161" t="str">
            <v>NER</v>
          </cell>
          <cell r="B161" t="str">
            <v>Niger</v>
          </cell>
          <cell r="C161">
            <v>27.84</v>
          </cell>
          <cell r="D161">
            <v>27.88</v>
          </cell>
          <cell r="E161">
            <v>27.99</v>
          </cell>
          <cell r="F161">
            <v>27.88</v>
          </cell>
          <cell r="G161">
            <v>28.09</v>
          </cell>
          <cell r="H161">
            <v>28.05</v>
          </cell>
        </row>
        <row r="162">
          <cell r="A162" t="str">
            <v>NFK</v>
          </cell>
          <cell r="B162" t="str">
            <v>Norfolk Island (Aus.)</v>
          </cell>
          <cell r="C162">
            <v>20.3</v>
          </cell>
          <cell r="D162">
            <v>20.3</v>
          </cell>
          <cell r="E162">
            <v>20.329999999999998</v>
          </cell>
          <cell r="F162">
            <v>20.399999999999999</v>
          </cell>
          <cell r="G162">
            <v>20.34</v>
          </cell>
          <cell r="H162">
            <v>20.34</v>
          </cell>
        </row>
        <row r="163">
          <cell r="A163" t="str">
            <v>NGA</v>
          </cell>
          <cell r="B163" t="str">
            <v>Nigeria</v>
          </cell>
          <cell r="C163">
            <v>27.75</v>
          </cell>
          <cell r="D163">
            <v>27.76</v>
          </cell>
          <cell r="E163">
            <v>27.82</v>
          </cell>
          <cell r="F163">
            <v>27.81</v>
          </cell>
          <cell r="G163">
            <v>27.93</v>
          </cell>
          <cell r="H163">
            <v>27.89</v>
          </cell>
        </row>
        <row r="164">
          <cell r="A164" t="str">
            <v>NIC</v>
          </cell>
          <cell r="B164" t="str">
            <v>Nicaragua</v>
          </cell>
          <cell r="C164">
            <v>26.24</v>
          </cell>
          <cell r="D164">
            <v>26.27</v>
          </cell>
          <cell r="E164">
            <v>26.28</v>
          </cell>
          <cell r="F164">
            <v>26.34</v>
          </cell>
          <cell r="G164">
            <v>26.36</v>
          </cell>
          <cell r="H164">
            <v>26.36</v>
          </cell>
        </row>
        <row r="165">
          <cell r="A165" t="str">
            <v>NIU</v>
          </cell>
          <cell r="B165" t="str">
            <v>Niue (N.Z.)</v>
          </cell>
          <cell r="C165">
            <v>25.5</v>
          </cell>
          <cell r="D165">
            <v>25.51</v>
          </cell>
          <cell r="E165">
            <v>25.59</v>
          </cell>
          <cell r="F165">
            <v>25.6</v>
          </cell>
          <cell r="G165">
            <v>25.64</v>
          </cell>
          <cell r="H165">
            <v>25.66</v>
          </cell>
        </row>
        <row r="166">
          <cell r="A166" t="str">
            <v>NLD</v>
          </cell>
          <cell r="B166" t="str">
            <v>Netherlands</v>
          </cell>
          <cell r="C166">
            <v>10.78</v>
          </cell>
          <cell r="D166">
            <v>10.78</v>
          </cell>
          <cell r="E166">
            <v>10.97</v>
          </cell>
          <cell r="F166">
            <v>10.75</v>
          </cell>
          <cell r="G166">
            <v>10.78</v>
          </cell>
          <cell r="H166">
            <v>10.95</v>
          </cell>
        </row>
        <row r="167">
          <cell r="A167" t="str">
            <v>NOR</v>
          </cell>
          <cell r="B167" t="str">
            <v>Norway</v>
          </cell>
          <cell r="C167">
            <v>2.65</v>
          </cell>
          <cell r="D167">
            <v>2.69</v>
          </cell>
          <cell r="E167">
            <v>2.89</v>
          </cell>
          <cell r="F167">
            <v>2.82</v>
          </cell>
          <cell r="G167">
            <v>2.83</v>
          </cell>
          <cell r="H167">
            <v>2.84</v>
          </cell>
        </row>
        <row r="168">
          <cell r="A168" t="str">
            <v>NPL</v>
          </cell>
          <cell r="B168" t="str">
            <v>Nepal</v>
          </cell>
          <cell r="C168">
            <v>12.99</v>
          </cell>
          <cell r="D168">
            <v>12.99</v>
          </cell>
          <cell r="E168">
            <v>12.99</v>
          </cell>
          <cell r="F168">
            <v>13.03</v>
          </cell>
          <cell r="G168">
            <v>13.11</v>
          </cell>
          <cell r="H168">
            <v>13.09</v>
          </cell>
        </row>
        <row r="169">
          <cell r="A169" t="str">
            <v>NRU</v>
          </cell>
          <cell r="B169" t="str">
            <v>Nauru</v>
          </cell>
          <cell r="C169">
            <v>27.54</v>
          </cell>
          <cell r="D169">
            <v>27.6</v>
          </cell>
          <cell r="E169">
            <v>27.63</v>
          </cell>
          <cell r="F169">
            <v>27.63</v>
          </cell>
          <cell r="G169">
            <v>27.63</v>
          </cell>
          <cell r="H169">
            <v>27.65</v>
          </cell>
        </row>
        <row r="170">
          <cell r="A170" t="str">
            <v>NZL</v>
          </cell>
          <cell r="B170" t="str">
            <v>New Zealand</v>
          </cell>
          <cell r="C170">
            <v>10.97</v>
          </cell>
          <cell r="D170">
            <v>10.88</v>
          </cell>
          <cell r="E170">
            <v>10.94</v>
          </cell>
          <cell r="F170">
            <v>10.98</v>
          </cell>
          <cell r="G170">
            <v>11.01</v>
          </cell>
          <cell r="H170">
            <v>10.98</v>
          </cell>
        </row>
        <row r="171">
          <cell r="A171" t="str">
            <v>OMN</v>
          </cell>
          <cell r="B171" t="str">
            <v>Oman</v>
          </cell>
          <cell r="C171">
            <v>28.33</v>
          </cell>
          <cell r="D171">
            <v>28.34</v>
          </cell>
          <cell r="E171">
            <v>28.4</v>
          </cell>
          <cell r="F171">
            <v>28.42</v>
          </cell>
          <cell r="G171">
            <v>28.45</v>
          </cell>
          <cell r="H171">
            <v>28.56</v>
          </cell>
        </row>
        <row r="172">
          <cell r="A172" t="str">
            <v>PAK</v>
          </cell>
          <cell r="B172" t="str">
            <v>Pakistan</v>
          </cell>
          <cell r="C172">
            <v>21.23</v>
          </cell>
          <cell r="D172">
            <v>21.2</v>
          </cell>
          <cell r="E172">
            <v>21.25</v>
          </cell>
          <cell r="F172">
            <v>21.27</v>
          </cell>
          <cell r="G172">
            <v>21.32</v>
          </cell>
          <cell r="H172">
            <v>21.38</v>
          </cell>
        </row>
        <row r="173">
          <cell r="A173" t="str">
            <v>PAN</v>
          </cell>
          <cell r="B173" t="str">
            <v>Panama</v>
          </cell>
          <cell r="C173">
            <v>25.78</v>
          </cell>
          <cell r="D173">
            <v>25.82</v>
          </cell>
          <cell r="E173">
            <v>25.85</v>
          </cell>
          <cell r="F173">
            <v>25.85</v>
          </cell>
          <cell r="G173">
            <v>25.89</v>
          </cell>
          <cell r="H173">
            <v>25.88</v>
          </cell>
        </row>
        <row r="174">
          <cell r="A174" t="str">
            <v>PCN</v>
          </cell>
          <cell r="B174" t="str">
            <v>Pitcairn Islands (U.K.)</v>
          </cell>
          <cell r="C174">
            <v>23.24</v>
          </cell>
          <cell r="D174">
            <v>23.23</v>
          </cell>
          <cell r="E174">
            <v>23.32</v>
          </cell>
          <cell r="F174">
            <v>23.28</v>
          </cell>
          <cell r="G174">
            <v>23.34</v>
          </cell>
          <cell r="H174">
            <v>23.31</v>
          </cell>
        </row>
        <row r="175">
          <cell r="A175" t="str">
            <v>PER</v>
          </cell>
          <cell r="B175" t="str">
            <v>Peru</v>
          </cell>
          <cell r="C175">
            <v>19.829999999999998</v>
          </cell>
          <cell r="D175">
            <v>19.86</v>
          </cell>
          <cell r="E175">
            <v>19.91</v>
          </cell>
          <cell r="F175">
            <v>19.920000000000002</v>
          </cell>
          <cell r="G175">
            <v>20</v>
          </cell>
          <cell r="H175">
            <v>20.010000000000002</v>
          </cell>
        </row>
        <row r="176">
          <cell r="A176" t="str">
            <v>PHL</v>
          </cell>
          <cell r="B176" t="str">
            <v>Philippines</v>
          </cell>
          <cell r="C176">
            <v>26.42</v>
          </cell>
          <cell r="D176">
            <v>26.45</v>
          </cell>
          <cell r="E176">
            <v>26.46</v>
          </cell>
          <cell r="F176">
            <v>26.5</v>
          </cell>
          <cell r="G176">
            <v>26.52</v>
          </cell>
          <cell r="H176">
            <v>26.52</v>
          </cell>
        </row>
        <row r="177">
          <cell r="A177" t="str">
            <v>PLW</v>
          </cell>
          <cell r="B177" t="str">
            <v>Palau</v>
          </cell>
          <cell r="C177">
            <v>27.38</v>
          </cell>
          <cell r="D177">
            <v>27.41</v>
          </cell>
          <cell r="E177">
            <v>27.42</v>
          </cell>
          <cell r="F177">
            <v>27.44</v>
          </cell>
          <cell r="G177">
            <v>27.45</v>
          </cell>
          <cell r="H177">
            <v>27.46</v>
          </cell>
        </row>
        <row r="178">
          <cell r="A178" t="str">
            <v>PNG</v>
          </cell>
          <cell r="B178" t="str">
            <v>Papua New Guinea</v>
          </cell>
          <cell r="C178">
            <v>24.2</v>
          </cell>
          <cell r="D178">
            <v>24.2</v>
          </cell>
          <cell r="E178">
            <v>24.26</v>
          </cell>
          <cell r="F178">
            <v>24.3</v>
          </cell>
          <cell r="G178">
            <v>24.29</v>
          </cell>
          <cell r="H178">
            <v>24.3</v>
          </cell>
        </row>
        <row r="179">
          <cell r="A179" t="str">
            <v>POL</v>
          </cell>
          <cell r="B179" t="str">
            <v>Poland</v>
          </cell>
          <cell r="C179">
            <v>9.2899999999999991</v>
          </cell>
          <cell r="D179">
            <v>9.36</v>
          </cell>
          <cell r="E179">
            <v>9.58</v>
          </cell>
          <cell r="F179">
            <v>9.35</v>
          </cell>
          <cell r="G179">
            <v>9.3800000000000008</v>
          </cell>
          <cell r="H179">
            <v>9.43</v>
          </cell>
        </row>
        <row r="180">
          <cell r="A180" t="str">
            <v>PRI</v>
          </cell>
          <cell r="B180" t="str">
            <v>Puerto Rico (U.S.)</v>
          </cell>
          <cell r="C180">
            <v>26.04</v>
          </cell>
          <cell r="D180">
            <v>26.11</v>
          </cell>
          <cell r="E180">
            <v>26.16</v>
          </cell>
          <cell r="F180">
            <v>26.18</v>
          </cell>
          <cell r="G180">
            <v>26.17</v>
          </cell>
          <cell r="H180">
            <v>26.2</v>
          </cell>
        </row>
        <row r="181">
          <cell r="A181" t="str">
            <v>PRK</v>
          </cell>
          <cell r="B181" t="str">
            <v>D. P. R. of Korea</v>
          </cell>
          <cell r="C181">
            <v>7.99</v>
          </cell>
          <cell r="D181">
            <v>8.0399999999999991</v>
          </cell>
          <cell r="E181">
            <v>8.18</v>
          </cell>
          <cell r="F181">
            <v>8.35</v>
          </cell>
          <cell r="G181">
            <v>8.2200000000000006</v>
          </cell>
          <cell r="H181">
            <v>8.2200000000000006</v>
          </cell>
        </row>
        <row r="182">
          <cell r="A182" t="str">
            <v>PRT</v>
          </cell>
          <cell r="B182" t="str">
            <v>Portugal</v>
          </cell>
          <cell r="C182">
            <v>15.88</v>
          </cell>
          <cell r="D182">
            <v>15.98</v>
          </cell>
          <cell r="E182">
            <v>16</v>
          </cell>
          <cell r="F182">
            <v>16.04</v>
          </cell>
          <cell r="G182">
            <v>16.079999999999998</v>
          </cell>
          <cell r="H182">
            <v>16.09</v>
          </cell>
        </row>
        <row r="183">
          <cell r="A183" t="str">
            <v>PRY</v>
          </cell>
          <cell r="B183" t="str">
            <v>Paraguay</v>
          </cell>
          <cell r="C183">
            <v>24.84</v>
          </cell>
          <cell r="D183">
            <v>24.9</v>
          </cell>
          <cell r="E183">
            <v>24.88</v>
          </cell>
          <cell r="F183">
            <v>24.9</v>
          </cell>
          <cell r="G183">
            <v>25.05</v>
          </cell>
          <cell r="H183">
            <v>24.97</v>
          </cell>
        </row>
        <row r="184">
          <cell r="A184" t="str">
            <v>PSE</v>
          </cell>
          <cell r="B184" t="str">
            <v>West Bank and Gaza</v>
          </cell>
          <cell r="C184">
            <v>20.93</v>
          </cell>
          <cell r="D184">
            <v>20.95</v>
          </cell>
          <cell r="E184">
            <v>21.01</v>
          </cell>
          <cell r="F184">
            <v>21.01</v>
          </cell>
          <cell r="G184">
            <v>21.06</v>
          </cell>
          <cell r="H184">
            <v>21.2</v>
          </cell>
        </row>
        <row r="185">
          <cell r="A185" t="str">
            <v>PYF</v>
          </cell>
          <cell r="B185" t="str">
            <v>French Polynesia (Fr.)</v>
          </cell>
          <cell r="C185">
            <v>25.91</v>
          </cell>
          <cell r="D185">
            <v>25.93</v>
          </cell>
          <cell r="E185">
            <v>25.94</v>
          </cell>
          <cell r="F185">
            <v>25.94</v>
          </cell>
          <cell r="G185">
            <v>26.03</v>
          </cell>
          <cell r="H185">
            <v>26.01</v>
          </cell>
        </row>
        <row r="186">
          <cell r="A186" t="str">
            <v>QAT</v>
          </cell>
          <cell r="B186" t="str">
            <v>Qatar</v>
          </cell>
          <cell r="C186">
            <v>27.84</v>
          </cell>
          <cell r="D186">
            <v>27.93</v>
          </cell>
          <cell r="E186">
            <v>27.99</v>
          </cell>
          <cell r="F186">
            <v>28.01</v>
          </cell>
          <cell r="G186">
            <v>28.05</v>
          </cell>
          <cell r="H186">
            <v>28.09</v>
          </cell>
        </row>
        <row r="187">
          <cell r="A187" t="str">
            <v>REU</v>
          </cell>
          <cell r="B187" t="str">
            <v>REU</v>
          </cell>
          <cell r="C187">
            <v>21.09</v>
          </cell>
          <cell r="D187">
            <v>21.1</v>
          </cell>
          <cell r="E187">
            <v>21.2</v>
          </cell>
          <cell r="F187">
            <v>21.21</v>
          </cell>
          <cell r="G187">
            <v>21.21</v>
          </cell>
          <cell r="H187">
            <v>21.22</v>
          </cell>
        </row>
        <row r="188">
          <cell r="A188" t="str">
            <v>ROU</v>
          </cell>
          <cell r="B188" t="str">
            <v>Romania</v>
          </cell>
          <cell r="C188">
            <v>10.77</v>
          </cell>
          <cell r="D188">
            <v>10.93</v>
          </cell>
          <cell r="E188">
            <v>10.97</v>
          </cell>
          <cell r="F188">
            <v>11.01</v>
          </cell>
          <cell r="G188">
            <v>11</v>
          </cell>
          <cell r="H188">
            <v>11.06</v>
          </cell>
        </row>
        <row r="189">
          <cell r="A189" t="str">
            <v>RUS</v>
          </cell>
          <cell r="B189" t="str">
            <v>Russian Federation</v>
          </cell>
          <cell r="C189">
            <v>-2.92</v>
          </cell>
          <cell r="D189">
            <v>-2.73</v>
          </cell>
          <cell r="E189">
            <v>-2.56</v>
          </cell>
          <cell r="F189">
            <v>-2.71</v>
          </cell>
          <cell r="G189">
            <v>-2.74</v>
          </cell>
          <cell r="H189">
            <v>-2.63</v>
          </cell>
        </row>
        <row r="190">
          <cell r="A190" t="str">
            <v>RWA</v>
          </cell>
          <cell r="B190" t="str">
            <v>Rwanda</v>
          </cell>
          <cell r="C190">
            <v>19.989999999999998</v>
          </cell>
          <cell r="D190">
            <v>19.97</v>
          </cell>
          <cell r="E190">
            <v>19.97</v>
          </cell>
          <cell r="F190">
            <v>20.010000000000002</v>
          </cell>
          <cell r="G190">
            <v>20.11</v>
          </cell>
          <cell r="H190">
            <v>20.13</v>
          </cell>
        </row>
        <row r="191">
          <cell r="A191" t="str">
            <v>SAU</v>
          </cell>
          <cell r="B191" t="str">
            <v>Saudi Arabia</v>
          </cell>
          <cell r="C191">
            <v>26.04</v>
          </cell>
          <cell r="D191">
            <v>26.09</v>
          </cell>
          <cell r="E191">
            <v>26.17</v>
          </cell>
          <cell r="F191">
            <v>26.2</v>
          </cell>
          <cell r="G191">
            <v>26.26</v>
          </cell>
          <cell r="H191">
            <v>26.33</v>
          </cell>
        </row>
        <row r="192">
          <cell r="A192" t="str">
            <v>SDN</v>
          </cell>
          <cell r="B192" t="str">
            <v>Sudan</v>
          </cell>
          <cell r="C192">
            <v>27.67</v>
          </cell>
          <cell r="D192">
            <v>27.76</v>
          </cell>
          <cell r="E192">
            <v>27.81</v>
          </cell>
          <cell r="F192">
            <v>27.77</v>
          </cell>
          <cell r="G192">
            <v>27.93</v>
          </cell>
          <cell r="H192">
            <v>27.91</v>
          </cell>
        </row>
        <row r="193">
          <cell r="A193" t="str">
            <v>SEN</v>
          </cell>
          <cell r="B193" t="str">
            <v>Senegal</v>
          </cell>
          <cell r="C193">
            <v>29.43</v>
          </cell>
          <cell r="D193">
            <v>29.51</v>
          </cell>
          <cell r="E193">
            <v>29.61</v>
          </cell>
          <cell r="F193">
            <v>29.58</v>
          </cell>
          <cell r="G193">
            <v>29.65</v>
          </cell>
          <cell r="H193">
            <v>29.63</v>
          </cell>
        </row>
        <row r="194">
          <cell r="A194" t="str">
            <v>SGP</v>
          </cell>
          <cell r="B194" t="str">
            <v>Singapore</v>
          </cell>
          <cell r="C194">
            <v>27.39</v>
          </cell>
          <cell r="D194">
            <v>27.44</v>
          </cell>
          <cell r="E194">
            <v>27.43</v>
          </cell>
          <cell r="F194">
            <v>27.45</v>
          </cell>
          <cell r="G194">
            <v>27.49</v>
          </cell>
          <cell r="H194">
            <v>27.46</v>
          </cell>
        </row>
        <row r="195">
          <cell r="A195" t="str">
            <v>SHN</v>
          </cell>
          <cell r="B195" t="str">
            <v>Saint Helena, Ascension and Tristan da Cunha (U.K.)</v>
          </cell>
          <cell r="C195">
            <v>19.04</v>
          </cell>
          <cell r="D195">
            <v>19.100000000000001</v>
          </cell>
          <cell r="E195">
            <v>19.12</v>
          </cell>
          <cell r="F195">
            <v>19.11</v>
          </cell>
          <cell r="G195">
            <v>19.16</v>
          </cell>
          <cell r="H195">
            <v>19.170000000000002</v>
          </cell>
        </row>
        <row r="196">
          <cell r="A196" t="str">
            <v>SJM</v>
          </cell>
          <cell r="B196" t="str">
            <v>Svalbard and Jan Mayen (Nor.)</v>
          </cell>
          <cell r="C196">
            <v>-7.29</v>
          </cell>
          <cell r="D196">
            <v>-7.08</v>
          </cell>
          <cell r="E196">
            <v>-6.87</v>
          </cell>
          <cell r="F196">
            <v>-6.8</v>
          </cell>
          <cell r="G196">
            <v>-7.01</v>
          </cell>
          <cell r="H196">
            <v>-6.84</v>
          </cell>
        </row>
        <row r="197">
          <cell r="A197" t="str">
            <v>SLB</v>
          </cell>
          <cell r="B197" t="str">
            <v>Solomon Islands</v>
          </cell>
          <cell r="C197">
            <v>26.66</v>
          </cell>
          <cell r="D197">
            <v>26.67</v>
          </cell>
          <cell r="E197">
            <v>26.69</v>
          </cell>
          <cell r="F197">
            <v>26.73</v>
          </cell>
          <cell r="G197">
            <v>26.73</v>
          </cell>
          <cell r="H197">
            <v>26.73</v>
          </cell>
        </row>
        <row r="198">
          <cell r="A198" t="str">
            <v>SLE</v>
          </cell>
          <cell r="B198" t="str">
            <v>Sierra Leone</v>
          </cell>
          <cell r="C198">
            <v>26.83</v>
          </cell>
          <cell r="D198">
            <v>26.87</v>
          </cell>
          <cell r="E198">
            <v>26.9</v>
          </cell>
          <cell r="F198">
            <v>26.92</v>
          </cell>
          <cell r="G198">
            <v>26.99</v>
          </cell>
          <cell r="H198">
            <v>26.97</v>
          </cell>
        </row>
        <row r="199">
          <cell r="A199" t="str">
            <v>SLV</v>
          </cell>
          <cell r="B199" t="str">
            <v>El Salvador</v>
          </cell>
          <cell r="C199">
            <v>26.8</v>
          </cell>
          <cell r="D199">
            <v>26.85</v>
          </cell>
          <cell r="E199">
            <v>26.85</v>
          </cell>
          <cell r="F199">
            <v>26.9</v>
          </cell>
          <cell r="G199">
            <v>26.9</v>
          </cell>
          <cell r="H199">
            <v>26.89</v>
          </cell>
        </row>
        <row r="200">
          <cell r="A200" t="str">
            <v>SMR</v>
          </cell>
          <cell r="B200" t="str">
            <v>San Marino</v>
          </cell>
          <cell r="C200">
            <v>15.45</v>
          </cell>
          <cell r="D200">
            <v>15.64</v>
          </cell>
          <cell r="E200">
            <v>15.72</v>
          </cell>
          <cell r="F200">
            <v>15.62</v>
          </cell>
          <cell r="G200">
            <v>15.68</v>
          </cell>
          <cell r="H200">
            <v>15.72</v>
          </cell>
        </row>
        <row r="201">
          <cell r="A201" t="str">
            <v>SOM</v>
          </cell>
          <cell r="B201" t="str">
            <v>Somalia</v>
          </cell>
          <cell r="C201">
            <v>27.41</v>
          </cell>
          <cell r="D201">
            <v>27.4</v>
          </cell>
          <cell r="E201">
            <v>27.45</v>
          </cell>
          <cell r="F201">
            <v>27.54</v>
          </cell>
          <cell r="G201">
            <v>27.55</v>
          </cell>
          <cell r="H201">
            <v>27.53</v>
          </cell>
        </row>
        <row r="202">
          <cell r="A202" t="str">
            <v>SPM</v>
          </cell>
          <cell r="B202" t="str">
            <v>Saint-Pierre-et-Miquelon (Fr.)</v>
          </cell>
          <cell r="C202">
            <v>6.68</v>
          </cell>
          <cell r="D202">
            <v>6.72</v>
          </cell>
          <cell r="E202">
            <v>6.87</v>
          </cell>
          <cell r="F202">
            <v>6.92</v>
          </cell>
          <cell r="G202">
            <v>6.91</v>
          </cell>
          <cell r="H202">
            <v>7</v>
          </cell>
        </row>
        <row r="203">
          <cell r="A203" t="str">
            <v>SRB</v>
          </cell>
          <cell r="B203" t="str">
            <v>Serbia</v>
          </cell>
          <cell r="C203">
            <v>11.96</v>
          </cell>
          <cell r="D203">
            <v>12.16</v>
          </cell>
          <cell r="E203">
            <v>12.18</v>
          </cell>
          <cell r="F203">
            <v>12.25</v>
          </cell>
          <cell r="G203">
            <v>12.23</v>
          </cell>
          <cell r="H203">
            <v>12.25</v>
          </cell>
        </row>
        <row r="204">
          <cell r="A204" t="str">
            <v>SSD</v>
          </cell>
          <cell r="B204" t="str">
            <v>South Sudan</v>
          </cell>
          <cell r="C204">
            <v>28.2</v>
          </cell>
          <cell r="D204">
            <v>28.2</v>
          </cell>
          <cell r="E204">
            <v>28.15</v>
          </cell>
          <cell r="F204">
            <v>28.24</v>
          </cell>
          <cell r="G204">
            <v>28.38</v>
          </cell>
          <cell r="H204">
            <v>28.29</v>
          </cell>
        </row>
        <row r="205">
          <cell r="A205" t="str">
            <v>STP</v>
          </cell>
          <cell r="B205" t="str">
            <v>São Tomé and Príncipe</v>
          </cell>
          <cell r="C205">
            <v>25.92</v>
          </cell>
          <cell r="D205">
            <v>25.95</v>
          </cell>
          <cell r="E205">
            <v>25.94</v>
          </cell>
          <cell r="F205">
            <v>25.99</v>
          </cell>
          <cell r="G205">
            <v>26.05</v>
          </cell>
          <cell r="H205">
            <v>26</v>
          </cell>
        </row>
        <row r="206">
          <cell r="A206" t="str">
            <v>SUR</v>
          </cell>
          <cell r="B206" t="str">
            <v>Suriname</v>
          </cell>
          <cell r="C206">
            <v>27.05</v>
          </cell>
          <cell r="D206">
            <v>27.11</v>
          </cell>
          <cell r="E206">
            <v>27.22</v>
          </cell>
          <cell r="F206">
            <v>27.24</v>
          </cell>
          <cell r="G206">
            <v>27.22</v>
          </cell>
          <cell r="H206">
            <v>27.22</v>
          </cell>
        </row>
        <row r="207">
          <cell r="A207" t="str">
            <v>SVK</v>
          </cell>
          <cell r="B207" t="str">
            <v>Slovak Republic</v>
          </cell>
          <cell r="C207">
            <v>9.39</v>
          </cell>
          <cell r="D207">
            <v>9.4600000000000009</v>
          </cell>
          <cell r="E207">
            <v>9.59</v>
          </cell>
          <cell r="F207">
            <v>9.49</v>
          </cell>
          <cell r="G207">
            <v>9.52</v>
          </cell>
          <cell r="H207">
            <v>9.56</v>
          </cell>
        </row>
        <row r="208">
          <cell r="A208" t="str">
            <v>SVN</v>
          </cell>
          <cell r="B208" t="str">
            <v>Slovenia</v>
          </cell>
          <cell r="C208">
            <v>10.7</v>
          </cell>
          <cell r="D208">
            <v>10.78</v>
          </cell>
          <cell r="E208">
            <v>10.9</v>
          </cell>
          <cell r="F208">
            <v>10.83</v>
          </cell>
          <cell r="G208">
            <v>10.84</v>
          </cell>
          <cell r="H208">
            <v>10.87</v>
          </cell>
        </row>
        <row r="209">
          <cell r="A209" t="str">
            <v>SWE</v>
          </cell>
          <cell r="B209" t="str">
            <v>Sweden</v>
          </cell>
          <cell r="C209">
            <v>4.1399999999999997</v>
          </cell>
          <cell r="D209">
            <v>4.26</v>
          </cell>
          <cell r="E209">
            <v>4.47</v>
          </cell>
          <cell r="F209">
            <v>4.34</v>
          </cell>
          <cell r="G209">
            <v>4.3600000000000003</v>
          </cell>
          <cell r="H209">
            <v>4.3600000000000003</v>
          </cell>
        </row>
        <row r="210">
          <cell r="A210" t="str">
            <v>SWZ</v>
          </cell>
          <cell r="B210" t="str">
            <v>Eswatini</v>
          </cell>
          <cell r="C210">
            <v>20.85</v>
          </cell>
          <cell r="D210">
            <v>20.83</v>
          </cell>
          <cell r="E210">
            <v>20.91</v>
          </cell>
          <cell r="F210">
            <v>20.96</v>
          </cell>
          <cell r="G210">
            <v>20.97</v>
          </cell>
          <cell r="H210">
            <v>20.99</v>
          </cell>
        </row>
        <row r="211">
          <cell r="A211" t="str">
            <v>SXM</v>
          </cell>
          <cell r="B211" t="str">
            <v>Sint Maarten (Neth.)</v>
          </cell>
          <cell r="C211">
            <v>26.43</v>
          </cell>
          <cell r="D211">
            <v>26.51</v>
          </cell>
          <cell r="E211">
            <v>26.55</v>
          </cell>
          <cell r="F211">
            <v>26.57</v>
          </cell>
          <cell r="G211">
            <v>26.61</v>
          </cell>
          <cell r="H211">
            <v>26.6</v>
          </cell>
        </row>
        <row r="212">
          <cell r="A212" t="str">
            <v>SYC</v>
          </cell>
          <cell r="B212" t="str">
            <v>Seychelles</v>
          </cell>
          <cell r="C212">
            <v>26.48</v>
          </cell>
          <cell r="D212">
            <v>26.54</v>
          </cell>
          <cell r="E212">
            <v>26.56</v>
          </cell>
          <cell r="F212">
            <v>26.6</v>
          </cell>
          <cell r="G212">
            <v>26.63</v>
          </cell>
          <cell r="H212">
            <v>26.61</v>
          </cell>
        </row>
        <row r="213">
          <cell r="A213" t="str">
            <v>SYR</v>
          </cell>
          <cell r="B213" t="str">
            <v>Syrian Arab Republic</v>
          </cell>
          <cell r="C213">
            <v>19.600000000000001</v>
          </cell>
          <cell r="D213">
            <v>19.68</v>
          </cell>
          <cell r="E213">
            <v>19.760000000000002</v>
          </cell>
          <cell r="F213">
            <v>19.760000000000002</v>
          </cell>
          <cell r="G213">
            <v>19.87</v>
          </cell>
          <cell r="H213">
            <v>19.920000000000002</v>
          </cell>
        </row>
        <row r="214">
          <cell r="A214" t="str">
            <v>TCA</v>
          </cell>
          <cell r="B214" t="str">
            <v>Turks and Caicos Islands (U.K.)</v>
          </cell>
          <cell r="C214">
            <v>26.36</v>
          </cell>
          <cell r="D214">
            <v>26.41</v>
          </cell>
          <cell r="E214">
            <v>26.42</v>
          </cell>
          <cell r="F214">
            <v>26.43</v>
          </cell>
          <cell r="G214">
            <v>26.46</v>
          </cell>
          <cell r="H214">
            <v>26.42</v>
          </cell>
        </row>
        <row r="215">
          <cell r="A215" t="str">
            <v>TCD</v>
          </cell>
          <cell r="B215" t="str">
            <v>Chad</v>
          </cell>
          <cell r="C215">
            <v>27.59</v>
          </cell>
          <cell r="D215">
            <v>27.66</v>
          </cell>
          <cell r="E215">
            <v>27.7</v>
          </cell>
          <cell r="F215">
            <v>27.65</v>
          </cell>
          <cell r="G215">
            <v>27.83</v>
          </cell>
          <cell r="H215">
            <v>27.78</v>
          </cell>
        </row>
        <row r="216">
          <cell r="A216" t="str">
            <v>TGO</v>
          </cell>
          <cell r="B216" t="str">
            <v>Togo</v>
          </cell>
          <cell r="C216">
            <v>27.6</v>
          </cell>
          <cell r="D216">
            <v>27.57</v>
          </cell>
          <cell r="E216">
            <v>27.65</v>
          </cell>
          <cell r="F216">
            <v>27.66</v>
          </cell>
          <cell r="G216">
            <v>27.74</v>
          </cell>
          <cell r="H216">
            <v>27.71</v>
          </cell>
        </row>
        <row r="217">
          <cell r="A217" t="str">
            <v>THA</v>
          </cell>
          <cell r="B217" t="str">
            <v>Thailand</v>
          </cell>
          <cell r="C217">
            <v>27.1</v>
          </cell>
          <cell r="D217">
            <v>27.16</v>
          </cell>
          <cell r="E217">
            <v>27.17</v>
          </cell>
          <cell r="F217">
            <v>27.18</v>
          </cell>
          <cell r="G217">
            <v>27.22</v>
          </cell>
          <cell r="H217">
            <v>27.22</v>
          </cell>
        </row>
        <row r="218">
          <cell r="A218" t="str">
            <v>TJK</v>
          </cell>
          <cell r="B218" t="str">
            <v>Tajikistan</v>
          </cell>
          <cell r="C218">
            <v>0.82</v>
          </cell>
          <cell r="D218">
            <v>0.82</v>
          </cell>
          <cell r="E218">
            <v>0.85</v>
          </cell>
          <cell r="F218">
            <v>0.9</v>
          </cell>
          <cell r="G218">
            <v>0.92</v>
          </cell>
          <cell r="H218">
            <v>0.99</v>
          </cell>
        </row>
        <row r="219">
          <cell r="A219" t="str">
            <v>TKL</v>
          </cell>
          <cell r="B219" t="str">
            <v>Tokelau (N.Z.)</v>
          </cell>
          <cell r="C219">
            <v>27.53</v>
          </cell>
          <cell r="D219">
            <v>27.55</v>
          </cell>
          <cell r="E219">
            <v>27.55</v>
          </cell>
          <cell r="F219">
            <v>27.61</v>
          </cell>
          <cell r="G219">
            <v>27.61</v>
          </cell>
          <cell r="H219">
            <v>27.63</v>
          </cell>
        </row>
        <row r="220">
          <cell r="A220" t="str">
            <v>TKM</v>
          </cell>
          <cell r="B220" t="str">
            <v>Turkmenistan</v>
          </cell>
          <cell r="C220">
            <v>17.149999999999999</v>
          </cell>
          <cell r="D220">
            <v>17.18</v>
          </cell>
          <cell r="E220">
            <v>17.32</v>
          </cell>
          <cell r="F220">
            <v>17.18</v>
          </cell>
          <cell r="G220">
            <v>17.37</v>
          </cell>
          <cell r="H220">
            <v>17.34</v>
          </cell>
        </row>
        <row r="221">
          <cell r="A221" t="str">
            <v>TLS</v>
          </cell>
          <cell r="B221" t="str">
            <v>Timor-Leste</v>
          </cell>
          <cell r="C221">
            <v>25.21</v>
          </cell>
          <cell r="D221">
            <v>25.22</v>
          </cell>
          <cell r="E221">
            <v>25.26</v>
          </cell>
          <cell r="F221">
            <v>25.3</v>
          </cell>
          <cell r="G221">
            <v>25.31</v>
          </cell>
          <cell r="H221">
            <v>25.34</v>
          </cell>
        </row>
        <row r="222">
          <cell r="A222" t="str">
            <v>TON</v>
          </cell>
          <cell r="B222" t="str">
            <v>Tonga</v>
          </cell>
          <cell r="C222">
            <v>24.97</v>
          </cell>
          <cell r="D222">
            <v>24.97</v>
          </cell>
          <cell r="E222">
            <v>25.03</v>
          </cell>
          <cell r="F222">
            <v>25.07</v>
          </cell>
          <cell r="G222">
            <v>25.11</v>
          </cell>
          <cell r="H222">
            <v>25.11</v>
          </cell>
        </row>
        <row r="223">
          <cell r="A223" t="str">
            <v>TTO</v>
          </cell>
          <cell r="B223" t="str">
            <v>Trinidad and Tobago</v>
          </cell>
          <cell r="C223">
            <v>26.81</v>
          </cell>
          <cell r="D223">
            <v>26.82</v>
          </cell>
          <cell r="E223">
            <v>26.89</v>
          </cell>
          <cell r="F223">
            <v>26.9</v>
          </cell>
          <cell r="G223">
            <v>26.91</v>
          </cell>
          <cell r="H223">
            <v>26.92</v>
          </cell>
        </row>
        <row r="224">
          <cell r="A224" t="str">
            <v>TUN</v>
          </cell>
          <cell r="B224" t="str">
            <v>Tunisia</v>
          </cell>
          <cell r="C224">
            <v>20.83</v>
          </cell>
          <cell r="D224">
            <v>20.9</v>
          </cell>
          <cell r="E224">
            <v>20.99</v>
          </cell>
          <cell r="F224">
            <v>20.98</v>
          </cell>
          <cell r="G224">
            <v>20.96</v>
          </cell>
          <cell r="H224">
            <v>21.02</v>
          </cell>
        </row>
        <row r="225">
          <cell r="A225" t="str">
            <v>TUR</v>
          </cell>
          <cell r="B225" t="str">
            <v>Türkiye</v>
          </cell>
          <cell r="C225">
            <v>12.28</v>
          </cell>
          <cell r="D225">
            <v>12.44</v>
          </cell>
          <cell r="E225">
            <v>12.5</v>
          </cell>
          <cell r="F225">
            <v>12.48</v>
          </cell>
          <cell r="G225">
            <v>12.59</v>
          </cell>
          <cell r="H225">
            <v>12.66</v>
          </cell>
        </row>
        <row r="226">
          <cell r="A226" t="str">
            <v>TUV</v>
          </cell>
          <cell r="B226" t="str">
            <v>Tuvalu</v>
          </cell>
          <cell r="C226">
            <v>27.61</v>
          </cell>
          <cell r="D226">
            <v>27.67</v>
          </cell>
          <cell r="E226">
            <v>27.66</v>
          </cell>
          <cell r="F226">
            <v>27.72</v>
          </cell>
          <cell r="G226">
            <v>27.72</v>
          </cell>
          <cell r="H226">
            <v>27.72</v>
          </cell>
        </row>
        <row r="227">
          <cell r="A227" t="str">
            <v>TWN</v>
          </cell>
          <cell r="B227" t="str">
            <v>TWN</v>
          </cell>
          <cell r="C227">
            <v>20.83</v>
          </cell>
          <cell r="D227">
            <v>20.85</v>
          </cell>
          <cell r="E227">
            <v>20.88</v>
          </cell>
          <cell r="F227">
            <v>20.99</v>
          </cell>
          <cell r="G227">
            <v>20.96</v>
          </cell>
          <cell r="H227">
            <v>20.99</v>
          </cell>
        </row>
        <row r="228">
          <cell r="A228" t="str">
            <v>TZA</v>
          </cell>
          <cell r="B228" t="str">
            <v>Tanzania</v>
          </cell>
          <cell r="C228">
            <v>23.42</v>
          </cell>
          <cell r="D228">
            <v>23.43</v>
          </cell>
          <cell r="E228">
            <v>23.46</v>
          </cell>
          <cell r="F228">
            <v>23.49</v>
          </cell>
          <cell r="G228">
            <v>23.56</v>
          </cell>
          <cell r="H228">
            <v>23.55</v>
          </cell>
        </row>
        <row r="229">
          <cell r="A229" t="str">
            <v>UGA</v>
          </cell>
          <cell r="B229" t="str">
            <v>Uganda</v>
          </cell>
          <cell r="C229">
            <v>23.59</v>
          </cell>
          <cell r="D229">
            <v>23.56</v>
          </cell>
          <cell r="E229">
            <v>23.56</v>
          </cell>
          <cell r="F229">
            <v>23.63</v>
          </cell>
          <cell r="G229">
            <v>23.72</v>
          </cell>
          <cell r="H229">
            <v>23.71</v>
          </cell>
        </row>
        <row r="230">
          <cell r="A230" t="str">
            <v>UKR</v>
          </cell>
          <cell r="B230" t="str">
            <v>Ukraine</v>
          </cell>
          <cell r="C230">
            <v>9.73</v>
          </cell>
          <cell r="D230">
            <v>9.93</v>
          </cell>
          <cell r="E230">
            <v>10.039999999999999</v>
          </cell>
          <cell r="F230">
            <v>9.93</v>
          </cell>
          <cell r="G230">
            <v>9.8800000000000008</v>
          </cell>
          <cell r="H230">
            <v>9.99</v>
          </cell>
        </row>
        <row r="231">
          <cell r="A231" t="str">
            <v>UMI</v>
          </cell>
          <cell r="B231" t="str">
            <v>U.S. Minor Outlying Islands</v>
          </cell>
          <cell r="C231">
            <v>25.61</v>
          </cell>
          <cell r="D231">
            <v>25.63</v>
          </cell>
          <cell r="E231">
            <v>25.63</v>
          </cell>
          <cell r="F231">
            <v>25.67</v>
          </cell>
          <cell r="G231">
            <v>25.7</v>
          </cell>
          <cell r="H231">
            <v>25.69</v>
          </cell>
        </row>
        <row r="232">
          <cell r="A232" t="str">
            <v>URY</v>
          </cell>
          <cell r="B232" t="str">
            <v>Uruguay</v>
          </cell>
          <cell r="C232">
            <v>18.079999999999998</v>
          </cell>
          <cell r="D232">
            <v>18.07</v>
          </cell>
          <cell r="E232">
            <v>18.13</v>
          </cell>
          <cell r="F232">
            <v>18.100000000000001</v>
          </cell>
          <cell r="G232">
            <v>18.100000000000001</v>
          </cell>
          <cell r="H232">
            <v>18.190000000000001</v>
          </cell>
        </row>
        <row r="233">
          <cell r="A233" t="str">
            <v>USA</v>
          </cell>
          <cell r="B233" t="str">
            <v>United States of America</v>
          </cell>
          <cell r="C233">
            <v>10.9</v>
          </cell>
          <cell r="D233">
            <v>10.95</v>
          </cell>
          <cell r="E233">
            <v>11.06</v>
          </cell>
          <cell r="F233">
            <v>11</v>
          </cell>
          <cell r="G233">
            <v>11.12</v>
          </cell>
          <cell r="H233">
            <v>11.17</v>
          </cell>
        </row>
        <row r="234">
          <cell r="A234" t="str">
            <v>UZB</v>
          </cell>
          <cell r="B234" t="str">
            <v>Uzbekistan</v>
          </cell>
          <cell r="C234">
            <v>14</v>
          </cell>
          <cell r="D234">
            <v>13.99</v>
          </cell>
          <cell r="E234">
            <v>14.19</v>
          </cell>
          <cell r="F234">
            <v>14.02</v>
          </cell>
          <cell r="G234">
            <v>14.2</v>
          </cell>
          <cell r="H234">
            <v>14.16</v>
          </cell>
        </row>
        <row r="235">
          <cell r="A235" t="str">
            <v>VAT</v>
          </cell>
          <cell r="B235" t="str">
            <v>Vatican City</v>
          </cell>
          <cell r="C235">
            <v>16.22</v>
          </cell>
          <cell r="D235">
            <v>16.39</v>
          </cell>
          <cell r="E235">
            <v>16.510000000000002</v>
          </cell>
          <cell r="F235">
            <v>16.440000000000001</v>
          </cell>
          <cell r="G235">
            <v>16.48</v>
          </cell>
          <cell r="H235">
            <v>16.53</v>
          </cell>
        </row>
        <row r="236">
          <cell r="A236" t="str">
            <v>VCT</v>
          </cell>
          <cell r="B236" t="str">
            <v>Saint Vincent and the Grenadines</v>
          </cell>
          <cell r="C236">
            <v>26.67</v>
          </cell>
          <cell r="D236">
            <v>26.73</v>
          </cell>
          <cell r="E236">
            <v>26.72</v>
          </cell>
          <cell r="F236">
            <v>26.75</v>
          </cell>
          <cell r="G236">
            <v>26.77</v>
          </cell>
          <cell r="H236">
            <v>26.79</v>
          </cell>
        </row>
        <row r="237">
          <cell r="A237" t="str">
            <v>VEN</v>
          </cell>
          <cell r="B237" t="str">
            <v>R. B. de Venezuela</v>
          </cell>
          <cell r="C237">
            <v>26.47</v>
          </cell>
          <cell r="D237">
            <v>26.52</v>
          </cell>
          <cell r="E237">
            <v>26.6</v>
          </cell>
          <cell r="F237">
            <v>26.59</v>
          </cell>
          <cell r="G237">
            <v>26.64</v>
          </cell>
          <cell r="H237">
            <v>26.62</v>
          </cell>
        </row>
        <row r="238">
          <cell r="A238" t="str">
            <v>VGB</v>
          </cell>
          <cell r="B238" t="str">
            <v>British Virgin Islands (U.K.)</v>
          </cell>
          <cell r="C238">
            <v>26.45</v>
          </cell>
          <cell r="D238">
            <v>26.53</v>
          </cell>
          <cell r="E238">
            <v>26.57</v>
          </cell>
          <cell r="F238">
            <v>26.58</v>
          </cell>
          <cell r="G238">
            <v>26.61</v>
          </cell>
          <cell r="H238">
            <v>26.6</v>
          </cell>
        </row>
        <row r="239">
          <cell r="A239" t="str">
            <v>VIR</v>
          </cell>
          <cell r="B239" t="str">
            <v>United States Virgin Islands (U.S.)</v>
          </cell>
          <cell r="C239">
            <v>26.57</v>
          </cell>
          <cell r="D239">
            <v>26.66</v>
          </cell>
          <cell r="E239">
            <v>26.69</v>
          </cell>
          <cell r="F239">
            <v>26.72</v>
          </cell>
          <cell r="G239">
            <v>26.74</v>
          </cell>
          <cell r="H239">
            <v>26.73</v>
          </cell>
        </row>
        <row r="240">
          <cell r="A240" t="str">
            <v>VNM</v>
          </cell>
          <cell r="B240" t="str">
            <v>Vietnam</v>
          </cell>
          <cell r="C240">
            <v>24.61</v>
          </cell>
          <cell r="D240">
            <v>24.65</v>
          </cell>
          <cell r="E240">
            <v>24.66</v>
          </cell>
          <cell r="F240">
            <v>24.7</v>
          </cell>
          <cell r="G240">
            <v>24.76</v>
          </cell>
          <cell r="H240">
            <v>24.75</v>
          </cell>
        </row>
        <row r="241">
          <cell r="A241" t="str">
            <v>VUT</v>
          </cell>
          <cell r="B241" t="str">
            <v>Vanuatu</v>
          </cell>
          <cell r="C241">
            <v>25.48</v>
          </cell>
          <cell r="D241">
            <v>25.52</v>
          </cell>
          <cell r="E241">
            <v>25.55</v>
          </cell>
          <cell r="F241">
            <v>25.62</v>
          </cell>
          <cell r="G241">
            <v>25.58</v>
          </cell>
          <cell r="H241">
            <v>25.6</v>
          </cell>
        </row>
        <row r="242">
          <cell r="A242" t="str">
            <v>WLF</v>
          </cell>
          <cell r="B242" t="str">
            <v>Wallis and Futuna (Fr.)</v>
          </cell>
          <cell r="C242">
            <v>27.09</v>
          </cell>
          <cell r="D242">
            <v>27.12</v>
          </cell>
          <cell r="E242">
            <v>27.13</v>
          </cell>
          <cell r="F242">
            <v>27.16</v>
          </cell>
          <cell r="G242">
            <v>27.22</v>
          </cell>
          <cell r="H242">
            <v>27.23</v>
          </cell>
        </row>
        <row r="243">
          <cell r="A243" t="str">
            <v>WSM</v>
          </cell>
          <cell r="B243" t="str">
            <v>Samoa</v>
          </cell>
          <cell r="C243">
            <v>25.93</v>
          </cell>
          <cell r="D243">
            <v>25.95</v>
          </cell>
          <cell r="E243">
            <v>25.96</v>
          </cell>
          <cell r="F243">
            <v>25.97</v>
          </cell>
          <cell r="G243">
            <v>26.04</v>
          </cell>
          <cell r="H243">
            <v>26.05</v>
          </cell>
        </row>
        <row r="244">
          <cell r="A244" t="str">
            <v>YEM</v>
          </cell>
          <cell r="B244" t="str">
            <v>Republic of Yemen</v>
          </cell>
          <cell r="C244">
            <v>25.81</v>
          </cell>
          <cell r="D244">
            <v>25.84</v>
          </cell>
          <cell r="E244">
            <v>25.88</v>
          </cell>
          <cell r="F244">
            <v>25.94</v>
          </cell>
          <cell r="G244">
            <v>25.98</v>
          </cell>
          <cell r="H244">
            <v>26.01</v>
          </cell>
        </row>
        <row r="245">
          <cell r="A245" t="str">
            <v>ZAF</v>
          </cell>
          <cell r="B245" t="str">
            <v>South Africa</v>
          </cell>
          <cell r="C245">
            <v>18.760000000000002</v>
          </cell>
          <cell r="D245">
            <v>18.73</v>
          </cell>
          <cell r="E245">
            <v>18.84</v>
          </cell>
          <cell r="F245">
            <v>18.899999999999999</v>
          </cell>
          <cell r="G245">
            <v>18.91</v>
          </cell>
          <cell r="H245">
            <v>18.850000000000001</v>
          </cell>
        </row>
        <row r="246">
          <cell r="A246" t="str">
            <v>ZMB</v>
          </cell>
          <cell r="B246" t="str">
            <v>Zambia</v>
          </cell>
          <cell r="C246">
            <v>22.83</v>
          </cell>
          <cell r="D246">
            <v>22.86</v>
          </cell>
          <cell r="E246">
            <v>22.95</v>
          </cell>
          <cell r="F246">
            <v>22.99</v>
          </cell>
          <cell r="G246">
            <v>22.98</v>
          </cell>
          <cell r="H246">
            <v>22.99</v>
          </cell>
        </row>
        <row r="247">
          <cell r="A247" t="str">
            <v>ZWE</v>
          </cell>
          <cell r="B247" t="str">
            <v>Zimbabwe</v>
          </cell>
          <cell r="C247">
            <v>22.18</v>
          </cell>
          <cell r="D247">
            <v>22.12</v>
          </cell>
          <cell r="E247">
            <v>22.32</v>
          </cell>
          <cell r="F247">
            <v>22.3</v>
          </cell>
          <cell r="G247">
            <v>22.28</v>
          </cell>
          <cell r="H247">
            <v>22.32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Glossary"/>
      <sheetName val="Meta data"/>
      <sheetName val="Links"/>
    </sheetNames>
    <sheetDataSet>
      <sheetData sheetId="0">
        <row r="2">
          <cell r="B2" t="str">
            <v>AFG</v>
          </cell>
          <cell r="C2" t="str">
            <v>Afghanistan</v>
          </cell>
          <cell r="D2">
            <v>2024</v>
          </cell>
          <cell r="E2" t="str">
            <v>FLU_ALL</v>
          </cell>
          <cell r="F2" t="str">
            <v>Influenza all persons above ≥6 months (universal recommendation)</v>
          </cell>
          <cell r="G2" t="str">
            <v>ADMIN</v>
          </cell>
          <cell r="H2" t="str">
            <v>Administrative coverage</v>
          </cell>
          <cell r="I2"/>
          <cell r="J2"/>
          <cell r="K2"/>
        </row>
        <row r="3">
          <cell r="B3" t="str">
            <v>ALB</v>
          </cell>
          <cell r="C3" t="str">
            <v>Albania</v>
          </cell>
          <cell r="D3">
            <v>2024</v>
          </cell>
          <cell r="E3" t="str">
            <v>FLU_ALL</v>
          </cell>
          <cell r="F3" t="str">
            <v>Influenza all persons above ≥6 months (universal recommendation)</v>
          </cell>
          <cell r="G3" t="str">
            <v>ADMIN</v>
          </cell>
          <cell r="H3" t="str">
            <v>Administrative coverage</v>
          </cell>
          <cell r="I3"/>
          <cell r="J3"/>
          <cell r="K3"/>
        </row>
        <row r="4">
          <cell r="B4" t="str">
            <v>DZA</v>
          </cell>
          <cell r="C4" t="str">
            <v>Algeria</v>
          </cell>
          <cell r="D4">
            <v>2024</v>
          </cell>
          <cell r="E4" t="str">
            <v>FLU_ALL</v>
          </cell>
          <cell r="F4" t="str">
            <v>Influenza all persons above ≥6 months (universal recommendation)</v>
          </cell>
          <cell r="G4" t="str">
            <v>ADMIN</v>
          </cell>
          <cell r="H4" t="str">
            <v>Administrative coverage</v>
          </cell>
          <cell r="I4"/>
          <cell r="J4"/>
          <cell r="K4"/>
        </row>
        <row r="5">
          <cell r="B5" t="str">
            <v>AND</v>
          </cell>
          <cell r="C5" t="str">
            <v>Andorra</v>
          </cell>
          <cell r="D5">
            <v>2024</v>
          </cell>
          <cell r="E5" t="str">
            <v>FLU_ALL</v>
          </cell>
          <cell r="F5" t="str">
            <v>Influenza all persons above ≥6 months (universal recommendation)</v>
          </cell>
          <cell r="G5" t="str">
            <v>ADMIN</v>
          </cell>
          <cell r="H5" t="str">
            <v>Administrative coverage</v>
          </cell>
          <cell r="I5"/>
          <cell r="J5"/>
          <cell r="K5"/>
        </row>
        <row r="6">
          <cell r="B6" t="str">
            <v>AGO</v>
          </cell>
          <cell r="C6" t="str">
            <v>Angola</v>
          </cell>
          <cell r="D6">
            <v>2024</v>
          </cell>
          <cell r="E6" t="str">
            <v>FLU_ALL</v>
          </cell>
          <cell r="F6" t="str">
            <v>Influenza all persons above ≥6 months (universal recommendation)</v>
          </cell>
          <cell r="G6" t="str">
            <v>ADMIN</v>
          </cell>
          <cell r="H6" t="str">
            <v>Administrative coverage</v>
          </cell>
          <cell r="I6"/>
          <cell r="J6"/>
          <cell r="K6"/>
        </row>
        <row r="7">
          <cell r="B7" t="str">
            <v>AIA</v>
          </cell>
          <cell r="C7" t="str">
            <v>Anguilla</v>
          </cell>
          <cell r="D7">
            <v>2024</v>
          </cell>
          <cell r="E7" t="str">
            <v>FLU_ALL</v>
          </cell>
          <cell r="F7" t="str">
            <v>Influenza all persons above ≥6 months (universal recommendation)</v>
          </cell>
          <cell r="G7" t="str">
            <v>ADMIN</v>
          </cell>
          <cell r="H7" t="str">
            <v>Administrative coverage</v>
          </cell>
          <cell r="I7"/>
          <cell r="J7">
            <v>0</v>
          </cell>
          <cell r="K7"/>
        </row>
        <row r="8">
          <cell r="B8" t="str">
            <v>ATG</v>
          </cell>
          <cell r="C8" t="str">
            <v>Antigua and Barbuda</v>
          </cell>
          <cell r="D8">
            <v>2024</v>
          </cell>
          <cell r="E8" t="str">
            <v>FLU_ALL</v>
          </cell>
          <cell r="F8" t="str">
            <v>Influenza all persons above ≥6 months (universal recommendation)</v>
          </cell>
          <cell r="G8" t="str">
            <v>ADMIN</v>
          </cell>
          <cell r="H8" t="str">
            <v>Administrative coverage</v>
          </cell>
          <cell r="I8"/>
          <cell r="J8"/>
          <cell r="K8"/>
        </row>
        <row r="9">
          <cell r="B9" t="str">
            <v>ARG</v>
          </cell>
          <cell r="C9" t="str">
            <v>Argentina</v>
          </cell>
          <cell r="D9">
            <v>2024</v>
          </cell>
          <cell r="E9" t="str">
            <v>FLU_ALL</v>
          </cell>
          <cell r="F9" t="str">
            <v>Influenza all persons above ≥6 months (universal recommendation)</v>
          </cell>
          <cell r="G9" t="str">
            <v>ADMIN</v>
          </cell>
          <cell r="H9" t="str">
            <v>Administrative coverage</v>
          </cell>
          <cell r="I9"/>
          <cell r="J9"/>
          <cell r="K9"/>
        </row>
        <row r="10">
          <cell r="B10" t="str">
            <v>ARM</v>
          </cell>
          <cell r="C10" t="str">
            <v>Armenia</v>
          </cell>
          <cell r="D10">
            <v>2024</v>
          </cell>
          <cell r="E10" t="str">
            <v>FLU_ALL</v>
          </cell>
          <cell r="F10" t="str">
            <v>Influenza all persons above ≥6 months (universal recommendation)</v>
          </cell>
          <cell r="G10" t="str">
            <v>ADMIN</v>
          </cell>
          <cell r="H10" t="str">
            <v>Administrative coverage</v>
          </cell>
          <cell r="I10"/>
          <cell r="J10"/>
          <cell r="K10"/>
        </row>
        <row r="11">
          <cell r="B11" t="str">
            <v>ABW</v>
          </cell>
          <cell r="C11" t="str">
            <v>Aruba</v>
          </cell>
          <cell r="D11">
            <v>2024</v>
          </cell>
          <cell r="E11" t="str">
            <v>FLU_ALL</v>
          </cell>
          <cell r="F11" t="str">
            <v>Influenza all persons above ≥6 months (universal recommendation)</v>
          </cell>
          <cell r="G11" t="str">
            <v>ADMIN</v>
          </cell>
          <cell r="H11" t="str">
            <v>Administrative coverage</v>
          </cell>
          <cell r="I11"/>
          <cell r="J11"/>
          <cell r="K11"/>
        </row>
        <row r="12">
          <cell r="B12" t="str">
            <v>AUS</v>
          </cell>
          <cell r="C12" t="str">
            <v>Australia</v>
          </cell>
          <cell r="D12">
            <v>2024</v>
          </cell>
          <cell r="E12" t="str">
            <v>FLU_ALL</v>
          </cell>
          <cell r="F12" t="str">
            <v>Influenza all persons above ≥6 months (universal recommendation)</v>
          </cell>
          <cell r="G12" t="str">
            <v>ADMIN</v>
          </cell>
          <cell r="H12" t="str">
            <v>Administrative coverage</v>
          </cell>
          <cell r="I12"/>
          <cell r="J12"/>
          <cell r="K12"/>
        </row>
        <row r="13">
          <cell r="B13" t="str">
            <v>AUT</v>
          </cell>
          <cell r="C13" t="str">
            <v>Austria</v>
          </cell>
          <cell r="D13">
            <v>2024</v>
          </cell>
          <cell r="E13" t="str">
            <v>FLU_ALL</v>
          </cell>
          <cell r="F13" t="str">
            <v>Influenza all persons above ≥6 months (universal recommendation)</v>
          </cell>
          <cell r="G13" t="str">
            <v>ADMIN</v>
          </cell>
          <cell r="H13" t="str">
            <v>Administrative coverage</v>
          </cell>
          <cell r="I13"/>
          <cell r="J13"/>
          <cell r="K13"/>
        </row>
        <row r="14">
          <cell r="B14" t="str">
            <v>AZE</v>
          </cell>
          <cell r="C14" t="str">
            <v>Azerbaijan</v>
          </cell>
          <cell r="D14">
            <v>2024</v>
          </cell>
          <cell r="E14" t="str">
            <v>FLU_ALL</v>
          </cell>
          <cell r="F14" t="str">
            <v>Influenza all persons above ≥6 months (universal recommendation)</v>
          </cell>
          <cell r="G14" t="str">
            <v>ADMIN</v>
          </cell>
          <cell r="H14" t="str">
            <v>Administrative coverage</v>
          </cell>
          <cell r="I14"/>
          <cell r="J14"/>
          <cell r="K14"/>
        </row>
        <row r="15">
          <cell r="B15" t="str">
            <v>BHS</v>
          </cell>
          <cell r="C15" t="str">
            <v>Bahamas</v>
          </cell>
          <cell r="D15">
            <v>2024</v>
          </cell>
          <cell r="E15" t="str">
            <v>FLU_ALL</v>
          </cell>
          <cell r="F15" t="str">
            <v>Influenza all persons above ≥6 months (universal recommendation)</v>
          </cell>
          <cell r="G15" t="str">
            <v>ADMIN</v>
          </cell>
          <cell r="H15" t="str">
            <v>Administrative coverage</v>
          </cell>
          <cell r="I15"/>
          <cell r="J15">
            <v>5724</v>
          </cell>
          <cell r="K15"/>
        </row>
        <row r="16">
          <cell r="B16" t="str">
            <v>BHR</v>
          </cell>
          <cell r="C16" t="str">
            <v>Bahrain</v>
          </cell>
          <cell r="D16">
            <v>2024</v>
          </cell>
          <cell r="E16" t="str">
            <v>FLU_ALL</v>
          </cell>
          <cell r="F16" t="str">
            <v>Influenza all persons above ≥6 months (universal recommendation)</v>
          </cell>
          <cell r="G16" t="str">
            <v>ADMIN</v>
          </cell>
          <cell r="H16" t="str">
            <v>Administrative coverage</v>
          </cell>
          <cell r="I16"/>
          <cell r="J16"/>
          <cell r="K16"/>
        </row>
        <row r="17">
          <cell r="B17" t="str">
            <v>BGD</v>
          </cell>
          <cell r="C17" t="str">
            <v>Bangladesh</v>
          </cell>
          <cell r="D17">
            <v>2024</v>
          </cell>
          <cell r="E17" t="str">
            <v>FLU_ALL</v>
          </cell>
          <cell r="F17" t="str">
            <v>Influenza all persons above ≥6 months (universal recommendation)</v>
          </cell>
          <cell r="G17" t="str">
            <v>ADMIN</v>
          </cell>
          <cell r="H17" t="str">
            <v>Administrative coverage</v>
          </cell>
          <cell r="I17"/>
          <cell r="J17"/>
          <cell r="K17"/>
        </row>
        <row r="18">
          <cell r="B18" t="str">
            <v>BRB</v>
          </cell>
          <cell r="C18" t="str">
            <v>Barbados</v>
          </cell>
          <cell r="D18">
            <v>2024</v>
          </cell>
          <cell r="E18" t="str">
            <v>FLU_ALL</v>
          </cell>
          <cell r="F18" t="str">
            <v>Influenza all persons above ≥6 months (universal recommendation)</v>
          </cell>
          <cell r="G18" t="str">
            <v>ADMIN</v>
          </cell>
          <cell r="H18" t="str">
            <v>Administrative coverage</v>
          </cell>
          <cell r="I18"/>
          <cell r="J18"/>
          <cell r="K18"/>
        </row>
        <row r="19">
          <cell r="B19" t="str">
            <v>BLR</v>
          </cell>
          <cell r="C19" t="str">
            <v>Belarus</v>
          </cell>
          <cell r="D19">
            <v>2024</v>
          </cell>
          <cell r="E19" t="str">
            <v>FLU_ALL</v>
          </cell>
          <cell r="F19" t="str">
            <v>Influenza all persons above ≥6 months (universal recommendation)</v>
          </cell>
          <cell r="G19" t="str">
            <v>ADMIN</v>
          </cell>
          <cell r="H19" t="str">
            <v>Administrative coverage</v>
          </cell>
          <cell r="I19">
            <v>3984411</v>
          </cell>
          <cell r="J19">
            <v>230040</v>
          </cell>
          <cell r="K19">
            <v>5.77</v>
          </cell>
        </row>
        <row r="20">
          <cell r="B20" t="str">
            <v>BEL</v>
          </cell>
          <cell r="C20" t="str">
            <v>Belgium</v>
          </cell>
          <cell r="D20">
            <v>2024</v>
          </cell>
          <cell r="E20" t="str">
            <v>FLU_ALL</v>
          </cell>
          <cell r="F20" t="str">
            <v>Influenza all persons above ≥6 months (universal recommendation)</v>
          </cell>
          <cell r="G20" t="str">
            <v>ADMIN</v>
          </cell>
          <cell r="H20" t="str">
            <v>Administrative coverage</v>
          </cell>
          <cell r="I20"/>
          <cell r="J20"/>
          <cell r="K20"/>
        </row>
        <row r="21">
          <cell r="B21" t="str">
            <v>BLZ</v>
          </cell>
          <cell r="C21" t="str">
            <v>Belize</v>
          </cell>
          <cell r="D21">
            <v>2024</v>
          </cell>
          <cell r="E21" t="str">
            <v>FLU_ALL</v>
          </cell>
          <cell r="F21" t="str">
            <v>Influenza all persons above ≥6 months (universal recommendation)</v>
          </cell>
          <cell r="G21" t="str">
            <v>ADMIN</v>
          </cell>
          <cell r="H21" t="str">
            <v>Administrative coverage</v>
          </cell>
          <cell r="I21"/>
          <cell r="J21"/>
          <cell r="K21"/>
        </row>
        <row r="22">
          <cell r="B22" t="str">
            <v>BEN</v>
          </cell>
          <cell r="C22" t="str">
            <v>Benin</v>
          </cell>
          <cell r="D22">
            <v>2024</v>
          </cell>
          <cell r="E22" t="str">
            <v>FLU_ALL</v>
          </cell>
          <cell r="F22" t="str">
            <v>Influenza all persons above ≥6 months (universal recommendation)</v>
          </cell>
          <cell r="G22" t="str">
            <v>ADMIN</v>
          </cell>
          <cell r="H22" t="str">
            <v>Administrative coverage</v>
          </cell>
          <cell r="I22"/>
          <cell r="J22"/>
          <cell r="K22"/>
        </row>
        <row r="23">
          <cell r="B23" t="str">
            <v>BMU</v>
          </cell>
          <cell r="C23" t="str">
            <v>Bermuda</v>
          </cell>
          <cell r="D23">
            <v>2024</v>
          </cell>
          <cell r="E23" t="str">
            <v>FLU_ALL</v>
          </cell>
          <cell r="F23" t="str">
            <v>Influenza all persons above ≥6 months (universal recommendation)</v>
          </cell>
          <cell r="G23" t="str">
            <v>ADMIN</v>
          </cell>
          <cell r="H23" t="str">
            <v>Administrative coverage</v>
          </cell>
          <cell r="I23">
            <v>63905</v>
          </cell>
          <cell r="J23"/>
          <cell r="K23"/>
        </row>
        <row r="24">
          <cell r="B24" t="str">
            <v>BTN</v>
          </cell>
          <cell r="C24" t="str">
            <v>Bhutan</v>
          </cell>
          <cell r="D24">
            <v>2024</v>
          </cell>
          <cell r="E24" t="str">
            <v>FLU_ALL</v>
          </cell>
          <cell r="F24" t="str">
            <v>Influenza all persons above ≥6 months (universal recommendation)</v>
          </cell>
          <cell r="G24" t="str">
            <v>ADMIN</v>
          </cell>
          <cell r="H24" t="str">
            <v>Administrative coverage</v>
          </cell>
          <cell r="I24"/>
          <cell r="J24"/>
          <cell r="K24"/>
        </row>
        <row r="25">
          <cell r="B25" t="str">
            <v>BOL</v>
          </cell>
          <cell r="C25" t="str">
            <v>Bolivia (Plurinational State of)</v>
          </cell>
          <cell r="D25">
            <v>2024</v>
          </cell>
          <cell r="E25" t="str">
            <v>FLU_ALL</v>
          </cell>
          <cell r="F25" t="str">
            <v>Influenza all persons above ≥6 months (universal recommendation)</v>
          </cell>
          <cell r="G25" t="str">
            <v>ADMIN</v>
          </cell>
          <cell r="H25" t="str">
            <v>Administrative coverage</v>
          </cell>
          <cell r="I25"/>
          <cell r="J25"/>
          <cell r="K25"/>
        </row>
        <row r="26">
          <cell r="B26" t="str">
            <v>BON</v>
          </cell>
          <cell r="C26" t="str">
            <v>Bonaire</v>
          </cell>
          <cell r="D26">
            <v>2024</v>
          </cell>
          <cell r="E26" t="str">
            <v>FLU_ALL</v>
          </cell>
          <cell r="F26" t="str">
            <v>Influenza all persons above ≥6 months (universal recommendation)</v>
          </cell>
          <cell r="G26" t="str">
            <v>ADMIN</v>
          </cell>
          <cell r="H26" t="str">
            <v>Administrative coverage</v>
          </cell>
          <cell r="I26"/>
          <cell r="J26"/>
          <cell r="K26"/>
        </row>
        <row r="27">
          <cell r="B27" t="str">
            <v>BIH</v>
          </cell>
          <cell r="C27" t="str">
            <v>Bosnia and Herzegovina</v>
          </cell>
          <cell r="D27">
            <v>2024</v>
          </cell>
          <cell r="E27" t="str">
            <v>FLU_ALL</v>
          </cell>
          <cell r="F27" t="str">
            <v>Influenza all persons above ≥6 months (universal recommendation)</v>
          </cell>
          <cell r="G27" t="str">
            <v>ADMIN</v>
          </cell>
          <cell r="H27" t="str">
            <v>Administrative coverage</v>
          </cell>
          <cell r="I27"/>
          <cell r="J27"/>
          <cell r="K27"/>
        </row>
        <row r="28">
          <cell r="B28" t="str">
            <v>BWA</v>
          </cell>
          <cell r="C28" t="str">
            <v>Botswana</v>
          </cell>
          <cell r="D28">
            <v>2024</v>
          </cell>
          <cell r="E28" t="str">
            <v>FLU_ALL</v>
          </cell>
          <cell r="F28" t="str">
            <v>Influenza all persons above ≥6 months (universal recommendation)</v>
          </cell>
          <cell r="G28" t="str">
            <v>ADMIN</v>
          </cell>
          <cell r="H28" t="str">
            <v>Administrative coverage</v>
          </cell>
          <cell r="I28"/>
          <cell r="J28"/>
          <cell r="K28"/>
        </row>
        <row r="29">
          <cell r="B29" t="str">
            <v>BRA</v>
          </cell>
          <cell r="C29" t="str">
            <v>Brazil</v>
          </cell>
          <cell r="D29">
            <v>2024</v>
          </cell>
          <cell r="E29" t="str">
            <v>FLU_ALL</v>
          </cell>
          <cell r="F29" t="str">
            <v>Influenza all persons above ≥6 months (universal recommendation)</v>
          </cell>
          <cell r="G29" t="str">
            <v>ADMIN</v>
          </cell>
          <cell r="H29" t="str">
            <v>Administrative coverage</v>
          </cell>
          <cell r="I29"/>
          <cell r="J29"/>
          <cell r="K29"/>
        </row>
        <row r="30">
          <cell r="B30" t="str">
            <v>VGB</v>
          </cell>
          <cell r="C30" t="str">
            <v>British Virgin Islands</v>
          </cell>
          <cell r="D30">
            <v>2024</v>
          </cell>
          <cell r="E30" t="str">
            <v>FLU_ALL</v>
          </cell>
          <cell r="F30" t="str">
            <v>Influenza all persons above ≥6 months (universal recommendation)</v>
          </cell>
          <cell r="G30" t="str">
            <v>ADMIN</v>
          </cell>
          <cell r="H30" t="str">
            <v>Administrative coverage</v>
          </cell>
          <cell r="I30"/>
          <cell r="J30"/>
          <cell r="K30"/>
        </row>
        <row r="31">
          <cell r="B31" t="str">
            <v>BRN</v>
          </cell>
          <cell r="C31" t="str">
            <v>Brunei Darussalam</v>
          </cell>
          <cell r="D31">
            <v>2024</v>
          </cell>
          <cell r="E31" t="str">
            <v>FLU_ALL</v>
          </cell>
          <cell r="F31" t="str">
            <v>Influenza all persons above ≥6 months (universal recommendation)</v>
          </cell>
          <cell r="G31" t="str">
            <v>ADMIN</v>
          </cell>
          <cell r="H31" t="str">
            <v>Administrative coverage</v>
          </cell>
          <cell r="I31"/>
          <cell r="J31"/>
          <cell r="K31"/>
        </row>
        <row r="32">
          <cell r="B32" t="str">
            <v>BGR</v>
          </cell>
          <cell r="C32" t="str">
            <v>Bulgaria</v>
          </cell>
          <cell r="D32">
            <v>2024</v>
          </cell>
          <cell r="E32" t="str">
            <v>FLU_ALL</v>
          </cell>
          <cell r="F32" t="str">
            <v>Influenza all persons above ≥6 months (universal recommendation)</v>
          </cell>
          <cell r="G32" t="str">
            <v>ADMIN</v>
          </cell>
          <cell r="H32" t="str">
            <v>Administrative coverage</v>
          </cell>
          <cell r="I32"/>
          <cell r="J32"/>
          <cell r="K32"/>
        </row>
        <row r="33">
          <cell r="B33" t="str">
            <v>BFA</v>
          </cell>
          <cell r="C33" t="str">
            <v>Burkina Faso</v>
          </cell>
          <cell r="D33">
            <v>2024</v>
          </cell>
          <cell r="E33" t="str">
            <v>FLU_ALL</v>
          </cell>
          <cell r="F33" t="str">
            <v>Influenza all persons above ≥6 months (universal recommendation)</v>
          </cell>
          <cell r="G33" t="str">
            <v>ADMIN</v>
          </cell>
          <cell r="H33" t="str">
            <v>Administrative coverage</v>
          </cell>
          <cell r="I33"/>
          <cell r="J33"/>
          <cell r="K33"/>
        </row>
        <row r="34">
          <cell r="B34" t="str">
            <v>BDI</v>
          </cell>
          <cell r="C34" t="str">
            <v>Burundi</v>
          </cell>
          <cell r="D34">
            <v>2024</v>
          </cell>
          <cell r="E34" t="str">
            <v>FLU_ALL</v>
          </cell>
          <cell r="F34" t="str">
            <v>Influenza all persons above ≥6 months (universal recommendation)</v>
          </cell>
          <cell r="G34" t="str">
            <v>ADMIN</v>
          </cell>
          <cell r="H34" t="str">
            <v>Administrative coverage</v>
          </cell>
          <cell r="I34"/>
          <cell r="J34"/>
          <cell r="K34"/>
        </row>
        <row r="35">
          <cell r="B35" t="str">
            <v>CPV</v>
          </cell>
          <cell r="C35" t="str">
            <v>Cabo Verde</v>
          </cell>
          <cell r="D35">
            <v>2024</v>
          </cell>
          <cell r="E35" t="str">
            <v>FLU_ALL</v>
          </cell>
          <cell r="F35" t="str">
            <v>Influenza all persons above ≥6 months (universal recommendation)</v>
          </cell>
          <cell r="G35" t="str">
            <v>ADMIN</v>
          </cell>
          <cell r="H35" t="str">
            <v>Administrative coverage</v>
          </cell>
          <cell r="I35"/>
          <cell r="J35"/>
          <cell r="K35"/>
        </row>
        <row r="36">
          <cell r="B36" t="str">
            <v>KHM</v>
          </cell>
          <cell r="C36" t="str">
            <v>Cambodia</v>
          </cell>
          <cell r="D36">
            <v>2024</v>
          </cell>
          <cell r="E36" t="str">
            <v>FLU_ALL</v>
          </cell>
          <cell r="F36" t="str">
            <v>Influenza all persons above ≥6 months (universal recommendation)</v>
          </cell>
          <cell r="G36" t="str">
            <v>ADMIN</v>
          </cell>
          <cell r="H36" t="str">
            <v>Administrative coverage</v>
          </cell>
          <cell r="I36"/>
          <cell r="J36"/>
          <cell r="K36"/>
        </row>
        <row r="37">
          <cell r="B37" t="str">
            <v>CMR</v>
          </cell>
          <cell r="C37" t="str">
            <v>Cameroon</v>
          </cell>
          <cell r="D37">
            <v>2024</v>
          </cell>
          <cell r="E37" t="str">
            <v>FLU_ALL</v>
          </cell>
          <cell r="F37" t="str">
            <v>Influenza all persons above ≥6 months (universal recommendation)</v>
          </cell>
          <cell r="G37" t="str">
            <v>ADMIN</v>
          </cell>
          <cell r="H37" t="str">
            <v>Administrative coverage</v>
          </cell>
          <cell r="I37"/>
          <cell r="J37"/>
          <cell r="K37"/>
        </row>
        <row r="38">
          <cell r="B38" t="str">
            <v>CAN</v>
          </cell>
          <cell r="C38" t="str">
            <v>Canada</v>
          </cell>
          <cell r="D38">
            <v>2024</v>
          </cell>
          <cell r="E38" t="str">
            <v>FLU_ALL</v>
          </cell>
          <cell r="F38" t="str">
            <v>Influenza all persons above ≥6 months (universal recommendation)</v>
          </cell>
          <cell r="G38" t="str">
            <v>ADMIN</v>
          </cell>
          <cell r="H38" t="str">
            <v>Administrative coverage</v>
          </cell>
          <cell r="I38"/>
          <cell r="J38"/>
          <cell r="K38"/>
        </row>
        <row r="39">
          <cell r="B39" t="str">
            <v>CYM</v>
          </cell>
          <cell r="C39" t="str">
            <v>Cayman Islands</v>
          </cell>
          <cell r="D39">
            <v>2024</v>
          </cell>
          <cell r="E39" t="str">
            <v>FLU_ALL</v>
          </cell>
          <cell r="F39" t="str">
            <v>Influenza all persons above ≥6 months (universal recommendation)</v>
          </cell>
          <cell r="G39" t="str">
            <v>ADMIN</v>
          </cell>
          <cell r="H39" t="str">
            <v>Administrative coverage</v>
          </cell>
          <cell r="I39"/>
          <cell r="J39">
            <v>2894</v>
          </cell>
          <cell r="K39"/>
        </row>
        <row r="40">
          <cell r="B40" t="str">
            <v>CAF</v>
          </cell>
          <cell r="C40" t="str">
            <v>Central African Republic</v>
          </cell>
          <cell r="D40">
            <v>2024</v>
          </cell>
          <cell r="E40" t="str">
            <v>FLU_ALL</v>
          </cell>
          <cell r="F40" t="str">
            <v>Influenza all persons above ≥6 months (universal recommendation)</v>
          </cell>
          <cell r="G40" t="str">
            <v>ADMIN</v>
          </cell>
          <cell r="H40" t="str">
            <v>Administrative coverage</v>
          </cell>
          <cell r="I40"/>
          <cell r="J40"/>
          <cell r="K40"/>
        </row>
        <row r="41">
          <cell r="B41" t="str">
            <v>TCD</v>
          </cell>
          <cell r="C41" t="str">
            <v>Chad</v>
          </cell>
          <cell r="D41">
            <v>2024</v>
          </cell>
          <cell r="E41" t="str">
            <v>FLU_ALL</v>
          </cell>
          <cell r="F41" t="str">
            <v>Influenza all persons above ≥6 months (universal recommendation)</v>
          </cell>
          <cell r="G41" t="str">
            <v>ADMIN</v>
          </cell>
          <cell r="H41" t="str">
            <v>Administrative coverage</v>
          </cell>
          <cell r="I41"/>
          <cell r="J41"/>
          <cell r="K41"/>
        </row>
        <row r="42">
          <cell r="B42" t="str">
            <v>CHL</v>
          </cell>
          <cell r="C42" t="str">
            <v>Chile</v>
          </cell>
          <cell r="D42">
            <v>2024</v>
          </cell>
          <cell r="E42" t="str">
            <v>FLU_ALL</v>
          </cell>
          <cell r="F42" t="str">
            <v>Influenza all persons above ≥6 months (universal recommendation)</v>
          </cell>
          <cell r="G42" t="str">
            <v>ADMIN</v>
          </cell>
          <cell r="H42" t="str">
            <v>Administrative coverage</v>
          </cell>
          <cell r="I42"/>
          <cell r="J42"/>
          <cell r="K42"/>
        </row>
        <row r="43">
          <cell r="B43" t="str">
            <v>CHN</v>
          </cell>
          <cell r="C43" t="str">
            <v>China</v>
          </cell>
          <cell r="D43">
            <v>2024</v>
          </cell>
          <cell r="E43" t="str">
            <v>FLU_ALL</v>
          </cell>
          <cell r="F43" t="str">
            <v>Influenza all persons above ≥6 months (universal recommendation)</v>
          </cell>
          <cell r="G43" t="str">
            <v>ADMIN</v>
          </cell>
          <cell r="H43" t="str">
            <v>Administrative coverage</v>
          </cell>
          <cell r="I43"/>
          <cell r="J43"/>
          <cell r="K43"/>
        </row>
        <row r="44">
          <cell r="B44" t="str">
            <v>HKG</v>
          </cell>
          <cell r="C44" t="str">
            <v>China, Hong Kong SAR</v>
          </cell>
          <cell r="D44">
            <v>2024</v>
          </cell>
          <cell r="E44" t="str">
            <v>FLU_ALL</v>
          </cell>
          <cell r="F44" t="str">
            <v>Influenza all persons above ≥6 months (universal recommendation)</v>
          </cell>
          <cell r="G44" t="str">
            <v>ADMIN</v>
          </cell>
          <cell r="H44" t="str">
            <v>Administrative coverage</v>
          </cell>
          <cell r="I44"/>
          <cell r="J44"/>
          <cell r="K44"/>
        </row>
        <row r="45">
          <cell r="B45" t="str">
            <v>MAC</v>
          </cell>
          <cell r="C45" t="str">
            <v>China, Macao SAR</v>
          </cell>
          <cell r="D45">
            <v>2024</v>
          </cell>
          <cell r="E45" t="str">
            <v>FLU_ALL</v>
          </cell>
          <cell r="F45" t="str">
            <v>Influenza all persons above ≥6 months (universal recommendation)</v>
          </cell>
          <cell r="G45" t="str">
            <v>ADMIN</v>
          </cell>
          <cell r="H45" t="str">
            <v>Administrative coverage</v>
          </cell>
          <cell r="I45">
            <v>569303</v>
          </cell>
          <cell r="J45">
            <v>231536</v>
          </cell>
          <cell r="K45">
            <v>40.67</v>
          </cell>
        </row>
        <row r="46">
          <cell r="B46" t="str">
            <v>COL</v>
          </cell>
          <cell r="C46" t="str">
            <v>Colombia</v>
          </cell>
          <cell r="D46">
            <v>2024</v>
          </cell>
          <cell r="E46" t="str">
            <v>FLU_ALL</v>
          </cell>
          <cell r="F46" t="str">
            <v>Influenza all persons above ≥6 months (universal recommendation)</v>
          </cell>
          <cell r="G46" t="str">
            <v>ADMIN</v>
          </cell>
          <cell r="H46" t="str">
            <v>Administrative coverage</v>
          </cell>
          <cell r="I46"/>
          <cell r="J46"/>
          <cell r="K46"/>
        </row>
        <row r="47">
          <cell r="B47" t="str">
            <v>COM</v>
          </cell>
          <cell r="C47" t="str">
            <v>Comoros</v>
          </cell>
          <cell r="D47">
            <v>2024</v>
          </cell>
          <cell r="E47" t="str">
            <v>FLU_ALL</v>
          </cell>
          <cell r="F47" t="str">
            <v>Influenza all persons above ≥6 months (universal recommendation)</v>
          </cell>
          <cell r="G47" t="str">
            <v>ADMIN</v>
          </cell>
          <cell r="H47" t="str">
            <v>Administrative coverage</v>
          </cell>
          <cell r="I47"/>
          <cell r="J47"/>
          <cell r="K47"/>
        </row>
        <row r="48">
          <cell r="B48" t="str">
            <v>COG</v>
          </cell>
          <cell r="C48" t="str">
            <v>Congo</v>
          </cell>
          <cell r="D48">
            <v>2024</v>
          </cell>
          <cell r="E48" t="str">
            <v>FLU_ALL</v>
          </cell>
          <cell r="F48" t="str">
            <v>Influenza all persons above ≥6 months (universal recommendation)</v>
          </cell>
          <cell r="G48" t="str">
            <v>ADMIN</v>
          </cell>
          <cell r="H48" t="str">
            <v>Administrative coverage</v>
          </cell>
          <cell r="I48"/>
          <cell r="J48"/>
          <cell r="K48"/>
        </row>
        <row r="49">
          <cell r="B49" t="str">
            <v>COK</v>
          </cell>
          <cell r="C49" t="str">
            <v>Cook Islands</v>
          </cell>
          <cell r="D49">
            <v>2024</v>
          </cell>
          <cell r="E49" t="str">
            <v>FLU_ALL</v>
          </cell>
          <cell r="F49" t="str">
            <v>Influenza all persons above ≥6 months (universal recommendation)</v>
          </cell>
          <cell r="G49" t="str">
            <v>ADMIN</v>
          </cell>
          <cell r="H49" t="str">
            <v>Administrative coverage</v>
          </cell>
          <cell r="I49"/>
          <cell r="J49"/>
          <cell r="K49"/>
        </row>
        <row r="50">
          <cell r="B50" t="str">
            <v>CRI</v>
          </cell>
          <cell r="C50" t="str">
            <v>Costa Rica</v>
          </cell>
          <cell r="D50">
            <v>2024</v>
          </cell>
          <cell r="E50" t="str">
            <v>FLU_ALL</v>
          </cell>
          <cell r="F50" t="str">
            <v>Influenza all persons above ≥6 months (universal recommendation)</v>
          </cell>
          <cell r="G50" t="str">
            <v>ADMIN</v>
          </cell>
          <cell r="H50" t="str">
            <v>Administrative coverage</v>
          </cell>
          <cell r="I50"/>
          <cell r="J50"/>
          <cell r="K50"/>
        </row>
        <row r="51">
          <cell r="B51" t="str">
            <v>CIV</v>
          </cell>
          <cell r="C51" t="str">
            <v>Côte d'Ivoire</v>
          </cell>
          <cell r="D51">
            <v>2024</v>
          </cell>
          <cell r="E51" t="str">
            <v>FLU_ALL</v>
          </cell>
          <cell r="F51" t="str">
            <v>Influenza all persons above ≥6 months (universal recommendation)</v>
          </cell>
          <cell r="G51" t="str">
            <v>ADMIN</v>
          </cell>
          <cell r="H51" t="str">
            <v>Administrative coverage</v>
          </cell>
          <cell r="I51"/>
          <cell r="J51"/>
          <cell r="K51"/>
        </row>
        <row r="52">
          <cell r="B52" t="str">
            <v>HRV</v>
          </cell>
          <cell r="C52" t="str">
            <v>Croatia</v>
          </cell>
          <cell r="D52">
            <v>2024</v>
          </cell>
          <cell r="E52" t="str">
            <v>FLU_ALL</v>
          </cell>
          <cell r="F52" t="str">
            <v>Influenza all persons above ≥6 months (universal recommendation)</v>
          </cell>
          <cell r="G52" t="str">
            <v>ADMIN</v>
          </cell>
          <cell r="H52" t="str">
            <v>Administrative coverage</v>
          </cell>
          <cell r="I52"/>
          <cell r="J52"/>
          <cell r="K52"/>
        </row>
        <row r="53">
          <cell r="B53" t="str">
            <v>CUB</v>
          </cell>
          <cell r="C53" t="str">
            <v>Cuba</v>
          </cell>
          <cell r="D53">
            <v>2024</v>
          </cell>
          <cell r="E53" t="str">
            <v>FLU_ALL</v>
          </cell>
          <cell r="F53" t="str">
            <v>Influenza all persons above ≥6 months (universal recommendation)</v>
          </cell>
          <cell r="G53" t="str">
            <v>ADMIN</v>
          </cell>
          <cell r="H53" t="str">
            <v>Administrative coverage</v>
          </cell>
          <cell r="I53"/>
          <cell r="J53"/>
          <cell r="K53"/>
        </row>
        <row r="54">
          <cell r="B54" t="str">
            <v>CYP</v>
          </cell>
          <cell r="C54" t="str">
            <v>Cyprus</v>
          </cell>
          <cell r="D54">
            <v>2024</v>
          </cell>
          <cell r="E54" t="str">
            <v>FLU_ALL</v>
          </cell>
          <cell r="F54" t="str">
            <v>Influenza all persons above ≥6 months (universal recommendation)</v>
          </cell>
          <cell r="G54" t="str">
            <v>ADMIN</v>
          </cell>
          <cell r="H54" t="str">
            <v>Administrative coverage</v>
          </cell>
          <cell r="I54"/>
          <cell r="J54"/>
          <cell r="K54"/>
        </row>
        <row r="55">
          <cell r="B55" t="str">
            <v>CZE</v>
          </cell>
          <cell r="C55" t="str">
            <v>Czechia</v>
          </cell>
          <cell r="D55">
            <v>2024</v>
          </cell>
          <cell r="E55" t="str">
            <v>FLU_ALL</v>
          </cell>
          <cell r="F55" t="str">
            <v>Influenza all persons above ≥6 months (universal recommendation)</v>
          </cell>
          <cell r="G55" t="str">
            <v>ADMIN</v>
          </cell>
          <cell r="H55" t="str">
            <v>Administrative coverage</v>
          </cell>
          <cell r="I55"/>
          <cell r="J55"/>
          <cell r="K55"/>
        </row>
        <row r="56">
          <cell r="B56" t="str">
            <v>PRK</v>
          </cell>
          <cell r="C56" t="str">
            <v>Democratic People's Republic of Korea</v>
          </cell>
          <cell r="D56">
            <v>2024</v>
          </cell>
          <cell r="E56" t="str">
            <v>FLU_ALL</v>
          </cell>
          <cell r="F56" t="str">
            <v>Influenza all persons above ≥6 months (universal recommendation)</v>
          </cell>
          <cell r="G56" t="str">
            <v>ADMIN</v>
          </cell>
          <cell r="H56" t="str">
            <v>Administrative coverage</v>
          </cell>
          <cell r="I56"/>
          <cell r="J56"/>
          <cell r="K56"/>
        </row>
        <row r="57">
          <cell r="B57" t="str">
            <v>COD</v>
          </cell>
          <cell r="C57" t="str">
            <v>Democratic Republic of the Congo</v>
          </cell>
          <cell r="D57">
            <v>2024</v>
          </cell>
          <cell r="E57" t="str">
            <v>FLU_ALL</v>
          </cell>
          <cell r="F57" t="str">
            <v>Influenza all persons above ≥6 months (universal recommendation)</v>
          </cell>
          <cell r="G57" t="str">
            <v>ADMIN</v>
          </cell>
          <cell r="H57" t="str">
            <v>Administrative coverage</v>
          </cell>
          <cell r="I57"/>
          <cell r="J57"/>
          <cell r="K57"/>
        </row>
        <row r="58">
          <cell r="B58" t="str">
            <v>DNK</v>
          </cell>
          <cell r="C58" t="str">
            <v>Denmark</v>
          </cell>
          <cell r="D58">
            <v>2024</v>
          </cell>
          <cell r="E58" t="str">
            <v>FLU_ALL</v>
          </cell>
          <cell r="F58" t="str">
            <v>Influenza all persons above ≥6 months (universal recommendation)</v>
          </cell>
          <cell r="G58" t="str">
            <v>ADMIN</v>
          </cell>
          <cell r="H58" t="str">
            <v>Administrative coverage</v>
          </cell>
          <cell r="I58">
            <v>4140018</v>
          </cell>
          <cell r="J58">
            <v>280365</v>
          </cell>
          <cell r="K58">
            <v>6.77</v>
          </cell>
        </row>
        <row r="59">
          <cell r="B59" t="str">
            <v>DJI</v>
          </cell>
          <cell r="C59" t="str">
            <v>Djibouti</v>
          </cell>
          <cell r="D59">
            <v>2024</v>
          </cell>
          <cell r="E59" t="str">
            <v>FLU_ALL</v>
          </cell>
          <cell r="F59" t="str">
            <v>Influenza all persons above ≥6 months (universal recommendation)</v>
          </cell>
          <cell r="G59" t="str">
            <v>ADMIN</v>
          </cell>
          <cell r="H59" t="str">
            <v>Administrative coverage</v>
          </cell>
          <cell r="I59"/>
          <cell r="J59"/>
          <cell r="K59"/>
        </row>
        <row r="60">
          <cell r="B60" t="str">
            <v>DMA</v>
          </cell>
          <cell r="C60" t="str">
            <v>Dominica</v>
          </cell>
          <cell r="D60">
            <v>2024</v>
          </cell>
          <cell r="E60" t="str">
            <v>FLU_ALL</v>
          </cell>
          <cell r="F60" t="str">
            <v>Influenza all persons above ≥6 months (universal recommendation)</v>
          </cell>
          <cell r="G60" t="str">
            <v>ADMIN</v>
          </cell>
          <cell r="H60" t="str">
            <v>Administrative coverage</v>
          </cell>
          <cell r="I60"/>
          <cell r="J60">
            <v>0</v>
          </cell>
          <cell r="K60"/>
        </row>
        <row r="61">
          <cell r="B61" t="str">
            <v>DOM</v>
          </cell>
          <cell r="C61" t="str">
            <v>Dominican Republic</v>
          </cell>
          <cell r="D61">
            <v>2024</v>
          </cell>
          <cell r="E61" t="str">
            <v>FLU_ALL</v>
          </cell>
          <cell r="F61" t="str">
            <v>Influenza all persons above ≥6 months (universal recommendation)</v>
          </cell>
          <cell r="G61" t="str">
            <v>ADMIN</v>
          </cell>
          <cell r="H61" t="str">
            <v>Administrative coverage</v>
          </cell>
          <cell r="I61"/>
          <cell r="J61"/>
          <cell r="K61"/>
        </row>
        <row r="62">
          <cell r="B62" t="str">
            <v>ECU</v>
          </cell>
          <cell r="C62" t="str">
            <v>Ecuador</v>
          </cell>
          <cell r="D62">
            <v>2024</v>
          </cell>
          <cell r="E62" t="str">
            <v>FLU_ALL</v>
          </cell>
          <cell r="F62" t="str">
            <v>Influenza all persons above ≥6 months (universal recommendation)</v>
          </cell>
          <cell r="G62" t="str">
            <v>ADMIN</v>
          </cell>
          <cell r="H62" t="str">
            <v>Administrative coverage</v>
          </cell>
          <cell r="I62">
            <v>1126737</v>
          </cell>
          <cell r="J62">
            <v>719198</v>
          </cell>
          <cell r="K62">
            <v>63.83</v>
          </cell>
        </row>
        <row r="63">
          <cell r="B63" t="str">
            <v>EGY</v>
          </cell>
          <cell r="C63" t="str">
            <v>Egypt</v>
          </cell>
          <cell r="D63">
            <v>2024</v>
          </cell>
          <cell r="E63" t="str">
            <v>FLU_ALL</v>
          </cell>
          <cell r="F63" t="str">
            <v>Influenza all persons above ≥6 months (universal recommendation)</v>
          </cell>
          <cell r="G63" t="str">
            <v>ADMIN</v>
          </cell>
          <cell r="H63" t="str">
            <v>Administrative coverage</v>
          </cell>
          <cell r="I63"/>
          <cell r="J63">
            <v>661281</v>
          </cell>
          <cell r="K63"/>
        </row>
        <row r="64">
          <cell r="B64" t="str">
            <v>SLV</v>
          </cell>
          <cell r="C64" t="str">
            <v>El Salvador</v>
          </cell>
          <cell r="D64">
            <v>2024</v>
          </cell>
          <cell r="E64" t="str">
            <v>FLU_ALL</v>
          </cell>
          <cell r="F64" t="str">
            <v>Influenza all persons above ≥6 months (universal recommendation)</v>
          </cell>
          <cell r="G64" t="str">
            <v>ADMIN</v>
          </cell>
          <cell r="H64" t="str">
            <v>Administrative coverage</v>
          </cell>
          <cell r="I64"/>
          <cell r="J64"/>
          <cell r="K64"/>
        </row>
        <row r="65">
          <cell r="B65" t="str">
            <v>GNQ</v>
          </cell>
          <cell r="C65" t="str">
            <v>Equatorial Guinea</v>
          </cell>
          <cell r="D65">
            <v>2024</v>
          </cell>
          <cell r="E65" t="str">
            <v>FLU_ALL</v>
          </cell>
          <cell r="F65" t="str">
            <v>Influenza all persons above ≥6 months (universal recommendation)</v>
          </cell>
          <cell r="G65" t="str">
            <v>ADMIN</v>
          </cell>
          <cell r="H65" t="str">
            <v>Administrative coverage</v>
          </cell>
          <cell r="I65"/>
          <cell r="J65"/>
          <cell r="K65"/>
        </row>
        <row r="66">
          <cell r="B66" t="str">
            <v>ERI</v>
          </cell>
          <cell r="C66" t="str">
            <v>Eritrea</v>
          </cell>
          <cell r="D66">
            <v>2024</v>
          </cell>
          <cell r="E66" t="str">
            <v>FLU_ALL</v>
          </cell>
          <cell r="F66" t="str">
            <v>Influenza all persons above ≥6 months (universal recommendation)</v>
          </cell>
          <cell r="G66" t="str">
            <v>ADMIN</v>
          </cell>
          <cell r="H66" t="str">
            <v>Administrative coverage</v>
          </cell>
          <cell r="I66"/>
          <cell r="J66"/>
          <cell r="K66"/>
        </row>
        <row r="67">
          <cell r="B67" t="str">
            <v>EST</v>
          </cell>
          <cell r="C67" t="str">
            <v>Estonia</v>
          </cell>
          <cell r="D67">
            <v>2024</v>
          </cell>
          <cell r="E67" t="str">
            <v>FLU_ALL</v>
          </cell>
          <cell r="F67" t="str">
            <v>Influenza all persons above ≥6 months (universal recommendation)</v>
          </cell>
          <cell r="G67" t="str">
            <v>ADMIN</v>
          </cell>
          <cell r="H67" t="str">
            <v>Administrative coverage</v>
          </cell>
          <cell r="I67"/>
          <cell r="J67"/>
          <cell r="K67"/>
        </row>
        <row r="68">
          <cell r="B68" t="str">
            <v>SWZ</v>
          </cell>
          <cell r="C68" t="str">
            <v>Eswatini</v>
          </cell>
          <cell r="D68">
            <v>2024</v>
          </cell>
          <cell r="E68" t="str">
            <v>FLU_ALL</v>
          </cell>
          <cell r="F68" t="str">
            <v>Influenza all persons above ≥6 months (universal recommendation)</v>
          </cell>
          <cell r="G68" t="str">
            <v>ADMIN</v>
          </cell>
          <cell r="H68" t="str">
            <v>Administrative coverage</v>
          </cell>
          <cell r="I68"/>
          <cell r="J68"/>
          <cell r="K68"/>
        </row>
        <row r="69">
          <cell r="B69" t="str">
            <v>ETH</v>
          </cell>
          <cell r="C69" t="str">
            <v>Ethiopia</v>
          </cell>
          <cell r="D69">
            <v>2024</v>
          </cell>
          <cell r="E69" t="str">
            <v>FLU_ALL</v>
          </cell>
          <cell r="F69" t="str">
            <v>Influenza all persons above ≥6 months (universal recommendation)</v>
          </cell>
          <cell r="G69" t="str">
            <v>ADMIN</v>
          </cell>
          <cell r="H69" t="str">
            <v>Administrative coverage</v>
          </cell>
          <cell r="I69"/>
          <cell r="J69"/>
          <cell r="K69"/>
        </row>
        <row r="70">
          <cell r="B70" t="str">
            <v>FJI</v>
          </cell>
          <cell r="C70" t="str">
            <v>Fiji</v>
          </cell>
          <cell r="D70">
            <v>2024</v>
          </cell>
          <cell r="E70" t="str">
            <v>FLU_ALL</v>
          </cell>
          <cell r="F70" t="str">
            <v>Influenza all persons above ≥6 months (universal recommendation)</v>
          </cell>
          <cell r="G70" t="str">
            <v>ADMIN</v>
          </cell>
          <cell r="H70" t="str">
            <v>Administrative coverage</v>
          </cell>
          <cell r="I70"/>
          <cell r="J70"/>
          <cell r="K70"/>
        </row>
        <row r="71">
          <cell r="B71" t="str">
            <v>FIN</v>
          </cell>
          <cell r="C71" t="str">
            <v>Finland</v>
          </cell>
          <cell r="D71">
            <v>2024</v>
          </cell>
          <cell r="E71" t="str">
            <v>FLU_ALL</v>
          </cell>
          <cell r="F71" t="str">
            <v>Influenza all persons above ≥6 months (universal recommendation)</v>
          </cell>
          <cell r="G71" t="str">
            <v>ADMIN</v>
          </cell>
          <cell r="H71" t="str">
            <v>Administrative coverage</v>
          </cell>
          <cell r="I71"/>
          <cell r="J71"/>
          <cell r="K71"/>
        </row>
        <row r="72">
          <cell r="B72" t="str">
            <v>FRA</v>
          </cell>
          <cell r="C72" t="str">
            <v>France</v>
          </cell>
          <cell r="D72">
            <v>2024</v>
          </cell>
          <cell r="E72" t="str">
            <v>FLU_ALL</v>
          </cell>
          <cell r="F72" t="str">
            <v>Influenza all persons above ≥6 months (universal recommendation)</v>
          </cell>
          <cell r="G72" t="str">
            <v>ADMIN</v>
          </cell>
          <cell r="H72" t="str">
            <v>Administrative coverage</v>
          </cell>
          <cell r="I72"/>
          <cell r="J72"/>
          <cell r="K72"/>
        </row>
        <row r="73">
          <cell r="B73" t="str">
            <v>PYF</v>
          </cell>
          <cell r="C73" t="str">
            <v>French Polynesia</v>
          </cell>
          <cell r="D73">
            <v>2024</v>
          </cell>
          <cell r="E73" t="str">
            <v>FLU_ALL</v>
          </cell>
          <cell r="F73" t="str">
            <v>Influenza all persons above ≥6 months (universal recommendation)</v>
          </cell>
          <cell r="G73" t="str">
            <v>ADMIN</v>
          </cell>
          <cell r="H73" t="str">
            <v>Administrative coverage</v>
          </cell>
          <cell r="I73"/>
          <cell r="J73"/>
          <cell r="K73"/>
        </row>
        <row r="74">
          <cell r="B74" t="str">
            <v>GAB</v>
          </cell>
          <cell r="C74" t="str">
            <v>Gabon</v>
          </cell>
          <cell r="D74">
            <v>2024</v>
          </cell>
          <cell r="E74" t="str">
            <v>FLU_ALL</v>
          </cell>
          <cell r="F74" t="str">
            <v>Influenza all persons above ≥6 months (universal recommendation)</v>
          </cell>
          <cell r="G74" t="str">
            <v>ADMIN</v>
          </cell>
          <cell r="H74" t="str">
            <v>Administrative coverage</v>
          </cell>
          <cell r="I74"/>
          <cell r="J74"/>
          <cell r="K74"/>
        </row>
        <row r="75">
          <cell r="B75" t="str">
            <v>GMB</v>
          </cell>
          <cell r="C75" t="str">
            <v>Gambia</v>
          </cell>
          <cell r="D75">
            <v>2024</v>
          </cell>
          <cell r="E75" t="str">
            <v>FLU_ALL</v>
          </cell>
          <cell r="F75" t="str">
            <v>Influenza all persons above ≥6 months (universal recommendation)</v>
          </cell>
          <cell r="G75" t="str">
            <v>ADMIN</v>
          </cell>
          <cell r="H75" t="str">
            <v>Administrative coverage</v>
          </cell>
          <cell r="I75"/>
          <cell r="J75"/>
          <cell r="K75"/>
        </row>
        <row r="76">
          <cell r="B76" t="str">
            <v>GEO</v>
          </cell>
          <cell r="C76" t="str">
            <v>Georgia</v>
          </cell>
          <cell r="D76">
            <v>2024</v>
          </cell>
          <cell r="E76" t="str">
            <v>FLU_ALL</v>
          </cell>
          <cell r="F76" t="str">
            <v>Influenza all persons above ≥6 months (universal recommendation)</v>
          </cell>
          <cell r="G76" t="str">
            <v>ADMIN</v>
          </cell>
          <cell r="H76" t="str">
            <v>Administrative coverage</v>
          </cell>
          <cell r="I76">
            <v>145343</v>
          </cell>
          <cell r="J76">
            <v>62194</v>
          </cell>
          <cell r="K76">
            <v>42.79</v>
          </cell>
        </row>
        <row r="77">
          <cell r="B77" t="str">
            <v>DEU</v>
          </cell>
          <cell r="C77" t="str">
            <v>Germany</v>
          </cell>
          <cell r="D77">
            <v>2024</v>
          </cell>
          <cell r="E77" t="str">
            <v>FLU_ALL</v>
          </cell>
          <cell r="F77" t="str">
            <v>Influenza all persons above ≥6 months (universal recommendation)</v>
          </cell>
          <cell r="G77" t="str">
            <v>ADMIN</v>
          </cell>
          <cell r="H77" t="str">
            <v>Administrative coverage</v>
          </cell>
          <cell r="I77"/>
          <cell r="J77"/>
          <cell r="K77"/>
        </row>
        <row r="78">
          <cell r="B78" t="str">
            <v>GHA</v>
          </cell>
          <cell r="C78" t="str">
            <v>Ghana</v>
          </cell>
          <cell r="D78">
            <v>2024</v>
          </cell>
          <cell r="E78" t="str">
            <v>FLU_ALL</v>
          </cell>
          <cell r="F78" t="str">
            <v>Influenza all persons above ≥6 months (universal recommendation)</v>
          </cell>
          <cell r="G78" t="str">
            <v>ADMIN</v>
          </cell>
          <cell r="H78" t="str">
            <v>Administrative coverage</v>
          </cell>
          <cell r="I78"/>
          <cell r="J78"/>
          <cell r="K78"/>
        </row>
        <row r="79">
          <cell r="B79" t="str">
            <v>GRC</v>
          </cell>
          <cell r="C79" t="str">
            <v>Greece</v>
          </cell>
          <cell r="D79">
            <v>2024</v>
          </cell>
          <cell r="E79" t="str">
            <v>FLU_ALL</v>
          </cell>
          <cell r="F79" t="str">
            <v>Influenza all persons above ≥6 months (universal recommendation)</v>
          </cell>
          <cell r="G79" t="str">
            <v>ADMIN</v>
          </cell>
          <cell r="H79" t="str">
            <v>Administrative coverage</v>
          </cell>
          <cell r="I79"/>
          <cell r="J79">
            <v>139565</v>
          </cell>
          <cell r="K79"/>
        </row>
        <row r="80">
          <cell r="B80" t="str">
            <v>GRD</v>
          </cell>
          <cell r="C80" t="str">
            <v>Grenada</v>
          </cell>
          <cell r="D80">
            <v>2024</v>
          </cell>
          <cell r="E80" t="str">
            <v>FLU_ALL</v>
          </cell>
          <cell r="F80" t="str">
            <v>Influenza all persons above ≥6 months (universal recommendation)</v>
          </cell>
          <cell r="G80" t="str">
            <v>ADMIN</v>
          </cell>
          <cell r="H80" t="str">
            <v>Administrative coverage</v>
          </cell>
          <cell r="I80"/>
          <cell r="J80">
            <v>5</v>
          </cell>
          <cell r="K80"/>
        </row>
        <row r="81">
          <cell r="B81" t="str">
            <v>GUM</v>
          </cell>
          <cell r="C81" t="str">
            <v>Guam</v>
          </cell>
          <cell r="D81">
            <v>2024</v>
          </cell>
          <cell r="E81" t="str">
            <v>FLU_ALL</v>
          </cell>
          <cell r="F81" t="str">
            <v>Influenza all persons above ≥6 months (universal recommendation)</v>
          </cell>
          <cell r="G81" t="str">
            <v>ADMIN</v>
          </cell>
          <cell r="H81" t="str">
            <v>Administrative coverage</v>
          </cell>
          <cell r="I81"/>
          <cell r="J81"/>
          <cell r="K81"/>
        </row>
        <row r="82">
          <cell r="B82" t="str">
            <v>GTM</v>
          </cell>
          <cell r="C82" t="str">
            <v>Guatemala</v>
          </cell>
          <cell r="D82">
            <v>2024</v>
          </cell>
          <cell r="E82" t="str">
            <v>FLU_ALL</v>
          </cell>
          <cell r="F82" t="str">
            <v>Influenza all persons above ≥6 months (universal recommendation)</v>
          </cell>
          <cell r="G82" t="str">
            <v>ADMIN</v>
          </cell>
          <cell r="H82" t="str">
            <v>Administrative coverage</v>
          </cell>
          <cell r="I82"/>
          <cell r="J82"/>
          <cell r="K82"/>
        </row>
        <row r="83">
          <cell r="B83" t="str">
            <v>GIN</v>
          </cell>
          <cell r="C83" t="str">
            <v>Guinea</v>
          </cell>
          <cell r="D83">
            <v>2024</v>
          </cell>
          <cell r="E83" t="str">
            <v>FLU_ALL</v>
          </cell>
          <cell r="F83" t="str">
            <v>Influenza all persons above ≥6 months (universal recommendation)</v>
          </cell>
          <cell r="G83" t="str">
            <v>ADMIN</v>
          </cell>
          <cell r="H83" t="str">
            <v>Administrative coverage</v>
          </cell>
          <cell r="I83"/>
          <cell r="J83"/>
          <cell r="K83"/>
        </row>
        <row r="84">
          <cell r="B84" t="str">
            <v>GNB</v>
          </cell>
          <cell r="C84" t="str">
            <v>Guinea-Bissau</v>
          </cell>
          <cell r="D84">
            <v>2024</v>
          </cell>
          <cell r="E84" t="str">
            <v>FLU_ALL</v>
          </cell>
          <cell r="F84" t="str">
            <v>Influenza all persons above ≥6 months (universal recommendation)</v>
          </cell>
          <cell r="G84" t="str">
            <v>ADMIN</v>
          </cell>
          <cell r="H84" t="str">
            <v>Administrative coverage</v>
          </cell>
          <cell r="I84"/>
          <cell r="J84"/>
          <cell r="K84"/>
        </row>
        <row r="85">
          <cell r="B85" t="str">
            <v>GUY</v>
          </cell>
          <cell r="C85" t="str">
            <v>Guyana</v>
          </cell>
          <cell r="D85">
            <v>2024</v>
          </cell>
          <cell r="E85" t="str">
            <v>FLU_ALL</v>
          </cell>
          <cell r="F85" t="str">
            <v>Influenza all persons above ≥6 months (universal recommendation)</v>
          </cell>
          <cell r="G85" t="str">
            <v>ADMIN</v>
          </cell>
          <cell r="H85" t="str">
            <v>Administrative coverage</v>
          </cell>
          <cell r="I85"/>
          <cell r="J85"/>
          <cell r="K85"/>
        </row>
        <row r="86">
          <cell r="B86" t="str">
            <v>HTI</v>
          </cell>
          <cell r="C86" t="str">
            <v>Haiti</v>
          </cell>
          <cell r="D86">
            <v>2024</v>
          </cell>
          <cell r="E86" t="str">
            <v>FLU_ALL</v>
          </cell>
          <cell r="F86" t="str">
            <v>Influenza all persons above ≥6 months (universal recommendation)</v>
          </cell>
          <cell r="G86" t="str">
            <v>ADMIN</v>
          </cell>
          <cell r="H86" t="str">
            <v>Administrative coverage</v>
          </cell>
          <cell r="I86"/>
          <cell r="J86"/>
          <cell r="K86"/>
        </row>
        <row r="87">
          <cell r="B87" t="str">
            <v>HND</v>
          </cell>
          <cell r="C87" t="str">
            <v>Honduras</v>
          </cell>
          <cell r="D87">
            <v>2024</v>
          </cell>
          <cell r="E87" t="str">
            <v>FLU_ALL</v>
          </cell>
          <cell r="F87" t="str">
            <v>Influenza all persons above ≥6 months (universal recommendation)</v>
          </cell>
          <cell r="G87" t="str">
            <v>ADMIN</v>
          </cell>
          <cell r="H87" t="str">
            <v>Administrative coverage</v>
          </cell>
          <cell r="I87"/>
          <cell r="J87"/>
          <cell r="K87"/>
        </row>
        <row r="88">
          <cell r="B88" t="str">
            <v>HUN</v>
          </cell>
          <cell r="C88" t="str">
            <v>Hungary</v>
          </cell>
          <cell r="D88">
            <v>2024</v>
          </cell>
          <cell r="E88" t="str">
            <v>FLU_ALL</v>
          </cell>
          <cell r="F88" t="str">
            <v>Influenza all persons above ≥6 months (universal recommendation)</v>
          </cell>
          <cell r="G88" t="str">
            <v>ADMIN</v>
          </cell>
          <cell r="H88" t="str">
            <v>Administrative coverage</v>
          </cell>
          <cell r="I88"/>
          <cell r="J88"/>
          <cell r="K88"/>
        </row>
        <row r="89">
          <cell r="B89" t="str">
            <v>ISL</v>
          </cell>
          <cell r="C89" t="str">
            <v>Iceland</v>
          </cell>
          <cell r="D89">
            <v>2024</v>
          </cell>
          <cell r="E89" t="str">
            <v>FLU_ALL</v>
          </cell>
          <cell r="F89" t="str">
            <v>Influenza all persons above ≥6 months (universal recommendation)</v>
          </cell>
          <cell r="G89" t="str">
            <v>ADMIN</v>
          </cell>
          <cell r="H89" t="str">
            <v>Administrative coverage</v>
          </cell>
          <cell r="I89"/>
          <cell r="J89"/>
          <cell r="K89"/>
        </row>
        <row r="90">
          <cell r="B90" t="str">
            <v>IND</v>
          </cell>
          <cell r="C90" t="str">
            <v>India</v>
          </cell>
          <cell r="D90">
            <v>2024</v>
          </cell>
          <cell r="E90" t="str">
            <v>FLU_ALL</v>
          </cell>
          <cell r="F90" t="str">
            <v>Influenza all persons above ≥6 months (universal recommendation)</v>
          </cell>
          <cell r="G90" t="str">
            <v>ADMIN</v>
          </cell>
          <cell r="H90" t="str">
            <v>Administrative coverage</v>
          </cell>
          <cell r="I90"/>
          <cell r="J90"/>
          <cell r="K90"/>
        </row>
        <row r="91">
          <cell r="B91" t="str">
            <v>IDN</v>
          </cell>
          <cell r="C91" t="str">
            <v>Indonesia</v>
          </cell>
          <cell r="D91">
            <v>2024</v>
          </cell>
          <cell r="E91" t="str">
            <v>FLU_ALL</v>
          </cell>
          <cell r="F91" t="str">
            <v>Influenza all persons above ≥6 months (universal recommendation)</v>
          </cell>
          <cell r="G91" t="str">
            <v>ADMIN</v>
          </cell>
          <cell r="H91" t="str">
            <v>Administrative coverage</v>
          </cell>
          <cell r="I91"/>
          <cell r="J91"/>
          <cell r="K91"/>
        </row>
        <row r="92">
          <cell r="B92" t="str">
            <v>IRN</v>
          </cell>
          <cell r="C92" t="str">
            <v>Iran (Islamic Republic of)</v>
          </cell>
          <cell r="D92">
            <v>2024</v>
          </cell>
          <cell r="E92" t="str">
            <v>FLU_ALL</v>
          </cell>
          <cell r="F92" t="str">
            <v>Influenza all persons above ≥6 months (universal recommendation)</v>
          </cell>
          <cell r="G92" t="str">
            <v>ADMIN</v>
          </cell>
          <cell r="H92" t="str">
            <v>Administrative coverage</v>
          </cell>
          <cell r="I92"/>
          <cell r="J92"/>
          <cell r="K92"/>
        </row>
        <row r="93">
          <cell r="B93" t="str">
            <v>IRQ</v>
          </cell>
          <cell r="C93" t="str">
            <v>Iraq</v>
          </cell>
          <cell r="D93">
            <v>2024</v>
          </cell>
          <cell r="E93" t="str">
            <v>FLU_ALL</v>
          </cell>
          <cell r="F93" t="str">
            <v>Influenza all persons above ≥6 months (universal recommendation)</v>
          </cell>
          <cell r="G93" t="str">
            <v>ADMIN</v>
          </cell>
          <cell r="H93" t="str">
            <v>Administrative coverage</v>
          </cell>
          <cell r="I93"/>
          <cell r="J93"/>
          <cell r="K93"/>
        </row>
        <row r="94">
          <cell r="B94" t="str">
            <v>IRL</v>
          </cell>
          <cell r="C94" t="str">
            <v>Ireland</v>
          </cell>
          <cell r="D94">
            <v>2024</v>
          </cell>
          <cell r="E94" t="str">
            <v>FLU_ALL</v>
          </cell>
          <cell r="F94" t="str">
            <v>Influenza all persons above ≥6 months (universal recommendation)</v>
          </cell>
          <cell r="G94" t="str">
            <v>ADMIN</v>
          </cell>
          <cell r="H94" t="str">
            <v>Administrative coverage</v>
          </cell>
          <cell r="I94"/>
          <cell r="J94"/>
          <cell r="K94"/>
        </row>
        <row r="95">
          <cell r="B95" t="str">
            <v>ITA</v>
          </cell>
          <cell r="C95" t="str">
            <v>Italy</v>
          </cell>
          <cell r="D95">
            <v>2024</v>
          </cell>
          <cell r="E95" t="str">
            <v>FLU_ALL</v>
          </cell>
          <cell r="F95" t="str">
            <v>Influenza all persons above ≥6 months (universal recommendation)</v>
          </cell>
          <cell r="G95" t="str">
            <v>ADMIN</v>
          </cell>
          <cell r="H95" t="str">
            <v>Administrative coverage</v>
          </cell>
          <cell r="I95"/>
          <cell r="J95"/>
          <cell r="K95"/>
        </row>
        <row r="96">
          <cell r="B96" t="str">
            <v>JAM</v>
          </cell>
          <cell r="C96" t="str">
            <v>Jamaica</v>
          </cell>
          <cell r="D96">
            <v>2024</v>
          </cell>
          <cell r="E96" t="str">
            <v>FLU_ALL</v>
          </cell>
          <cell r="F96" t="str">
            <v>Influenza all persons above ≥6 months (universal recommendation)</v>
          </cell>
          <cell r="G96" t="str">
            <v>ADMIN</v>
          </cell>
          <cell r="H96" t="str">
            <v>Administrative coverage</v>
          </cell>
          <cell r="I96"/>
          <cell r="J96"/>
          <cell r="K96"/>
        </row>
        <row r="97">
          <cell r="B97" t="str">
            <v>JPN</v>
          </cell>
          <cell r="C97" t="str">
            <v>Japan</v>
          </cell>
          <cell r="D97">
            <v>2024</v>
          </cell>
          <cell r="E97" t="str">
            <v>FLU_ALL</v>
          </cell>
          <cell r="F97" t="str">
            <v>Influenza all persons above ≥6 months (universal recommendation)</v>
          </cell>
          <cell r="G97" t="str">
            <v>ADMIN</v>
          </cell>
          <cell r="H97" t="str">
            <v>Administrative coverage</v>
          </cell>
          <cell r="I97"/>
          <cell r="J97"/>
          <cell r="K97"/>
        </row>
        <row r="98">
          <cell r="B98" t="str">
            <v>JOR</v>
          </cell>
          <cell r="C98" t="str">
            <v>Jordan</v>
          </cell>
          <cell r="D98">
            <v>2024</v>
          </cell>
          <cell r="E98" t="str">
            <v>FLU_ALL</v>
          </cell>
          <cell r="F98" t="str">
            <v>Influenza all persons above ≥6 months (universal recommendation)</v>
          </cell>
          <cell r="G98" t="str">
            <v>ADMIN</v>
          </cell>
          <cell r="H98" t="str">
            <v>Administrative coverage</v>
          </cell>
          <cell r="I98"/>
          <cell r="J98"/>
          <cell r="K98"/>
        </row>
        <row r="99">
          <cell r="B99" t="str">
            <v>KAZ</v>
          </cell>
          <cell r="C99" t="str">
            <v>Kazakhstan</v>
          </cell>
          <cell r="D99">
            <v>2024</v>
          </cell>
          <cell r="E99" t="str">
            <v>FLU_ALL</v>
          </cell>
          <cell r="F99" t="str">
            <v>Influenza all persons above ≥6 months (universal recommendation)</v>
          </cell>
          <cell r="G99" t="str">
            <v>ADMIN</v>
          </cell>
          <cell r="H99" t="str">
            <v>Administrative coverage</v>
          </cell>
          <cell r="I99">
            <v>20395235</v>
          </cell>
          <cell r="J99">
            <v>2330743</v>
          </cell>
          <cell r="K99">
            <v>11.43</v>
          </cell>
        </row>
        <row r="100">
          <cell r="B100" t="str">
            <v>KEN</v>
          </cell>
          <cell r="C100" t="str">
            <v>Kenya</v>
          </cell>
          <cell r="D100">
            <v>2024</v>
          </cell>
          <cell r="E100" t="str">
            <v>FLU_ALL</v>
          </cell>
          <cell r="F100" t="str">
            <v>Influenza all persons above ≥6 months (universal recommendation)</v>
          </cell>
          <cell r="G100" t="str">
            <v>ADMIN</v>
          </cell>
          <cell r="H100" t="str">
            <v>Administrative coverage</v>
          </cell>
          <cell r="I100"/>
          <cell r="J100"/>
          <cell r="K100"/>
        </row>
        <row r="101">
          <cell r="B101" t="str">
            <v>KIR</v>
          </cell>
          <cell r="C101" t="str">
            <v>Kiribati</v>
          </cell>
          <cell r="D101">
            <v>2024</v>
          </cell>
          <cell r="E101" t="str">
            <v>FLU_ALL</v>
          </cell>
          <cell r="F101" t="str">
            <v>Influenza all persons above ≥6 months (universal recommendation)</v>
          </cell>
          <cell r="G101" t="str">
            <v>ADMIN</v>
          </cell>
          <cell r="H101" t="str">
            <v>Administrative coverage</v>
          </cell>
          <cell r="I101"/>
          <cell r="J101"/>
          <cell r="K101"/>
        </row>
        <row r="102">
          <cell r="B102" t="str">
            <v>XKX</v>
          </cell>
          <cell r="C102" t="str">
            <v>Kosovo (in accordance with UN Security Council resolution 1244 (1999))</v>
          </cell>
          <cell r="D102">
            <v>2024</v>
          </cell>
          <cell r="E102" t="str">
            <v>FLU_ALL</v>
          </cell>
          <cell r="F102" t="str">
            <v>Influenza all persons above ≥6 months (universal recommendation)</v>
          </cell>
          <cell r="G102" t="str">
            <v>ADMIN</v>
          </cell>
          <cell r="H102" t="str">
            <v>Administrative coverage</v>
          </cell>
          <cell r="I102"/>
          <cell r="J102"/>
          <cell r="K102"/>
        </row>
        <row r="103">
          <cell r="B103" t="str">
            <v>KWT</v>
          </cell>
          <cell r="C103" t="str">
            <v>Kuwait</v>
          </cell>
          <cell r="D103">
            <v>2024</v>
          </cell>
          <cell r="E103" t="str">
            <v>FLU_ALL</v>
          </cell>
          <cell r="F103" t="str">
            <v>Influenza all persons above ≥6 months (universal recommendation)</v>
          </cell>
          <cell r="G103" t="str">
            <v>ADMIN</v>
          </cell>
          <cell r="H103" t="str">
            <v>Administrative coverage</v>
          </cell>
          <cell r="I103"/>
          <cell r="J103">
            <v>1765</v>
          </cell>
          <cell r="K103"/>
        </row>
        <row r="104">
          <cell r="B104" t="str">
            <v>KGZ</v>
          </cell>
          <cell r="C104" t="str">
            <v>Kyrgyzstan</v>
          </cell>
          <cell r="D104">
            <v>2024</v>
          </cell>
          <cell r="E104" t="str">
            <v>FLU_ALL</v>
          </cell>
          <cell r="F104" t="str">
            <v>Influenza all persons above ≥6 months (universal recommendation)</v>
          </cell>
          <cell r="G104" t="str">
            <v>ADMIN</v>
          </cell>
          <cell r="H104" t="str">
            <v>Administrative coverage</v>
          </cell>
          <cell r="I104"/>
          <cell r="J104"/>
          <cell r="K104"/>
        </row>
        <row r="105">
          <cell r="B105" t="str">
            <v>LAO</v>
          </cell>
          <cell r="C105" t="str">
            <v>Lao People's Democratic Republic</v>
          </cell>
          <cell r="D105">
            <v>2024</v>
          </cell>
          <cell r="E105" t="str">
            <v>FLU_ALL</v>
          </cell>
          <cell r="F105" t="str">
            <v>Influenza all persons above ≥6 months (universal recommendation)</v>
          </cell>
          <cell r="G105" t="str">
            <v>ADMIN</v>
          </cell>
          <cell r="H105" t="str">
            <v>Administrative coverage</v>
          </cell>
          <cell r="I105"/>
          <cell r="J105"/>
          <cell r="K105"/>
        </row>
        <row r="106">
          <cell r="B106" t="str">
            <v>LVA</v>
          </cell>
          <cell r="C106" t="str">
            <v>Latvia</v>
          </cell>
          <cell r="D106">
            <v>2024</v>
          </cell>
          <cell r="E106" t="str">
            <v>FLU_ALL</v>
          </cell>
          <cell r="F106" t="str">
            <v>Influenza all persons above ≥6 months (universal recommendation)</v>
          </cell>
          <cell r="G106" t="str">
            <v>ADMIN</v>
          </cell>
          <cell r="H106" t="str">
            <v>Administrative coverage</v>
          </cell>
          <cell r="I106"/>
          <cell r="J106"/>
          <cell r="K106"/>
        </row>
        <row r="107">
          <cell r="B107" t="str">
            <v>LBN</v>
          </cell>
          <cell r="C107" t="str">
            <v>Lebanon</v>
          </cell>
          <cell r="D107">
            <v>2024</v>
          </cell>
          <cell r="E107" t="str">
            <v>FLU_ALL</v>
          </cell>
          <cell r="F107" t="str">
            <v>Influenza all persons above ≥6 months (universal recommendation)</v>
          </cell>
          <cell r="G107" t="str">
            <v>ADMIN</v>
          </cell>
          <cell r="H107" t="str">
            <v>Administrative coverage</v>
          </cell>
          <cell r="I107"/>
          <cell r="J107"/>
          <cell r="K107"/>
        </row>
        <row r="108">
          <cell r="B108" t="str">
            <v>LSO</v>
          </cell>
          <cell r="C108" t="str">
            <v>Lesotho</v>
          </cell>
          <cell r="D108">
            <v>2024</v>
          </cell>
          <cell r="E108" t="str">
            <v>FLU_ALL</v>
          </cell>
          <cell r="F108" t="str">
            <v>Influenza all persons above ≥6 months (universal recommendation)</v>
          </cell>
          <cell r="G108" t="str">
            <v>ADMIN</v>
          </cell>
          <cell r="H108" t="str">
            <v>Administrative coverage</v>
          </cell>
          <cell r="I108"/>
          <cell r="J108"/>
          <cell r="K108"/>
        </row>
        <row r="109">
          <cell r="B109" t="str">
            <v>LBR</v>
          </cell>
          <cell r="C109" t="str">
            <v>Liberia</v>
          </cell>
          <cell r="D109">
            <v>2024</v>
          </cell>
          <cell r="E109" t="str">
            <v>FLU_ALL</v>
          </cell>
          <cell r="F109" t="str">
            <v>Influenza all persons above ≥6 months (universal recommendation)</v>
          </cell>
          <cell r="G109" t="str">
            <v>ADMIN</v>
          </cell>
          <cell r="H109" t="str">
            <v>Administrative coverage</v>
          </cell>
          <cell r="I109"/>
          <cell r="J109"/>
          <cell r="K109"/>
        </row>
        <row r="110">
          <cell r="B110" t="str">
            <v>LBY</v>
          </cell>
          <cell r="C110" t="str">
            <v>Libya</v>
          </cell>
          <cell r="D110">
            <v>2024</v>
          </cell>
          <cell r="E110" t="str">
            <v>FLU_ALL</v>
          </cell>
          <cell r="F110" t="str">
            <v>Influenza all persons above ≥6 months (universal recommendation)</v>
          </cell>
          <cell r="G110" t="str">
            <v>ADMIN</v>
          </cell>
          <cell r="H110" t="str">
            <v>Administrative coverage</v>
          </cell>
          <cell r="I110"/>
          <cell r="J110"/>
          <cell r="K110"/>
        </row>
        <row r="111">
          <cell r="B111" t="str">
            <v>LTU</v>
          </cell>
          <cell r="C111" t="str">
            <v>Lithuania</v>
          </cell>
          <cell r="D111">
            <v>2024</v>
          </cell>
          <cell r="E111" t="str">
            <v>FLU_ALL</v>
          </cell>
          <cell r="F111" t="str">
            <v>Influenza all persons above ≥6 months (universal recommendation)</v>
          </cell>
          <cell r="G111" t="str">
            <v>ADMIN</v>
          </cell>
          <cell r="H111" t="str">
            <v>Administrative coverage</v>
          </cell>
          <cell r="I111">
            <v>2871585</v>
          </cell>
          <cell r="J111">
            <v>250287</v>
          </cell>
          <cell r="K111">
            <v>8.7200000000000006</v>
          </cell>
        </row>
        <row r="112">
          <cell r="B112" t="str">
            <v>LUX</v>
          </cell>
          <cell r="C112" t="str">
            <v>Luxembourg</v>
          </cell>
          <cell r="D112">
            <v>2024</v>
          </cell>
          <cell r="E112" t="str">
            <v>FLU_ALL</v>
          </cell>
          <cell r="F112" t="str">
            <v>Influenza all persons above ≥6 months (universal recommendation)</v>
          </cell>
          <cell r="G112" t="str">
            <v>ADMIN</v>
          </cell>
          <cell r="H112" t="str">
            <v>Administrative coverage</v>
          </cell>
          <cell r="I112"/>
          <cell r="J112"/>
          <cell r="K112"/>
        </row>
        <row r="113">
          <cell r="B113" t="str">
            <v>MDG</v>
          </cell>
          <cell r="C113" t="str">
            <v>Madagascar</v>
          </cell>
          <cell r="D113">
            <v>2024</v>
          </cell>
          <cell r="E113" t="str">
            <v>FLU_ALL</v>
          </cell>
          <cell r="F113" t="str">
            <v>Influenza all persons above ≥6 months (universal recommendation)</v>
          </cell>
          <cell r="G113" t="str">
            <v>ADMIN</v>
          </cell>
          <cell r="H113" t="str">
            <v>Administrative coverage</v>
          </cell>
          <cell r="I113"/>
          <cell r="J113"/>
          <cell r="K113"/>
        </row>
        <row r="114">
          <cell r="B114" t="str">
            <v>MWI</v>
          </cell>
          <cell r="C114" t="str">
            <v>Malawi</v>
          </cell>
          <cell r="D114">
            <v>2024</v>
          </cell>
          <cell r="E114" t="str">
            <v>FLU_ALL</v>
          </cell>
          <cell r="F114" t="str">
            <v>Influenza all persons above ≥6 months (universal recommendation)</v>
          </cell>
          <cell r="G114" t="str">
            <v>ADMIN</v>
          </cell>
          <cell r="H114" t="str">
            <v>Administrative coverage</v>
          </cell>
          <cell r="I114"/>
          <cell r="J114"/>
          <cell r="K114"/>
        </row>
        <row r="115">
          <cell r="B115" t="str">
            <v>MYS</v>
          </cell>
          <cell r="C115" t="str">
            <v>Malaysia</v>
          </cell>
          <cell r="D115">
            <v>2024</v>
          </cell>
          <cell r="E115" t="str">
            <v>FLU_ALL</v>
          </cell>
          <cell r="F115" t="str">
            <v>Influenza all persons above ≥6 months (universal recommendation)</v>
          </cell>
          <cell r="G115" t="str">
            <v>ADMIN</v>
          </cell>
          <cell r="H115" t="str">
            <v>Administrative coverage</v>
          </cell>
          <cell r="I115"/>
          <cell r="J115"/>
          <cell r="K115"/>
        </row>
        <row r="116">
          <cell r="B116" t="str">
            <v>MDV</v>
          </cell>
          <cell r="C116" t="str">
            <v>Maldives</v>
          </cell>
          <cell r="D116">
            <v>2024</v>
          </cell>
          <cell r="E116" t="str">
            <v>FLU_ALL</v>
          </cell>
          <cell r="F116" t="str">
            <v>Influenza all persons above ≥6 months (universal recommendation)</v>
          </cell>
          <cell r="G116" t="str">
            <v>ADMIN</v>
          </cell>
          <cell r="H116" t="str">
            <v>Administrative coverage</v>
          </cell>
          <cell r="I116"/>
          <cell r="J116"/>
          <cell r="K116"/>
        </row>
        <row r="117">
          <cell r="B117" t="str">
            <v>MLI</v>
          </cell>
          <cell r="C117" t="str">
            <v>Mali</v>
          </cell>
          <cell r="D117">
            <v>2024</v>
          </cell>
          <cell r="E117" t="str">
            <v>FLU_ALL</v>
          </cell>
          <cell r="F117" t="str">
            <v>Influenza all persons above ≥6 months (universal recommendation)</v>
          </cell>
          <cell r="G117" t="str">
            <v>ADMIN</v>
          </cell>
          <cell r="H117" t="str">
            <v>Administrative coverage</v>
          </cell>
          <cell r="I117"/>
          <cell r="J117"/>
          <cell r="K117"/>
        </row>
        <row r="118">
          <cell r="B118" t="str">
            <v>MLT</v>
          </cell>
          <cell r="C118" t="str">
            <v>Malta</v>
          </cell>
          <cell r="D118">
            <v>2024</v>
          </cell>
          <cell r="E118" t="str">
            <v>FLU_ALL</v>
          </cell>
          <cell r="F118" t="str">
            <v>Influenza all persons above ≥6 months (universal recommendation)</v>
          </cell>
          <cell r="G118" t="str">
            <v>ADMIN</v>
          </cell>
          <cell r="H118" t="str">
            <v>Administrative coverage</v>
          </cell>
          <cell r="I118"/>
          <cell r="J118">
            <v>134100</v>
          </cell>
          <cell r="K118"/>
        </row>
        <row r="119">
          <cell r="B119" t="str">
            <v>MHL</v>
          </cell>
          <cell r="C119" t="str">
            <v>Marshall Islands</v>
          </cell>
          <cell r="D119">
            <v>2024</v>
          </cell>
          <cell r="E119" t="str">
            <v>FLU_ALL</v>
          </cell>
          <cell r="F119" t="str">
            <v>Influenza all persons above ≥6 months (universal recommendation)</v>
          </cell>
          <cell r="G119" t="str">
            <v>ADMIN</v>
          </cell>
          <cell r="H119" t="str">
            <v>Administrative coverage</v>
          </cell>
          <cell r="I119"/>
          <cell r="J119"/>
          <cell r="K119"/>
        </row>
        <row r="120">
          <cell r="B120" t="str">
            <v>MRT</v>
          </cell>
          <cell r="C120" t="str">
            <v>Mauritania</v>
          </cell>
          <cell r="D120">
            <v>2024</v>
          </cell>
          <cell r="E120" t="str">
            <v>FLU_ALL</v>
          </cell>
          <cell r="F120" t="str">
            <v>Influenza all persons above ≥6 months (universal recommendation)</v>
          </cell>
          <cell r="G120" t="str">
            <v>ADMIN</v>
          </cell>
          <cell r="H120" t="str">
            <v>Administrative coverage</v>
          </cell>
          <cell r="I120"/>
          <cell r="J120"/>
          <cell r="K120"/>
        </row>
        <row r="121">
          <cell r="B121" t="str">
            <v>MUS</v>
          </cell>
          <cell r="C121" t="str">
            <v>Mauritius</v>
          </cell>
          <cell r="D121">
            <v>2024</v>
          </cell>
          <cell r="E121" t="str">
            <v>FLU_ALL</v>
          </cell>
          <cell r="F121" t="str">
            <v>Influenza all persons above ≥6 months (universal recommendation)</v>
          </cell>
          <cell r="G121" t="str">
            <v>ADMIN</v>
          </cell>
          <cell r="H121" t="str">
            <v>Administrative coverage</v>
          </cell>
          <cell r="I121"/>
          <cell r="J121"/>
          <cell r="K121"/>
        </row>
        <row r="122">
          <cell r="B122" t="str">
            <v>MEX</v>
          </cell>
          <cell r="C122" t="str">
            <v>Mexico</v>
          </cell>
          <cell r="D122">
            <v>2024</v>
          </cell>
          <cell r="E122" t="str">
            <v>FLU_ALL</v>
          </cell>
          <cell r="F122" t="str">
            <v>Influenza all persons above ≥6 months (universal recommendation)</v>
          </cell>
          <cell r="G122" t="str">
            <v>ADMIN</v>
          </cell>
          <cell r="H122" t="str">
            <v>Administrative coverage</v>
          </cell>
          <cell r="I122"/>
          <cell r="J122"/>
          <cell r="K122"/>
        </row>
        <row r="123">
          <cell r="B123" t="str">
            <v>FSM</v>
          </cell>
          <cell r="C123" t="str">
            <v>Micronesia (Federated States of)</v>
          </cell>
          <cell r="D123">
            <v>2024</v>
          </cell>
          <cell r="E123" t="str">
            <v>FLU_ALL</v>
          </cell>
          <cell r="F123" t="str">
            <v>Influenza all persons above ≥6 months (universal recommendation)</v>
          </cell>
          <cell r="G123" t="str">
            <v>ADMIN</v>
          </cell>
          <cell r="H123" t="str">
            <v>Administrative coverage</v>
          </cell>
          <cell r="I123"/>
          <cell r="J123"/>
          <cell r="K123"/>
        </row>
        <row r="124">
          <cell r="B124" t="str">
            <v>MCO</v>
          </cell>
          <cell r="C124" t="str">
            <v>Monaco</v>
          </cell>
          <cell r="D124">
            <v>2024</v>
          </cell>
          <cell r="E124" t="str">
            <v>FLU_ALL</v>
          </cell>
          <cell r="F124" t="str">
            <v>Influenza all persons above ≥6 months (universal recommendation)</v>
          </cell>
          <cell r="G124" t="str">
            <v>ADMIN</v>
          </cell>
          <cell r="H124" t="str">
            <v>Administrative coverage</v>
          </cell>
          <cell r="I124"/>
          <cell r="J124"/>
          <cell r="K124"/>
        </row>
        <row r="125">
          <cell r="B125" t="str">
            <v>MNG</v>
          </cell>
          <cell r="C125" t="str">
            <v>Mongolia</v>
          </cell>
          <cell r="D125">
            <v>2024</v>
          </cell>
          <cell r="E125" t="str">
            <v>FLU_ALL</v>
          </cell>
          <cell r="F125" t="str">
            <v>Influenza all persons above ≥6 months (universal recommendation)</v>
          </cell>
          <cell r="G125" t="str">
            <v>ADMIN</v>
          </cell>
          <cell r="H125" t="str">
            <v>Administrative coverage</v>
          </cell>
          <cell r="I125"/>
          <cell r="J125"/>
          <cell r="K125"/>
        </row>
        <row r="126">
          <cell r="B126" t="str">
            <v>MNE</v>
          </cell>
          <cell r="C126" t="str">
            <v>Montenegro</v>
          </cell>
          <cell r="D126">
            <v>2024</v>
          </cell>
          <cell r="E126" t="str">
            <v>FLU_ALL</v>
          </cell>
          <cell r="F126" t="str">
            <v>Influenza all persons above ≥6 months (universal recommendation)</v>
          </cell>
          <cell r="G126" t="str">
            <v>ADMIN</v>
          </cell>
          <cell r="H126" t="str">
            <v>Administrative coverage</v>
          </cell>
          <cell r="I126"/>
          <cell r="J126"/>
          <cell r="K126"/>
        </row>
        <row r="127">
          <cell r="B127" t="str">
            <v>MSR</v>
          </cell>
          <cell r="C127" t="str">
            <v>Montserrat</v>
          </cell>
          <cell r="D127">
            <v>2024</v>
          </cell>
          <cell r="E127" t="str">
            <v>FLU_ALL</v>
          </cell>
          <cell r="F127" t="str">
            <v>Influenza all persons above ≥6 months (universal recommendation)</v>
          </cell>
          <cell r="G127" t="str">
            <v>ADMIN</v>
          </cell>
          <cell r="H127" t="str">
            <v>Administrative coverage</v>
          </cell>
          <cell r="I127"/>
          <cell r="J127"/>
          <cell r="K127"/>
        </row>
        <row r="128">
          <cell r="B128" t="str">
            <v>MAR</v>
          </cell>
          <cell r="C128" t="str">
            <v>Morocco</v>
          </cell>
          <cell r="D128">
            <v>2024</v>
          </cell>
          <cell r="E128" t="str">
            <v>FLU_ALL</v>
          </cell>
          <cell r="F128" t="str">
            <v>Influenza all persons above ≥6 months (universal recommendation)</v>
          </cell>
          <cell r="G128" t="str">
            <v>ADMIN</v>
          </cell>
          <cell r="H128" t="str">
            <v>Administrative coverage</v>
          </cell>
          <cell r="I128"/>
          <cell r="J128"/>
          <cell r="K128"/>
        </row>
        <row r="129">
          <cell r="B129" t="str">
            <v>MOZ</v>
          </cell>
          <cell r="C129" t="str">
            <v>Mozambique</v>
          </cell>
          <cell r="D129">
            <v>2024</v>
          </cell>
          <cell r="E129" t="str">
            <v>FLU_ALL</v>
          </cell>
          <cell r="F129" t="str">
            <v>Influenza all persons above ≥6 months (universal recommendation)</v>
          </cell>
          <cell r="G129" t="str">
            <v>ADMIN</v>
          </cell>
          <cell r="H129" t="str">
            <v>Administrative coverage</v>
          </cell>
          <cell r="I129"/>
          <cell r="J129"/>
          <cell r="K129"/>
        </row>
        <row r="130">
          <cell r="B130" t="str">
            <v>MMR</v>
          </cell>
          <cell r="C130" t="str">
            <v>Myanmar</v>
          </cell>
          <cell r="D130">
            <v>2024</v>
          </cell>
          <cell r="E130" t="str">
            <v>FLU_ALL</v>
          </cell>
          <cell r="F130" t="str">
            <v>Influenza all persons above ≥6 months (universal recommendation)</v>
          </cell>
          <cell r="G130" t="str">
            <v>ADMIN</v>
          </cell>
          <cell r="H130" t="str">
            <v>Administrative coverage</v>
          </cell>
          <cell r="I130"/>
          <cell r="J130"/>
          <cell r="K130"/>
        </row>
        <row r="131">
          <cell r="B131" t="str">
            <v>NAM</v>
          </cell>
          <cell r="C131" t="str">
            <v>Namibia</v>
          </cell>
          <cell r="D131">
            <v>2024</v>
          </cell>
          <cell r="E131" t="str">
            <v>FLU_ALL</v>
          </cell>
          <cell r="F131" t="str">
            <v>Influenza all persons above ≥6 months (universal recommendation)</v>
          </cell>
          <cell r="G131" t="str">
            <v>ADMIN</v>
          </cell>
          <cell r="H131" t="str">
            <v>Administrative coverage</v>
          </cell>
          <cell r="I131"/>
          <cell r="J131"/>
          <cell r="K131"/>
        </row>
        <row r="132">
          <cell r="B132" t="str">
            <v>NRU</v>
          </cell>
          <cell r="C132" t="str">
            <v>Nauru</v>
          </cell>
          <cell r="D132">
            <v>2024</v>
          </cell>
          <cell r="E132" t="str">
            <v>FLU_ALL</v>
          </cell>
          <cell r="F132" t="str">
            <v>Influenza all persons above ≥6 months (universal recommendation)</v>
          </cell>
          <cell r="G132" t="str">
            <v>ADMIN</v>
          </cell>
          <cell r="H132" t="str">
            <v>Administrative coverage</v>
          </cell>
          <cell r="I132"/>
          <cell r="J132"/>
          <cell r="K132"/>
        </row>
        <row r="133">
          <cell r="B133" t="str">
            <v>NPL</v>
          </cell>
          <cell r="C133" t="str">
            <v>Nepal</v>
          </cell>
          <cell r="D133">
            <v>2024</v>
          </cell>
          <cell r="E133" t="str">
            <v>FLU_ALL</v>
          </cell>
          <cell r="F133" t="str">
            <v>Influenza all persons above ≥6 months (universal recommendation)</v>
          </cell>
          <cell r="G133" t="str">
            <v>ADMIN</v>
          </cell>
          <cell r="H133" t="str">
            <v>Administrative coverage</v>
          </cell>
          <cell r="I133"/>
          <cell r="J133"/>
          <cell r="K133"/>
        </row>
        <row r="134">
          <cell r="B134" t="str">
            <v>NLD</v>
          </cell>
          <cell r="C134" t="str">
            <v>Netherlands (Kingdom of the)</v>
          </cell>
          <cell r="D134">
            <v>2024</v>
          </cell>
          <cell r="E134" t="str">
            <v>FLU_ALL</v>
          </cell>
          <cell r="F134" t="str">
            <v>Influenza all persons above ≥6 months (universal recommendation)</v>
          </cell>
          <cell r="G134" t="str">
            <v>ADMIN</v>
          </cell>
          <cell r="H134" t="str">
            <v>Administrative coverage</v>
          </cell>
          <cell r="I134"/>
          <cell r="J134"/>
          <cell r="K134"/>
        </row>
        <row r="135">
          <cell r="B135" t="str">
            <v>NCL</v>
          </cell>
          <cell r="C135" t="str">
            <v>New Caledonia</v>
          </cell>
          <cell r="D135">
            <v>2024</v>
          </cell>
          <cell r="E135" t="str">
            <v>FLU_ALL</v>
          </cell>
          <cell r="F135" t="str">
            <v>Influenza all persons above ≥6 months (universal recommendation)</v>
          </cell>
          <cell r="G135" t="str">
            <v>ADMIN</v>
          </cell>
          <cell r="H135" t="str">
            <v>Administrative coverage</v>
          </cell>
          <cell r="I135"/>
          <cell r="J135"/>
          <cell r="K135"/>
        </row>
        <row r="136">
          <cell r="B136" t="str">
            <v>NZL</v>
          </cell>
          <cell r="C136" t="str">
            <v>New Zealand</v>
          </cell>
          <cell r="D136">
            <v>2024</v>
          </cell>
          <cell r="E136" t="str">
            <v>FLU_ALL</v>
          </cell>
          <cell r="F136" t="str">
            <v>Influenza all persons above ≥6 months (universal recommendation)</v>
          </cell>
          <cell r="G136" t="str">
            <v>ADMIN</v>
          </cell>
          <cell r="H136" t="str">
            <v>Administrative coverage</v>
          </cell>
          <cell r="I136"/>
          <cell r="J136"/>
          <cell r="K136"/>
        </row>
        <row r="137">
          <cell r="B137" t="str">
            <v>NIC</v>
          </cell>
          <cell r="C137" t="str">
            <v>Nicaragua</v>
          </cell>
          <cell r="D137">
            <v>2024</v>
          </cell>
          <cell r="E137" t="str">
            <v>FLU_ALL</v>
          </cell>
          <cell r="F137" t="str">
            <v>Influenza all persons above ≥6 months (universal recommendation)</v>
          </cell>
          <cell r="G137" t="str">
            <v>ADMIN</v>
          </cell>
          <cell r="H137" t="str">
            <v>Administrative coverage</v>
          </cell>
          <cell r="I137"/>
          <cell r="J137"/>
          <cell r="K137"/>
        </row>
        <row r="138">
          <cell r="B138" t="str">
            <v>NER</v>
          </cell>
          <cell r="C138" t="str">
            <v>Niger</v>
          </cell>
          <cell r="D138">
            <v>2024</v>
          </cell>
          <cell r="E138" t="str">
            <v>FLU_ALL</v>
          </cell>
          <cell r="F138" t="str">
            <v>Influenza all persons above ≥6 months (universal recommendation)</v>
          </cell>
          <cell r="G138" t="str">
            <v>ADMIN</v>
          </cell>
          <cell r="H138" t="str">
            <v>Administrative coverage</v>
          </cell>
          <cell r="I138"/>
          <cell r="J138"/>
          <cell r="K138"/>
        </row>
        <row r="139">
          <cell r="B139" t="str">
            <v>NGA</v>
          </cell>
          <cell r="C139" t="str">
            <v>Nigeria</v>
          </cell>
          <cell r="D139">
            <v>2024</v>
          </cell>
          <cell r="E139" t="str">
            <v>FLU_ALL</v>
          </cell>
          <cell r="F139" t="str">
            <v>Influenza all persons above ≥6 months (universal recommendation)</v>
          </cell>
          <cell r="G139" t="str">
            <v>ADMIN</v>
          </cell>
          <cell r="H139" t="str">
            <v>Administrative coverage</v>
          </cell>
          <cell r="I139"/>
          <cell r="J139"/>
          <cell r="K139"/>
        </row>
        <row r="140">
          <cell r="B140" t="str">
            <v>NIU</v>
          </cell>
          <cell r="C140" t="str">
            <v>Niue</v>
          </cell>
          <cell r="D140">
            <v>2024</v>
          </cell>
          <cell r="E140" t="str">
            <v>FLU_ALL</v>
          </cell>
          <cell r="F140" t="str">
            <v>Influenza all persons above ≥6 months (universal recommendation)</v>
          </cell>
          <cell r="G140" t="str">
            <v>ADMIN</v>
          </cell>
          <cell r="H140" t="str">
            <v>Administrative coverage</v>
          </cell>
          <cell r="I140"/>
          <cell r="J140"/>
          <cell r="K140"/>
        </row>
        <row r="141">
          <cell r="B141" t="str">
            <v>MKD</v>
          </cell>
          <cell r="C141" t="str">
            <v>North Macedonia</v>
          </cell>
          <cell r="D141">
            <v>2024</v>
          </cell>
          <cell r="E141" t="str">
            <v>FLU_ALL</v>
          </cell>
          <cell r="F141" t="str">
            <v>Influenza all persons above ≥6 months (universal recommendation)</v>
          </cell>
          <cell r="G141" t="str">
            <v>ADMIN</v>
          </cell>
          <cell r="H141" t="str">
            <v>Administrative coverage</v>
          </cell>
          <cell r="I141"/>
          <cell r="J141">
            <v>1923</v>
          </cell>
          <cell r="K141"/>
        </row>
        <row r="142">
          <cell r="B142" t="str">
            <v>MNP</v>
          </cell>
          <cell r="C142" t="str">
            <v>Northern Mariana Islands</v>
          </cell>
          <cell r="D142">
            <v>2024</v>
          </cell>
          <cell r="E142" t="str">
            <v>FLU_ALL</v>
          </cell>
          <cell r="F142" t="str">
            <v>Influenza all persons above ≥6 months (universal recommendation)</v>
          </cell>
          <cell r="G142" t="str">
            <v>ADMIN</v>
          </cell>
          <cell r="H142" t="str">
            <v>Administrative coverage</v>
          </cell>
          <cell r="I142"/>
          <cell r="J142"/>
          <cell r="K142"/>
        </row>
        <row r="143">
          <cell r="B143" t="str">
            <v>NOR</v>
          </cell>
          <cell r="C143" t="str">
            <v>Norway</v>
          </cell>
          <cell r="D143">
            <v>2024</v>
          </cell>
          <cell r="E143" t="str">
            <v>FLU_ALL</v>
          </cell>
          <cell r="F143" t="str">
            <v>Influenza all persons above ≥6 months (universal recommendation)</v>
          </cell>
          <cell r="G143" t="str">
            <v>ADMIN</v>
          </cell>
          <cell r="H143" t="str">
            <v>Administrative coverage</v>
          </cell>
          <cell r="I143"/>
          <cell r="J143"/>
          <cell r="K143"/>
        </row>
        <row r="144">
          <cell r="B144" t="str">
            <v>PSE</v>
          </cell>
          <cell r="C144" t="str">
            <v>occupied Palestinian territory, including east Jerusalem</v>
          </cell>
          <cell r="D144">
            <v>2024</v>
          </cell>
          <cell r="E144" t="str">
            <v>FLU_ALL</v>
          </cell>
          <cell r="F144" t="str">
            <v>Influenza all persons above ≥6 months (universal recommendation)</v>
          </cell>
          <cell r="G144" t="str">
            <v>ADMIN</v>
          </cell>
          <cell r="H144" t="str">
            <v>Administrative coverage</v>
          </cell>
          <cell r="I144"/>
          <cell r="J144"/>
          <cell r="K144"/>
        </row>
        <row r="145">
          <cell r="B145" t="str">
            <v>OMN</v>
          </cell>
          <cell r="C145" t="str">
            <v>Oman</v>
          </cell>
          <cell r="D145">
            <v>2024</v>
          </cell>
          <cell r="E145" t="str">
            <v>FLU_ALL</v>
          </cell>
          <cell r="F145" t="str">
            <v>Influenza all persons above ≥6 months (universal recommendation)</v>
          </cell>
          <cell r="G145" t="str">
            <v>ADMIN</v>
          </cell>
          <cell r="H145" t="str">
            <v>Administrative coverage</v>
          </cell>
          <cell r="I145"/>
          <cell r="J145"/>
          <cell r="K145"/>
        </row>
        <row r="146">
          <cell r="B146" t="str">
            <v>PAK</v>
          </cell>
          <cell r="C146" t="str">
            <v>Pakistan</v>
          </cell>
          <cell r="D146">
            <v>2024</v>
          </cell>
          <cell r="E146" t="str">
            <v>FLU_ALL</v>
          </cell>
          <cell r="F146" t="str">
            <v>Influenza all persons above ≥6 months (universal recommendation)</v>
          </cell>
          <cell r="G146" t="str">
            <v>ADMIN</v>
          </cell>
          <cell r="H146" t="str">
            <v>Administrative coverage</v>
          </cell>
          <cell r="I146"/>
          <cell r="J146"/>
          <cell r="K146"/>
        </row>
        <row r="147">
          <cell r="B147" t="str">
            <v>PLW</v>
          </cell>
          <cell r="C147" t="str">
            <v>Palau</v>
          </cell>
          <cell r="D147">
            <v>2024</v>
          </cell>
          <cell r="E147" t="str">
            <v>FLU_ALL</v>
          </cell>
          <cell r="F147" t="str">
            <v>Influenza all persons above ≥6 months (universal recommendation)</v>
          </cell>
          <cell r="G147" t="str">
            <v>ADMIN</v>
          </cell>
          <cell r="H147" t="str">
            <v>Administrative coverage</v>
          </cell>
          <cell r="I147"/>
          <cell r="J147"/>
          <cell r="K147"/>
        </row>
        <row r="148">
          <cell r="B148" t="str">
            <v>PAN</v>
          </cell>
          <cell r="C148" t="str">
            <v>Panama</v>
          </cell>
          <cell r="D148">
            <v>2024</v>
          </cell>
          <cell r="E148" t="str">
            <v>FLU_ALL</v>
          </cell>
          <cell r="F148" t="str">
            <v>Influenza all persons above ≥6 months (universal recommendation)</v>
          </cell>
          <cell r="G148" t="str">
            <v>ADMIN</v>
          </cell>
          <cell r="H148" t="str">
            <v>Administrative coverage</v>
          </cell>
          <cell r="I148"/>
          <cell r="J148"/>
          <cell r="K148"/>
        </row>
        <row r="149">
          <cell r="B149" t="str">
            <v>PNG</v>
          </cell>
          <cell r="C149" t="str">
            <v>Papua New Guinea</v>
          </cell>
          <cell r="D149">
            <v>2024</v>
          </cell>
          <cell r="E149" t="str">
            <v>FLU_ALL</v>
          </cell>
          <cell r="F149" t="str">
            <v>Influenza all persons above ≥6 months (universal recommendation)</v>
          </cell>
          <cell r="G149" t="str">
            <v>ADMIN</v>
          </cell>
          <cell r="H149" t="str">
            <v>Administrative coverage</v>
          </cell>
          <cell r="I149"/>
          <cell r="J149"/>
          <cell r="K149"/>
        </row>
        <row r="150">
          <cell r="B150" t="str">
            <v>PRY</v>
          </cell>
          <cell r="C150" t="str">
            <v>Paraguay</v>
          </cell>
          <cell r="D150">
            <v>2024</v>
          </cell>
          <cell r="E150" t="str">
            <v>FLU_ALL</v>
          </cell>
          <cell r="F150" t="str">
            <v>Influenza all persons above ≥6 months (universal recommendation)</v>
          </cell>
          <cell r="G150" t="str">
            <v>ADMIN</v>
          </cell>
          <cell r="H150" t="str">
            <v>Administrative coverage</v>
          </cell>
          <cell r="I150"/>
          <cell r="J150"/>
          <cell r="K150"/>
        </row>
        <row r="151">
          <cell r="B151" t="str">
            <v>PER</v>
          </cell>
          <cell r="C151" t="str">
            <v>Peru</v>
          </cell>
          <cell r="D151">
            <v>2024</v>
          </cell>
          <cell r="E151" t="str">
            <v>FLU_ALL</v>
          </cell>
          <cell r="F151" t="str">
            <v>Influenza all persons above ≥6 months (universal recommendation)</v>
          </cell>
          <cell r="G151" t="str">
            <v>ADMIN</v>
          </cell>
          <cell r="H151" t="str">
            <v>Administrative coverage</v>
          </cell>
          <cell r="I151"/>
          <cell r="J151"/>
          <cell r="K151"/>
        </row>
        <row r="152">
          <cell r="B152" t="str">
            <v>PHL</v>
          </cell>
          <cell r="C152" t="str">
            <v>Philippines</v>
          </cell>
          <cell r="D152">
            <v>2024</v>
          </cell>
          <cell r="E152" t="str">
            <v>FLU_ALL</v>
          </cell>
          <cell r="F152" t="str">
            <v>Influenza all persons above ≥6 months (universal recommendation)</v>
          </cell>
          <cell r="G152" t="str">
            <v>ADMIN</v>
          </cell>
          <cell r="H152" t="str">
            <v>Administrative coverage</v>
          </cell>
          <cell r="I152"/>
          <cell r="J152"/>
          <cell r="K152"/>
        </row>
        <row r="153">
          <cell r="B153" t="str">
            <v>POL</v>
          </cell>
          <cell r="C153" t="str">
            <v>Poland</v>
          </cell>
          <cell r="D153">
            <v>2024</v>
          </cell>
          <cell r="E153" t="str">
            <v>FLU_ALL</v>
          </cell>
          <cell r="F153" t="str">
            <v>Influenza all persons above ≥6 months (universal recommendation)</v>
          </cell>
          <cell r="G153" t="str">
            <v>ADMIN</v>
          </cell>
          <cell r="H153" t="str">
            <v>Administrative coverage</v>
          </cell>
          <cell r="I153"/>
          <cell r="J153"/>
          <cell r="K153"/>
        </row>
        <row r="154">
          <cell r="B154" t="str">
            <v>PRT</v>
          </cell>
          <cell r="C154" t="str">
            <v>Portugal</v>
          </cell>
          <cell r="D154">
            <v>2024</v>
          </cell>
          <cell r="E154" t="str">
            <v>FLU_ALL</v>
          </cell>
          <cell r="F154" t="str">
            <v>Influenza all persons above ≥6 months (universal recommendation)</v>
          </cell>
          <cell r="G154" t="str">
            <v>ADMIN</v>
          </cell>
          <cell r="H154" t="str">
            <v>Administrative coverage</v>
          </cell>
          <cell r="I154"/>
          <cell r="J154"/>
          <cell r="K154"/>
        </row>
        <row r="155">
          <cell r="B155" t="str">
            <v>QAT</v>
          </cell>
          <cell r="C155" t="str">
            <v>Qatar</v>
          </cell>
          <cell r="D155">
            <v>2024</v>
          </cell>
          <cell r="E155" t="str">
            <v>FLU_ALL</v>
          </cell>
          <cell r="F155" t="str">
            <v>Influenza all persons above ≥6 months (universal recommendation)</v>
          </cell>
          <cell r="G155" t="str">
            <v>ADMIN</v>
          </cell>
          <cell r="H155" t="str">
            <v>Administrative coverage</v>
          </cell>
          <cell r="I155"/>
          <cell r="J155"/>
          <cell r="K155"/>
        </row>
        <row r="156">
          <cell r="B156" t="str">
            <v>KOR</v>
          </cell>
          <cell r="C156" t="str">
            <v>Republic of Korea</v>
          </cell>
          <cell r="D156">
            <v>2024</v>
          </cell>
          <cell r="E156" t="str">
            <v>FLU_ALL</v>
          </cell>
          <cell r="F156" t="str">
            <v>Influenza all persons above ≥6 months (universal recommendation)</v>
          </cell>
          <cell r="G156" t="str">
            <v>ADMIN</v>
          </cell>
          <cell r="H156" t="str">
            <v>Administrative coverage</v>
          </cell>
          <cell r="I156"/>
          <cell r="J156"/>
          <cell r="K156"/>
        </row>
        <row r="157">
          <cell r="B157" t="str">
            <v>MDA</v>
          </cell>
          <cell r="C157" t="str">
            <v>Republic of Moldova</v>
          </cell>
          <cell r="D157">
            <v>2024</v>
          </cell>
          <cell r="E157" t="str">
            <v>FLU_ALL</v>
          </cell>
          <cell r="F157" t="str">
            <v>Influenza all persons above ≥6 months (universal recommendation)</v>
          </cell>
          <cell r="G157" t="str">
            <v>ADMIN</v>
          </cell>
          <cell r="H157" t="str">
            <v>Administrative coverage</v>
          </cell>
          <cell r="I157"/>
          <cell r="J157"/>
          <cell r="K157"/>
        </row>
        <row r="158">
          <cell r="B158" t="str">
            <v>ROU</v>
          </cell>
          <cell r="C158" t="str">
            <v>Romania</v>
          </cell>
          <cell r="D158">
            <v>2024</v>
          </cell>
          <cell r="E158" t="str">
            <v>FLU_ALL</v>
          </cell>
          <cell r="F158" t="str">
            <v>Influenza all persons above ≥6 months (universal recommendation)</v>
          </cell>
          <cell r="G158" t="str">
            <v>ADMIN</v>
          </cell>
          <cell r="H158" t="str">
            <v>Administrative coverage</v>
          </cell>
          <cell r="I158"/>
          <cell r="J158">
            <v>31995</v>
          </cell>
          <cell r="K158"/>
        </row>
        <row r="159">
          <cell r="B159" t="str">
            <v>RUS</v>
          </cell>
          <cell r="C159" t="str">
            <v>Russian Federation</v>
          </cell>
          <cell r="D159">
            <v>2024</v>
          </cell>
          <cell r="E159" t="str">
            <v>FLU_ALL</v>
          </cell>
          <cell r="F159" t="str">
            <v>Influenza all persons above ≥6 months (universal recommendation)</v>
          </cell>
          <cell r="G159" t="str">
            <v>ADMIN</v>
          </cell>
          <cell r="H159" t="str">
            <v>Administrative coverage</v>
          </cell>
          <cell r="I159"/>
          <cell r="J159"/>
          <cell r="K159"/>
        </row>
        <row r="160">
          <cell r="B160" t="str">
            <v>RWA</v>
          </cell>
          <cell r="C160" t="str">
            <v>Rwanda</v>
          </cell>
          <cell r="D160">
            <v>2024</v>
          </cell>
          <cell r="E160" t="str">
            <v>FLU_ALL</v>
          </cell>
          <cell r="F160" t="str">
            <v>Influenza all persons above ≥6 months (universal recommendation)</v>
          </cell>
          <cell r="G160" t="str">
            <v>ADMIN</v>
          </cell>
          <cell r="H160" t="str">
            <v>Administrative coverage</v>
          </cell>
          <cell r="I160"/>
          <cell r="J160"/>
          <cell r="K160"/>
        </row>
        <row r="161">
          <cell r="B161" t="str">
            <v>SAB</v>
          </cell>
          <cell r="C161" t="str">
            <v>Saba</v>
          </cell>
          <cell r="D161">
            <v>2024</v>
          </cell>
          <cell r="E161" t="str">
            <v>FLU_ALL</v>
          </cell>
          <cell r="F161" t="str">
            <v>Influenza all persons above ≥6 months (universal recommendation)</v>
          </cell>
          <cell r="G161" t="str">
            <v>ADMIN</v>
          </cell>
          <cell r="H161" t="str">
            <v>Administrative coverage</v>
          </cell>
          <cell r="I161"/>
          <cell r="J161"/>
          <cell r="K161"/>
        </row>
        <row r="162">
          <cell r="B162" t="str">
            <v>KNA</v>
          </cell>
          <cell r="C162" t="str">
            <v>Saint Kitts and Nevis</v>
          </cell>
          <cell r="D162">
            <v>2024</v>
          </cell>
          <cell r="E162" t="str">
            <v>FLU_ALL</v>
          </cell>
          <cell r="F162" t="str">
            <v>Influenza all persons above ≥6 months (universal recommendation)</v>
          </cell>
          <cell r="G162" t="str">
            <v>ADMIN</v>
          </cell>
          <cell r="H162" t="str">
            <v>Administrative coverage</v>
          </cell>
          <cell r="I162"/>
          <cell r="J162"/>
          <cell r="K162"/>
        </row>
        <row r="163">
          <cell r="B163" t="str">
            <v>LCA</v>
          </cell>
          <cell r="C163" t="str">
            <v>Saint Lucia</v>
          </cell>
          <cell r="D163">
            <v>2024</v>
          </cell>
          <cell r="E163" t="str">
            <v>FLU_ALL</v>
          </cell>
          <cell r="F163" t="str">
            <v>Influenza all persons above ≥6 months (universal recommendation)</v>
          </cell>
          <cell r="G163" t="str">
            <v>ADMIN</v>
          </cell>
          <cell r="H163" t="str">
            <v>Administrative coverage</v>
          </cell>
          <cell r="I163"/>
          <cell r="J163"/>
          <cell r="K163"/>
        </row>
        <row r="164">
          <cell r="B164" t="str">
            <v>VCT</v>
          </cell>
          <cell r="C164" t="str">
            <v>Saint Vincent and the Grenadines</v>
          </cell>
          <cell r="D164">
            <v>2024</v>
          </cell>
          <cell r="E164" t="str">
            <v>FLU_ALL</v>
          </cell>
          <cell r="F164" t="str">
            <v>Influenza all persons above ≥6 months (universal recommendation)</v>
          </cell>
          <cell r="G164" t="str">
            <v>ADMIN</v>
          </cell>
          <cell r="H164" t="str">
            <v>Administrative coverage</v>
          </cell>
          <cell r="I164"/>
          <cell r="J164"/>
          <cell r="K164"/>
        </row>
        <row r="165">
          <cell r="B165" t="str">
            <v>WSM</v>
          </cell>
          <cell r="C165" t="str">
            <v>Samoa</v>
          </cell>
          <cell r="D165">
            <v>2024</v>
          </cell>
          <cell r="E165" t="str">
            <v>FLU_ALL</v>
          </cell>
          <cell r="F165" t="str">
            <v>Influenza all persons above ≥6 months (universal recommendation)</v>
          </cell>
          <cell r="G165" t="str">
            <v>ADMIN</v>
          </cell>
          <cell r="H165" t="str">
            <v>Administrative coverage</v>
          </cell>
          <cell r="I165"/>
          <cell r="J165"/>
          <cell r="K165"/>
        </row>
        <row r="166">
          <cell r="B166" t="str">
            <v>SMR</v>
          </cell>
          <cell r="C166" t="str">
            <v>San Marino</v>
          </cell>
          <cell r="D166">
            <v>2024</v>
          </cell>
          <cell r="E166" t="str">
            <v>FLU_ALL</v>
          </cell>
          <cell r="F166" t="str">
            <v>Influenza all persons above ≥6 months (universal recommendation)</v>
          </cell>
          <cell r="G166" t="str">
            <v>ADMIN</v>
          </cell>
          <cell r="H166" t="str">
            <v>Administrative coverage</v>
          </cell>
          <cell r="I166"/>
          <cell r="J166"/>
          <cell r="K166"/>
        </row>
        <row r="167">
          <cell r="B167" t="str">
            <v>STP</v>
          </cell>
          <cell r="C167" t="str">
            <v>Sao Tome and Principe</v>
          </cell>
          <cell r="D167">
            <v>2024</v>
          </cell>
          <cell r="E167" t="str">
            <v>FLU_ALL</v>
          </cell>
          <cell r="F167" t="str">
            <v>Influenza all persons above ≥6 months (universal recommendation)</v>
          </cell>
          <cell r="G167" t="str">
            <v>ADMIN</v>
          </cell>
          <cell r="H167" t="str">
            <v>Administrative coverage</v>
          </cell>
          <cell r="I167"/>
          <cell r="J167"/>
          <cell r="K167"/>
        </row>
        <row r="168">
          <cell r="B168" t="str">
            <v>SAU</v>
          </cell>
          <cell r="C168" t="str">
            <v>Saudi Arabia</v>
          </cell>
          <cell r="D168">
            <v>2024</v>
          </cell>
          <cell r="E168" t="str">
            <v>FLU_ALL</v>
          </cell>
          <cell r="F168" t="str">
            <v>Influenza all persons above ≥6 months (universal recommendation)</v>
          </cell>
          <cell r="G168" t="str">
            <v>ADMIN</v>
          </cell>
          <cell r="H168" t="str">
            <v>Administrative coverage</v>
          </cell>
          <cell r="I168">
            <v>32212810</v>
          </cell>
          <cell r="J168">
            <v>3718263</v>
          </cell>
          <cell r="K168">
            <v>11.54</v>
          </cell>
        </row>
        <row r="169">
          <cell r="B169" t="str">
            <v>SEN</v>
          </cell>
          <cell r="C169" t="str">
            <v>Senegal</v>
          </cell>
          <cell r="D169">
            <v>2024</v>
          </cell>
          <cell r="E169" t="str">
            <v>FLU_ALL</v>
          </cell>
          <cell r="F169" t="str">
            <v>Influenza all persons above ≥6 months (universal recommendation)</v>
          </cell>
          <cell r="G169" t="str">
            <v>ADMIN</v>
          </cell>
          <cell r="H169" t="str">
            <v>Administrative coverage</v>
          </cell>
          <cell r="I169"/>
          <cell r="J169"/>
          <cell r="K169"/>
        </row>
        <row r="170">
          <cell r="B170" t="str">
            <v>SRB</v>
          </cell>
          <cell r="C170" t="str">
            <v>Serbia</v>
          </cell>
          <cell r="D170">
            <v>2024</v>
          </cell>
          <cell r="E170" t="str">
            <v>FLU_ALL</v>
          </cell>
          <cell r="F170" t="str">
            <v>Influenza all persons above ≥6 months (universal recommendation)</v>
          </cell>
          <cell r="G170" t="str">
            <v>ADMIN</v>
          </cell>
          <cell r="H170" t="str">
            <v>Administrative coverage</v>
          </cell>
          <cell r="I170"/>
          <cell r="J170"/>
          <cell r="K170"/>
        </row>
        <row r="171">
          <cell r="B171" t="str">
            <v>SYC</v>
          </cell>
          <cell r="C171" t="str">
            <v>Seychelles</v>
          </cell>
          <cell r="D171">
            <v>2024</v>
          </cell>
          <cell r="E171" t="str">
            <v>FLU_ALL</v>
          </cell>
          <cell r="F171" t="str">
            <v>Influenza all persons above ≥6 months (universal recommendation)</v>
          </cell>
          <cell r="G171" t="str">
            <v>ADMIN</v>
          </cell>
          <cell r="H171" t="str">
            <v>Administrative coverage</v>
          </cell>
          <cell r="I171"/>
          <cell r="J171"/>
          <cell r="K171"/>
        </row>
        <row r="172">
          <cell r="B172" t="str">
            <v>SLE</v>
          </cell>
          <cell r="C172" t="str">
            <v>Sierra Leone</v>
          </cell>
          <cell r="D172">
            <v>2024</v>
          </cell>
          <cell r="E172" t="str">
            <v>FLU_ALL</v>
          </cell>
          <cell r="F172" t="str">
            <v>Influenza all persons above ≥6 months (universal recommendation)</v>
          </cell>
          <cell r="G172" t="str">
            <v>ADMIN</v>
          </cell>
          <cell r="H172" t="str">
            <v>Administrative coverage</v>
          </cell>
          <cell r="I172"/>
          <cell r="J172"/>
          <cell r="K172"/>
        </row>
        <row r="173">
          <cell r="B173" t="str">
            <v>SGP</v>
          </cell>
          <cell r="C173" t="str">
            <v>Singapore</v>
          </cell>
          <cell r="D173">
            <v>2024</v>
          </cell>
          <cell r="E173" t="str">
            <v>FLU_ALL</v>
          </cell>
          <cell r="F173" t="str">
            <v>Influenza all persons above ≥6 months (universal recommendation)</v>
          </cell>
          <cell r="G173" t="str">
            <v>ADMIN</v>
          </cell>
          <cell r="H173" t="str">
            <v>Administrative coverage</v>
          </cell>
          <cell r="I173"/>
          <cell r="J173"/>
          <cell r="K173"/>
        </row>
        <row r="174">
          <cell r="B174" t="str">
            <v>STA</v>
          </cell>
          <cell r="C174" t="str">
            <v>Sint Eustatius</v>
          </cell>
          <cell r="D174">
            <v>2024</v>
          </cell>
          <cell r="E174" t="str">
            <v>FLU_ALL</v>
          </cell>
          <cell r="F174" t="str">
            <v>Influenza all persons above ≥6 months (universal recommendation)</v>
          </cell>
          <cell r="G174" t="str">
            <v>ADMIN</v>
          </cell>
          <cell r="H174" t="str">
            <v>Administrative coverage</v>
          </cell>
          <cell r="I174"/>
          <cell r="J174"/>
          <cell r="K174"/>
        </row>
        <row r="175">
          <cell r="B175" t="str">
            <v>SVK</v>
          </cell>
          <cell r="C175" t="str">
            <v>Slovakia</v>
          </cell>
          <cell r="D175">
            <v>2024</v>
          </cell>
          <cell r="E175" t="str">
            <v>FLU_ALL</v>
          </cell>
          <cell r="F175" t="str">
            <v>Influenza all persons above ≥6 months (universal recommendation)</v>
          </cell>
          <cell r="G175" t="str">
            <v>ADMIN</v>
          </cell>
          <cell r="H175" t="str">
            <v>Administrative coverage</v>
          </cell>
          <cell r="I175">
            <v>5424687</v>
          </cell>
          <cell r="J175">
            <v>264841</v>
          </cell>
          <cell r="K175">
            <v>4.8099999999999996</v>
          </cell>
        </row>
        <row r="176">
          <cell r="B176" t="str">
            <v>SVN</v>
          </cell>
          <cell r="C176" t="str">
            <v>Slovenia</v>
          </cell>
          <cell r="D176">
            <v>2024</v>
          </cell>
          <cell r="E176" t="str">
            <v>FLU_ALL</v>
          </cell>
          <cell r="F176" t="str">
            <v>Influenza all persons above ≥6 months (universal recommendation)</v>
          </cell>
          <cell r="G176" t="str">
            <v>ADMIN</v>
          </cell>
          <cell r="H176" t="str">
            <v>Administrative coverage</v>
          </cell>
          <cell r="I176">
            <v>2126324</v>
          </cell>
          <cell r="J176">
            <v>117940</v>
          </cell>
          <cell r="K176">
            <v>5.55</v>
          </cell>
        </row>
        <row r="177">
          <cell r="B177" t="str">
            <v>SLB</v>
          </cell>
          <cell r="C177" t="str">
            <v>Solomon Islands</v>
          </cell>
          <cell r="D177">
            <v>2024</v>
          </cell>
          <cell r="E177" t="str">
            <v>FLU_ALL</v>
          </cell>
          <cell r="F177" t="str">
            <v>Influenza all persons above ≥6 months (universal recommendation)</v>
          </cell>
          <cell r="G177" t="str">
            <v>ADMIN</v>
          </cell>
          <cell r="H177" t="str">
            <v>Administrative coverage</v>
          </cell>
          <cell r="I177"/>
          <cell r="J177"/>
          <cell r="K177"/>
        </row>
        <row r="178">
          <cell r="B178" t="str">
            <v>SOM</v>
          </cell>
          <cell r="C178" t="str">
            <v>Somalia</v>
          </cell>
          <cell r="D178">
            <v>2024</v>
          </cell>
          <cell r="E178" t="str">
            <v>FLU_ALL</v>
          </cell>
          <cell r="F178" t="str">
            <v>Influenza all persons above ≥6 months (universal recommendation)</v>
          </cell>
          <cell r="G178" t="str">
            <v>ADMIN</v>
          </cell>
          <cell r="H178" t="str">
            <v>Administrative coverage</v>
          </cell>
          <cell r="I178"/>
          <cell r="J178"/>
          <cell r="K178"/>
        </row>
        <row r="179">
          <cell r="B179" t="str">
            <v>ZAF</v>
          </cell>
          <cell r="C179" t="str">
            <v>South Africa</v>
          </cell>
          <cell r="D179">
            <v>2024</v>
          </cell>
          <cell r="E179" t="str">
            <v>FLU_ALL</v>
          </cell>
          <cell r="F179" t="str">
            <v>Influenza all persons above ≥6 months (universal recommendation)</v>
          </cell>
          <cell r="G179" t="str">
            <v>ADMIN</v>
          </cell>
          <cell r="H179" t="str">
            <v>Administrative coverage</v>
          </cell>
          <cell r="I179"/>
          <cell r="J179"/>
          <cell r="K179"/>
        </row>
        <row r="180">
          <cell r="B180" t="str">
            <v>SSD</v>
          </cell>
          <cell r="C180" t="str">
            <v>South Sudan</v>
          </cell>
          <cell r="D180">
            <v>2024</v>
          </cell>
          <cell r="E180" t="str">
            <v>FLU_ALL</v>
          </cell>
          <cell r="F180" t="str">
            <v>Influenza all persons above ≥6 months (universal recommendation)</v>
          </cell>
          <cell r="G180" t="str">
            <v>ADMIN</v>
          </cell>
          <cell r="H180" t="str">
            <v>Administrative coverage</v>
          </cell>
          <cell r="I180"/>
          <cell r="J180"/>
          <cell r="K180"/>
        </row>
        <row r="181">
          <cell r="B181" t="str">
            <v>ESP</v>
          </cell>
          <cell r="C181" t="str">
            <v>Spain</v>
          </cell>
          <cell r="D181">
            <v>2024</v>
          </cell>
          <cell r="E181" t="str">
            <v>FLU_ALL</v>
          </cell>
          <cell r="F181" t="str">
            <v>Influenza all persons above ≥6 months (universal recommendation)</v>
          </cell>
          <cell r="G181" t="str">
            <v>ADMIN</v>
          </cell>
          <cell r="H181" t="str">
            <v>Administrative coverage</v>
          </cell>
          <cell r="I181"/>
          <cell r="J181"/>
          <cell r="K181"/>
        </row>
        <row r="182">
          <cell r="B182" t="str">
            <v>LKA</v>
          </cell>
          <cell r="C182" t="str">
            <v>Sri Lanka</v>
          </cell>
          <cell r="D182">
            <v>2024</v>
          </cell>
          <cell r="E182" t="str">
            <v>FLU_ALL</v>
          </cell>
          <cell r="F182" t="str">
            <v>Influenza all persons above ≥6 months (universal recommendation)</v>
          </cell>
          <cell r="G182" t="str">
            <v>ADMIN</v>
          </cell>
          <cell r="H182" t="str">
            <v>Administrative coverage</v>
          </cell>
          <cell r="I182"/>
          <cell r="J182"/>
          <cell r="K182"/>
        </row>
        <row r="183">
          <cell r="B183" t="str">
            <v>SDN</v>
          </cell>
          <cell r="C183" t="str">
            <v>Sudan</v>
          </cell>
          <cell r="D183">
            <v>2024</v>
          </cell>
          <cell r="E183" t="str">
            <v>FLU_ALL</v>
          </cell>
          <cell r="F183" t="str">
            <v>Influenza all persons above ≥6 months (universal recommendation)</v>
          </cell>
          <cell r="G183" t="str">
            <v>ADMIN</v>
          </cell>
          <cell r="H183" t="str">
            <v>Administrative coverage</v>
          </cell>
          <cell r="I183"/>
          <cell r="J183"/>
          <cell r="K183"/>
        </row>
        <row r="184">
          <cell r="B184" t="str">
            <v>SUR</v>
          </cell>
          <cell r="C184" t="str">
            <v>Suriname</v>
          </cell>
          <cell r="D184">
            <v>2024</v>
          </cell>
          <cell r="E184" t="str">
            <v>FLU_ALL</v>
          </cell>
          <cell r="F184" t="str">
            <v>Influenza all persons above ≥6 months (universal recommendation)</v>
          </cell>
          <cell r="G184" t="str">
            <v>ADMIN</v>
          </cell>
          <cell r="H184" t="str">
            <v>Administrative coverage</v>
          </cell>
          <cell r="I184"/>
          <cell r="J184"/>
          <cell r="K184"/>
        </row>
        <row r="185">
          <cell r="B185" t="str">
            <v>SWE</v>
          </cell>
          <cell r="C185" t="str">
            <v>Sweden</v>
          </cell>
          <cell r="D185">
            <v>2024</v>
          </cell>
          <cell r="E185" t="str">
            <v>FLU_ALL</v>
          </cell>
          <cell r="F185" t="str">
            <v>Influenza all persons above ≥6 months (universal recommendation)</v>
          </cell>
          <cell r="G185" t="str">
            <v>ADMIN</v>
          </cell>
          <cell r="H185" t="str">
            <v>Administrative coverage</v>
          </cell>
          <cell r="I185"/>
          <cell r="J185"/>
          <cell r="K185"/>
        </row>
        <row r="186">
          <cell r="B186" t="str">
            <v>CHE</v>
          </cell>
          <cell r="C186" t="str">
            <v>Switzerland</v>
          </cell>
          <cell r="D186">
            <v>2024</v>
          </cell>
          <cell r="E186" t="str">
            <v>FLU_ALL</v>
          </cell>
          <cell r="F186" t="str">
            <v>Influenza all persons above ≥6 months (universal recommendation)</v>
          </cell>
          <cell r="G186" t="str">
            <v>ADMIN</v>
          </cell>
          <cell r="H186" t="str">
            <v>Administrative coverage</v>
          </cell>
          <cell r="I186"/>
          <cell r="J186"/>
          <cell r="K186"/>
        </row>
        <row r="187">
          <cell r="B187" t="str">
            <v>SYR</v>
          </cell>
          <cell r="C187" t="str">
            <v>Syrian Arab Republic</v>
          </cell>
          <cell r="D187">
            <v>2024</v>
          </cell>
          <cell r="E187" t="str">
            <v>FLU_ALL</v>
          </cell>
          <cell r="F187" t="str">
            <v>Influenza all persons above ≥6 months (universal recommendation)</v>
          </cell>
          <cell r="G187" t="str">
            <v>ADMIN</v>
          </cell>
          <cell r="H187" t="str">
            <v>Administrative coverage</v>
          </cell>
          <cell r="I187"/>
          <cell r="J187"/>
          <cell r="K187"/>
        </row>
        <row r="188">
          <cell r="B188" t="str">
            <v>TJK</v>
          </cell>
          <cell r="C188" t="str">
            <v>Tajikistan</v>
          </cell>
          <cell r="D188">
            <v>2024</v>
          </cell>
          <cell r="E188" t="str">
            <v>FLU_ALL</v>
          </cell>
          <cell r="F188" t="str">
            <v>Influenza all persons above ≥6 months (universal recommendation)</v>
          </cell>
          <cell r="G188" t="str">
            <v>ADMIN</v>
          </cell>
          <cell r="H188" t="str">
            <v>Administrative coverage</v>
          </cell>
          <cell r="I188"/>
          <cell r="J188"/>
          <cell r="K188"/>
        </row>
        <row r="189">
          <cell r="B189" t="str">
            <v>THA</v>
          </cell>
          <cell r="C189" t="str">
            <v>Thailand</v>
          </cell>
          <cell r="D189">
            <v>2024</v>
          </cell>
          <cell r="E189" t="str">
            <v>FLU_ALL</v>
          </cell>
          <cell r="F189" t="str">
            <v>Influenza all persons above ≥6 months (universal recommendation)</v>
          </cell>
          <cell r="G189" t="str">
            <v>ADMIN</v>
          </cell>
          <cell r="H189" t="str">
            <v>Administrative coverage</v>
          </cell>
          <cell r="I189"/>
          <cell r="J189"/>
          <cell r="K189"/>
        </row>
        <row r="190">
          <cell r="B190" t="str">
            <v>TLS</v>
          </cell>
          <cell r="C190" t="str">
            <v>Timor-Leste</v>
          </cell>
          <cell r="D190">
            <v>2024</v>
          </cell>
          <cell r="E190" t="str">
            <v>FLU_ALL</v>
          </cell>
          <cell r="F190" t="str">
            <v>Influenza all persons above ≥6 months (universal recommendation)</v>
          </cell>
          <cell r="G190" t="str">
            <v>ADMIN</v>
          </cell>
          <cell r="H190" t="str">
            <v>Administrative coverage</v>
          </cell>
          <cell r="I190"/>
          <cell r="J190"/>
          <cell r="K190"/>
        </row>
        <row r="191">
          <cell r="B191" t="str">
            <v>TGO</v>
          </cell>
          <cell r="C191" t="str">
            <v>Togo</v>
          </cell>
          <cell r="D191">
            <v>2024</v>
          </cell>
          <cell r="E191" t="str">
            <v>FLU_ALL</v>
          </cell>
          <cell r="F191" t="str">
            <v>Influenza all persons above ≥6 months (universal recommendation)</v>
          </cell>
          <cell r="G191" t="str">
            <v>ADMIN</v>
          </cell>
          <cell r="H191" t="str">
            <v>Administrative coverage</v>
          </cell>
          <cell r="I191"/>
          <cell r="J191"/>
          <cell r="K191"/>
        </row>
        <row r="192">
          <cell r="B192" t="str">
            <v>TKL</v>
          </cell>
          <cell r="C192" t="str">
            <v>Tokelau</v>
          </cell>
          <cell r="D192">
            <v>2024</v>
          </cell>
          <cell r="E192" t="str">
            <v>FLU_ALL</v>
          </cell>
          <cell r="F192" t="str">
            <v>Influenza all persons above ≥6 months (universal recommendation)</v>
          </cell>
          <cell r="G192" t="str">
            <v>ADMIN</v>
          </cell>
          <cell r="H192" t="str">
            <v>Administrative coverage</v>
          </cell>
          <cell r="I192"/>
          <cell r="J192"/>
          <cell r="K192"/>
        </row>
        <row r="193">
          <cell r="B193" t="str">
            <v>TON</v>
          </cell>
          <cell r="C193" t="str">
            <v>Tonga</v>
          </cell>
          <cell r="D193">
            <v>2024</v>
          </cell>
          <cell r="E193" t="str">
            <v>FLU_ALL</v>
          </cell>
          <cell r="F193" t="str">
            <v>Influenza all persons above ≥6 months (universal recommendation)</v>
          </cell>
          <cell r="G193" t="str">
            <v>ADMIN</v>
          </cell>
          <cell r="H193" t="str">
            <v>Administrative coverage</v>
          </cell>
          <cell r="I193"/>
          <cell r="J193"/>
          <cell r="K193"/>
        </row>
        <row r="194">
          <cell r="B194" t="str">
            <v>TTO</v>
          </cell>
          <cell r="C194" t="str">
            <v>Trinidad and Tobago</v>
          </cell>
          <cell r="D194">
            <v>2024</v>
          </cell>
          <cell r="E194" t="str">
            <v>FLU_ALL</v>
          </cell>
          <cell r="F194" t="str">
            <v>Influenza all persons above ≥6 months (universal recommendation)</v>
          </cell>
          <cell r="G194" t="str">
            <v>ADMIN</v>
          </cell>
          <cell r="H194" t="str">
            <v>Administrative coverage</v>
          </cell>
          <cell r="I194"/>
          <cell r="J194"/>
          <cell r="K194"/>
        </row>
        <row r="195">
          <cell r="B195" t="str">
            <v>TUN</v>
          </cell>
          <cell r="C195" t="str">
            <v>Tunisia</v>
          </cell>
          <cell r="D195">
            <v>2024</v>
          </cell>
          <cell r="E195" t="str">
            <v>FLU_ALL</v>
          </cell>
          <cell r="F195" t="str">
            <v>Influenza all persons above ≥6 months (universal recommendation)</v>
          </cell>
          <cell r="G195" t="str">
            <v>ADMIN</v>
          </cell>
          <cell r="H195" t="str">
            <v>Administrative coverage</v>
          </cell>
          <cell r="I195"/>
          <cell r="J195"/>
          <cell r="K195"/>
        </row>
        <row r="196">
          <cell r="B196" t="str">
            <v>TUR</v>
          </cell>
          <cell r="C196" t="str">
            <v>Türkiye</v>
          </cell>
          <cell r="D196">
            <v>2024</v>
          </cell>
          <cell r="E196" t="str">
            <v>FLU_ALL</v>
          </cell>
          <cell r="F196" t="str">
            <v>Influenza all persons above ≥6 months (universal recommendation)</v>
          </cell>
          <cell r="G196" t="str">
            <v>ADMIN</v>
          </cell>
          <cell r="H196" t="str">
            <v>Administrative coverage</v>
          </cell>
          <cell r="I196"/>
          <cell r="J196"/>
          <cell r="K196"/>
        </row>
        <row r="197">
          <cell r="B197" t="str">
            <v>TKM</v>
          </cell>
          <cell r="C197" t="str">
            <v>Turkmenistan</v>
          </cell>
          <cell r="D197">
            <v>2024</v>
          </cell>
          <cell r="E197" t="str">
            <v>FLU_ALL</v>
          </cell>
          <cell r="F197" t="str">
            <v>Influenza all persons above ≥6 months (universal recommendation)</v>
          </cell>
          <cell r="G197" t="str">
            <v>ADMIN</v>
          </cell>
          <cell r="H197" t="str">
            <v>Administrative coverage</v>
          </cell>
          <cell r="I197"/>
          <cell r="J197">
            <v>4377</v>
          </cell>
          <cell r="K197"/>
        </row>
        <row r="198">
          <cell r="B198" t="str">
            <v>TCA</v>
          </cell>
          <cell r="C198" t="str">
            <v>Turks and Caicos Islands</v>
          </cell>
          <cell r="D198">
            <v>2024</v>
          </cell>
          <cell r="E198" t="str">
            <v>FLU_ALL</v>
          </cell>
          <cell r="F198" t="str">
            <v>Influenza all persons above ≥6 months (universal recommendation)</v>
          </cell>
          <cell r="G198" t="str">
            <v>ADMIN</v>
          </cell>
          <cell r="H198" t="str">
            <v>Administrative coverage</v>
          </cell>
          <cell r="I198"/>
          <cell r="J198">
            <v>221</v>
          </cell>
          <cell r="K198"/>
        </row>
        <row r="199">
          <cell r="B199" t="str">
            <v>TUV</v>
          </cell>
          <cell r="C199" t="str">
            <v>Tuvalu</v>
          </cell>
          <cell r="D199">
            <v>2024</v>
          </cell>
          <cell r="E199" t="str">
            <v>FLU_ALL</v>
          </cell>
          <cell r="F199" t="str">
            <v>Influenza all persons above ≥6 months (universal recommendation)</v>
          </cell>
          <cell r="G199" t="str">
            <v>ADMIN</v>
          </cell>
          <cell r="H199" t="str">
            <v>Administrative coverage</v>
          </cell>
          <cell r="I199"/>
          <cell r="J199"/>
          <cell r="K199"/>
        </row>
        <row r="200">
          <cell r="B200" t="str">
            <v>UGA</v>
          </cell>
          <cell r="C200" t="str">
            <v>Uganda</v>
          </cell>
          <cell r="D200">
            <v>2024</v>
          </cell>
          <cell r="E200" t="str">
            <v>FLU_ALL</v>
          </cell>
          <cell r="F200" t="str">
            <v>Influenza all persons above ≥6 months (universal recommendation)</v>
          </cell>
          <cell r="G200" t="str">
            <v>ADMIN</v>
          </cell>
          <cell r="H200" t="str">
            <v>Administrative coverage</v>
          </cell>
          <cell r="I200"/>
          <cell r="J200"/>
          <cell r="K200"/>
        </row>
        <row r="201">
          <cell r="B201" t="str">
            <v>UKR</v>
          </cell>
          <cell r="C201" t="str">
            <v>Ukraine</v>
          </cell>
          <cell r="D201">
            <v>2024</v>
          </cell>
          <cell r="E201" t="str">
            <v>FLU_ALL</v>
          </cell>
          <cell r="F201" t="str">
            <v>Influenza all persons above ≥6 months (universal recommendation)</v>
          </cell>
          <cell r="G201" t="str">
            <v>ADMIN</v>
          </cell>
          <cell r="H201" t="str">
            <v>Administrative coverage</v>
          </cell>
          <cell r="I201"/>
          <cell r="J201">
            <v>52299</v>
          </cell>
          <cell r="K201"/>
        </row>
        <row r="202">
          <cell r="B202" t="str">
            <v>ARE</v>
          </cell>
          <cell r="C202" t="str">
            <v>United Arab Emirates</v>
          </cell>
          <cell r="D202">
            <v>2024</v>
          </cell>
          <cell r="E202" t="str">
            <v>FLU_ALL</v>
          </cell>
          <cell r="F202" t="str">
            <v>Influenza all persons above ≥6 months (universal recommendation)</v>
          </cell>
          <cell r="G202" t="str">
            <v>ADMIN</v>
          </cell>
          <cell r="H202" t="str">
            <v>Administrative coverage</v>
          </cell>
          <cell r="I202"/>
          <cell r="J202"/>
          <cell r="K202"/>
        </row>
        <row r="203">
          <cell r="B203" t="str">
            <v>GBR</v>
          </cell>
          <cell r="C203" t="str">
            <v>United Kingdom of Great Britain and Northern Ireland</v>
          </cell>
          <cell r="D203">
            <v>2024</v>
          </cell>
          <cell r="E203" t="str">
            <v>FLU_ALL</v>
          </cell>
          <cell r="F203" t="str">
            <v>Influenza all persons above ≥6 months (universal recommendation)</v>
          </cell>
          <cell r="G203" t="str">
            <v>ADMIN</v>
          </cell>
          <cell r="H203" t="str">
            <v>Administrative coverage</v>
          </cell>
          <cell r="I203"/>
          <cell r="J203"/>
          <cell r="K203"/>
        </row>
        <row r="204">
          <cell r="B204" t="str">
            <v>TZA</v>
          </cell>
          <cell r="C204" t="str">
            <v>United Republic of Tanzania</v>
          </cell>
          <cell r="D204">
            <v>2024</v>
          </cell>
          <cell r="E204" t="str">
            <v>FLU_ALL</v>
          </cell>
          <cell r="F204" t="str">
            <v>Influenza all persons above ≥6 months (universal recommendation)</v>
          </cell>
          <cell r="G204" t="str">
            <v>ADMIN</v>
          </cell>
          <cell r="H204" t="str">
            <v>Administrative coverage</v>
          </cell>
          <cell r="I204"/>
          <cell r="J204"/>
          <cell r="K204"/>
        </row>
        <row r="205">
          <cell r="B205" t="str">
            <v>URY</v>
          </cell>
          <cell r="C205" t="str">
            <v>Uruguay</v>
          </cell>
          <cell r="D205">
            <v>2024</v>
          </cell>
          <cell r="E205" t="str">
            <v>FLU_ALL</v>
          </cell>
          <cell r="F205" t="str">
            <v>Influenza all persons above ≥6 months (universal recommendation)</v>
          </cell>
          <cell r="G205" t="str">
            <v>ADMIN</v>
          </cell>
          <cell r="H205" t="str">
            <v>Administrative coverage</v>
          </cell>
          <cell r="I205"/>
          <cell r="J205">
            <v>272501</v>
          </cell>
          <cell r="K205"/>
        </row>
        <row r="206">
          <cell r="B206" t="str">
            <v>UZB</v>
          </cell>
          <cell r="C206" t="str">
            <v>Uzbekistan</v>
          </cell>
          <cell r="D206">
            <v>2024</v>
          </cell>
          <cell r="E206" t="str">
            <v>FLU_ALL</v>
          </cell>
          <cell r="F206" t="str">
            <v>Influenza all persons above ≥6 months (universal recommendation)</v>
          </cell>
          <cell r="G206" t="str">
            <v>ADMIN</v>
          </cell>
          <cell r="H206" t="str">
            <v>Administrative coverage</v>
          </cell>
          <cell r="I206"/>
          <cell r="J206"/>
          <cell r="K206"/>
        </row>
        <row r="207">
          <cell r="B207" t="str">
            <v>VUT</v>
          </cell>
          <cell r="C207" t="str">
            <v>Vanuatu</v>
          </cell>
          <cell r="D207">
            <v>2024</v>
          </cell>
          <cell r="E207" t="str">
            <v>FLU_ALL</v>
          </cell>
          <cell r="F207" t="str">
            <v>Influenza all persons above ≥6 months (universal recommendation)</v>
          </cell>
          <cell r="G207" t="str">
            <v>ADMIN</v>
          </cell>
          <cell r="H207" t="str">
            <v>Administrative coverage</v>
          </cell>
          <cell r="I207"/>
          <cell r="J207"/>
          <cell r="K207"/>
        </row>
        <row r="213">
          <cell r="B213" t="str">
            <v>AFG</v>
          </cell>
          <cell r="C213" t="str">
            <v>Afghanistan</v>
          </cell>
          <cell r="D213">
            <v>2023</v>
          </cell>
          <cell r="E213" t="str">
            <v>FLU_ALL</v>
          </cell>
          <cell r="F213" t="str">
            <v>Influenza all persons above ≥6 months (universal recommendation)</v>
          </cell>
          <cell r="G213" t="str">
            <v>ADMIN</v>
          </cell>
          <cell r="H213" t="str">
            <v>Administrative coverage</v>
          </cell>
          <cell r="I213"/>
          <cell r="J213"/>
          <cell r="K213"/>
        </row>
        <row r="214">
          <cell r="B214" t="str">
            <v>ALB</v>
          </cell>
          <cell r="C214" t="str">
            <v>Albania</v>
          </cell>
          <cell r="D214">
            <v>2023</v>
          </cell>
          <cell r="E214" t="str">
            <v>FLU_ALL</v>
          </cell>
          <cell r="F214" t="str">
            <v>Influenza all persons above ≥6 months (universal recommendation)</v>
          </cell>
          <cell r="G214" t="str">
            <v>ADMIN</v>
          </cell>
          <cell r="H214" t="str">
            <v>Administrative coverage</v>
          </cell>
          <cell r="I214"/>
          <cell r="J214"/>
          <cell r="K214"/>
        </row>
        <row r="215">
          <cell r="B215" t="str">
            <v>DZA</v>
          </cell>
          <cell r="C215" t="str">
            <v>Algeria</v>
          </cell>
          <cell r="D215">
            <v>2023</v>
          </cell>
          <cell r="E215" t="str">
            <v>FLU_ALL</v>
          </cell>
          <cell r="F215" t="str">
            <v>Influenza all persons above ≥6 months (universal recommendation)</v>
          </cell>
          <cell r="G215" t="str">
            <v>ADMIN</v>
          </cell>
          <cell r="H215" t="str">
            <v>Administrative coverage</v>
          </cell>
          <cell r="I215"/>
          <cell r="J215"/>
          <cell r="K215"/>
        </row>
        <row r="216">
          <cell r="B216" t="str">
            <v>AND</v>
          </cell>
          <cell r="C216" t="str">
            <v>Andorra</v>
          </cell>
          <cell r="D216">
            <v>2023</v>
          </cell>
          <cell r="E216" t="str">
            <v>FLU_ALL</v>
          </cell>
          <cell r="F216" t="str">
            <v>Influenza all persons above ≥6 months (universal recommendation)</v>
          </cell>
          <cell r="G216" t="str">
            <v>ADMIN</v>
          </cell>
          <cell r="H216" t="str">
            <v>Administrative coverage</v>
          </cell>
          <cell r="I216"/>
          <cell r="J216"/>
          <cell r="K216"/>
        </row>
        <row r="217">
          <cell r="B217" t="str">
            <v>AGO</v>
          </cell>
          <cell r="C217" t="str">
            <v>Angola</v>
          </cell>
          <cell r="D217">
            <v>2023</v>
          </cell>
          <cell r="E217" t="str">
            <v>FLU_ALL</v>
          </cell>
          <cell r="F217" t="str">
            <v>Influenza all persons above ≥6 months (universal recommendation)</v>
          </cell>
          <cell r="G217" t="str">
            <v>ADMIN</v>
          </cell>
          <cell r="H217" t="str">
            <v>Administrative coverage</v>
          </cell>
          <cell r="I217"/>
          <cell r="J217"/>
          <cell r="K217"/>
        </row>
        <row r="218">
          <cell r="B218" t="str">
            <v>AIA</v>
          </cell>
          <cell r="C218" t="str">
            <v>Anguilla</v>
          </cell>
          <cell r="D218">
            <v>2023</v>
          </cell>
          <cell r="E218" t="str">
            <v>FLU_ALL</v>
          </cell>
          <cell r="F218" t="str">
            <v>Influenza all persons above ≥6 months (universal recommendation)</v>
          </cell>
          <cell r="G218" t="str">
            <v>ADMIN</v>
          </cell>
          <cell r="H218" t="str">
            <v>Administrative coverage</v>
          </cell>
          <cell r="I218"/>
          <cell r="J218">
            <v>0</v>
          </cell>
          <cell r="K218"/>
        </row>
        <row r="219">
          <cell r="B219" t="str">
            <v>ATG</v>
          </cell>
          <cell r="C219" t="str">
            <v>Antigua and Barbuda</v>
          </cell>
          <cell r="D219">
            <v>2023</v>
          </cell>
          <cell r="E219" t="str">
            <v>FLU_ALL</v>
          </cell>
          <cell r="F219" t="str">
            <v>Influenza all persons above ≥6 months (universal recommendation)</v>
          </cell>
          <cell r="G219" t="str">
            <v>ADMIN</v>
          </cell>
          <cell r="H219" t="str">
            <v>Administrative coverage</v>
          </cell>
          <cell r="I219"/>
          <cell r="J219"/>
          <cell r="K219"/>
        </row>
        <row r="220">
          <cell r="B220" t="str">
            <v>ARG</v>
          </cell>
          <cell r="C220" t="str">
            <v>Argentina</v>
          </cell>
          <cell r="D220">
            <v>2023</v>
          </cell>
          <cell r="E220" t="str">
            <v>FLU_ALL</v>
          </cell>
          <cell r="F220" t="str">
            <v>Influenza all persons above ≥6 months (universal recommendation)</v>
          </cell>
          <cell r="G220" t="str">
            <v>ADMIN</v>
          </cell>
          <cell r="H220" t="str">
            <v>Administrative coverage</v>
          </cell>
          <cell r="I220"/>
          <cell r="J220"/>
          <cell r="K220"/>
        </row>
        <row r="221">
          <cell r="B221" t="str">
            <v>ARM</v>
          </cell>
          <cell r="C221" t="str">
            <v>Armenia</v>
          </cell>
          <cell r="D221">
            <v>2023</v>
          </cell>
          <cell r="E221" t="str">
            <v>FLU_ALL</v>
          </cell>
          <cell r="F221" t="str">
            <v>Influenza all persons above ≥6 months (universal recommendation)</v>
          </cell>
          <cell r="G221" t="str">
            <v>ADMIN</v>
          </cell>
          <cell r="H221" t="str">
            <v>Administrative coverage</v>
          </cell>
          <cell r="I221"/>
          <cell r="J221"/>
          <cell r="K221"/>
        </row>
        <row r="222">
          <cell r="B222" t="str">
            <v>ABW</v>
          </cell>
          <cell r="C222" t="str">
            <v>Aruba</v>
          </cell>
          <cell r="D222">
            <v>2023</v>
          </cell>
          <cell r="E222" t="str">
            <v>FLU_ALL</v>
          </cell>
          <cell r="F222" t="str">
            <v>Influenza all persons above ≥6 months (universal recommendation)</v>
          </cell>
          <cell r="G222" t="str">
            <v>ADMIN</v>
          </cell>
          <cell r="H222" t="str">
            <v>Administrative coverage</v>
          </cell>
          <cell r="I222"/>
          <cell r="J222"/>
          <cell r="K222"/>
        </row>
        <row r="223">
          <cell r="B223" t="str">
            <v>AUS</v>
          </cell>
          <cell r="C223" t="str">
            <v>Australia</v>
          </cell>
          <cell r="D223">
            <v>2023</v>
          </cell>
          <cell r="E223" t="str">
            <v>FLU_ALL</v>
          </cell>
          <cell r="F223" t="str">
            <v>Influenza all persons above ≥6 months (universal recommendation)</v>
          </cell>
          <cell r="G223" t="str">
            <v>ADMIN</v>
          </cell>
          <cell r="H223" t="str">
            <v>Administrative coverage</v>
          </cell>
          <cell r="I223"/>
          <cell r="J223"/>
          <cell r="K223"/>
        </row>
        <row r="224">
          <cell r="B224" t="str">
            <v>AUT</v>
          </cell>
          <cell r="C224" t="str">
            <v>Austria</v>
          </cell>
          <cell r="D224">
            <v>2023</v>
          </cell>
          <cell r="E224" t="str">
            <v>FLU_ALL</v>
          </cell>
          <cell r="F224" t="str">
            <v>Influenza all persons above ≥6 months (universal recommendation)</v>
          </cell>
          <cell r="G224" t="str">
            <v>ADMIN</v>
          </cell>
          <cell r="H224" t="str">
            <v>Administrative coverage</v>
          </cell>
          <cell r="I224"/>
          <cell r="J224"/>
          <cell r="K224"/>
        </row>
        <row r="225">
          <cell r="B225" t="str">
            <v>AZE</v>
          </cell>
          <cell r="C225" t="str">
            <v>Azerbaijan</v>
          </cell>
          <cell r="D225">
            <v>2023</v>
          </cell>
          <cell r="E225" t="str">
            <v>FLU_ALL</v>
          </cell>
          <cell r="F225" t="str">
            <v>Influenza all persons above ≥6 months (universal recommendation)</v>
          </cell>
          <cell r="G225" t="str">
            <v>ADMIN</v>
          </cell>
          <cell r="H225" t="str">
            <v>Administrative coverage</v>
          </cell>
          <cell r="I225"/>
          <cell r="J225"/>
          <cell r="K225"/>
        </row>
        <row r="226">
          <cell r="B226" t="str">
            <v>BHS</v>
          </cell>
          <cell r="C226" t="str">
            <v>Bahamas</v>
          </cell>
          <cell r="D226">
            <v>2023</v>
          </cell>
          <cell r="E226" t="str">
            <v>FLU_ALL</v>
          </cell>
          <cell r="F226" t="str">
            <v>Influenza all persons above ≥6 months (universal recommendation)</v>
          </cell>
          <cell r="G226" t="str">
            <v>ADMIN</v>
          </cell>
          <cell r="H226" t="str">
            <v>Administrative coverage</v>
          </cell>
          <cell r="I226"/>
          <cell r="J226"/>
          <cell r="K226"/>
        </row>
        <row r="227">
          <cell r="B227" t="str">
            <v>BHR</v>
          </cell>
          <cell r="C227" t="str">
            <v>Bahrain</v>
          </cell>
          <cell r="D227">
            <v>2023</v>
          </cell>
          <cell r="E227" t="str">
            <v>FLU_ALL</v>
          </cell>
          <cell r="F227" t="str">
            <v>Influenza all persons above ≥6 months (universal recommendation)</v>
          </cell>
          <cell r="G227" t="str">
            <v>ADMIN</v>
          </cell>
          <cell r="H227" t="str">
            <v>Administrative coverage</v>
          </cell>
          <cell r="I227"/>
          <cell r="J227"/>
          <cell r="K227"/>
        </row>
        <row r="228">
          <cell r="B228" t="str">
            <v>BGD</v>
          </cell>
          <cell r="C228" t="str">
            <v>Bangladesh</v>
          </cell>
          <cell r="D228">
            <v>2023</v>
          </cell>
          <cell r="E228" t="str">
            <v>FLU_ALL</v>
          </cell>
          <cell r="F228" t="str">
            <v>Influenza all persons above ≥6 months (universal recommendation)</v>
          </cell>
          <cell r="G228" t="str">
            <v>ADMIN</v>
          </cell>
          <cell r="H228" t="str">
            <v>Administrative coverage</v>
          </cell>
          <cell r="I228"/>
          <cell r="J228"/>
          <cell r="K228"/>
        </row>
        <row r="229">
          <cell r="B229" t="str">
            <v>BRB</v>
          </cell>
          <cell r="C229" t="str">
            <v>Barbados</v>
          </cell>
          <cell r="D229">
            <v>2023</v>
          </cell>
          <cell r="E229" t="str">
            <v>FLU_ALL</v>
          </cell>
          <cell r="F229" t="str">
            <v>Influenza all persons above ≥6 months (universal recommendation)</v>
          </cell>
          <cell r="G229" t="str">
            <v>ADMIN</v>
          </cell>
          <cell r="H229" t="str">
            <v>Administrative coverage</v>
          </cell>
          <cell r="I229"/>
          <cell r="J229"/>
          <cell r="K229"/>
        </row>
        <row r="230">
          <cell r="B230" t="str">
            <v>BLR</v>
          </cell>
          <cell r="C230" t="str">
            <v>Belarus</v>
          </cell>
          <cell r="D230">
            <v>2023</v>
          </cell>
          <cell r="E230" t="str">
            <v>FLU_ALL</v>
          </cell>
          <cell r="F230" t="str">
            <v>Influenza all persons above ≥6 months (universal recommendation)</v>
          </cell>
          <cell r="G230" t="str">
            <v>ADMIN</v>
          </cell>
          <cell r="H230" t="str">
            <v>Administrative coverage</v>
          </cell>
          <cell r="I230">
            <v>4077855</v>
          </cell>
          <cell r="J230">
            <v>400344</v>
          </cell>
          <cell r="K230">
            <v>9.82</v>
          </cell>
        </row>
        <row r="231">
          <cell r="B231" t="str">
            <v>BEL</v>
          </cell>
          <cell r="C231" t="str">
            <v>Belgium</v>
          </cell>
          <cell r="D231">
            <v>2023</v>
          </cell>
          <cell r="E231" t="str">
            <v>FLU_ALL</v>
          </cell>
          <cell r="F231" t="str">
            <v>Influenza all persons above ≥6 months (universal recommendation)</v>
          </cell>
          <cell r="G231" t="str">
            <v>ADMIN</v>
          </cell>
          <cell r="H231" t="str">
            <v>Administrative coverage</v>
          </cell>
          <cell r="I231"/>
          <cell r="J231"/>
          <cell r="K231"/>
        </row>
        <row r="232">
          <cell r="B232" t="str">
            <v>BLZ</v>
          </cell>
          <cell r="C232" t="str">
            <v>Belize</v>
          </cell>
          <cell r="D232">
            <v>2023</v>
          </cell>
          <cell r="E232" t="str">
            <v>FLU_ALL</v>
          </cell>
          <cell r="F232" t="str">
            <v>Influenza all persons above ≥6 months (universal recommendation)</v>
          </cell>
          <cell r="G232" t="str">
            <v>ADMIN</v>
          </cell>
          <cell r="H232" t="str">
            <v>Administrative coverage</v>
          </cell>
          <cell r="I232"/>
          <cell r="J232"/>
          <cell r="K232"/>
        </row>
        <row r="233">
          <cell r="B233" t="str">
            <v>BEN</v>
          </cell>
          <cell r="C233" t="str">
            <v>Benin</v>
          </cell>
          <cell r="D233">
            <v>2023</v>
          </cell>
          <cell r="E233" t="str">
            <v>FLU_ALL</v>
          </cell>
          <cell r="F233" t="str">
            <v>Influenza all persons above ≥6 months (universal recommendation)</v>
          </cell>
          <cell r="G233" t="str">
            <v>ADMIN</v>
          </cell>
          <cell r="H233" t="str">
            <v>Administrative coverage</v>
          </cell>
          <cell r="I233"/>
          <cell r="J233"/>
          <cell r="K233"/>
        </row>
        <row r="234">
          <cell r="B234" t="str">
            <v>BMU</v>
          </cell>
          <cell r="C234" t="str">
            <v>Bermuda</v>
          </cell>
          <cell r="D234">
            <v>2023</v>
          </cell>
          <cell r="E234" t="str">
            <v>FLU_ALL</v>
          </cell>
          <cell r="F234" t="str">
            <v>Influenza all persons above ≥6 months (universal recommendation)</v>
          </cell>
          <cell r="G234" t="str">
            <v>ADMIN</v>
          </cell>
          <cell r="H234" t="str">
            <v>Administrative coverage</v>
          </cell>
          <cell r="I234">
            <v>63982</v>
          </cell>
          <cell r="J234"/>
          <cell r="K234"/>
        </row>
        <row r="235">
          <cell r="B235" t="str">
            <v>BTN</v>
          </cell>
          <cell r="C235" t="str">
            <v>Bhutan</v>
          </cell>
          <cell r="D235">
            <v>2023</v>
          </cell>
          <cell r="E235" t="str">
            <v>FLU_ALL</v>
          </cell>
          <cell r="F235" t="str">
            <v>Influenza all persons above ≥6 months (universal recommendation)</v>
          </cell>
          <cell r="G235" t="str">
            <v>ADMIN</v>
          </cell>
          <cell r="H235" t="str">
            <v>Administrative coverage</v>
          </cell>
          <cell r="I235"/>
          <cell r="J235"/>
          <cell r="K235"/>
        </row>
        <row r="236">
          <cell r="B236" t="str">
            <v>BOL</v>
          </cell>
          <cell r="C236" t="str">
            <v>Bolivia (Plurinational State of)</v>
          </cell>
          <cell r="D236">
            <v>2023</v>
          </cell>
          <cell r="E236" t="str">
            <v>FLU_ALL</v>
          </cell>
          <cell r="F236" t="str">
            <v>Influenza all persons above ≥6 months (universal recommendation)</v>
          </cell>
          <cell r="G236" t="str">
            <v>ADMIN</v>
          </cell>
          <cell r="H236" t="str">
            <v>Administrative coverage</v>
          </cell>
          <cell r="I236"/>
          <cell r="J236"/>
          <cell r="K236"/>
        </row>
        <row r="237">
          <cell r="B237" t="str">
            <v>BIH</v>
          </cell>
          <cell r="C237" t="str">
            <v>Bosnia and Herzegovina</v>
          </cell>
          <cell r="D237">
            <v>2023</v>
          </cell>
          <cell r="E237" t="str">
            <v>FLU_ALL</v>
          </cell>
          <cell r="F237" t="str">
            <v>Influenza all persons above ≥6 months (universal recommendation)</v>
          </cell>
          <cell r="G237" t="str">
            <v>ADMIN</v>
          </cell>
          <cell r="H237" t="str">
            <v>Administrative coverage</v>
          </cell>
          <cell r="I237"/>
          <cell r="J237">
            <v>5186</v>
          </cell>
          <cell r="K237"/>
        </row>
        <row r="238">
          <cell r="B238" t="str">
            <v>BWA</v>
          </cell>
          <cell r="C238" t="str">
            <v>Botswana</v>
          </cell>
          <cell r="D238">
            <v>2023</v>
          </cell>
          <cell r="E238" t="str">
            <v>FLU_ALL</v>
          </cell>
          <cell r="F238" t="str">
            <v>Influenza all persons above ≥6 months (universal recommendation)</v>
          </cell>
          <cell r="G238" t="str">
            <v>ADMIN</v>
          </cell>
          <cell r="H238" t="str">
            <v>Administrative coverage</v>
          </cell>
          <cell r="I238"/>
          <cell r="J238"/>
          <cell r="K238"/>
        </row>
        <row r="239">
          <cell r="B239" t="str">
            <v>BRA</v>
          </cell>
          <cell r="C239" t="str">
            <v>Brazil</v>
          </cell>
          <cell r="D239">
            <v>2023</v>
          </cell>
          <cell r="E239" t="str">
            <v>FLU_ALL</v>
          </cell>
          <cell r="F239" t="str">
            <v>Influenza all persons above ≥6 months (universal recommendation)</v>
          </cell>
          <cell r="G239" t="str">
            <v>ADMIN</v>
          </cell>
          <cell r="H239" t="str">
            <v>Administrative coverage</v>
          </cell>
          <cell r="I239"/>
          <cell r="J239"/>
          <cell r="K239"/>
        </row>
        <row r="240">
          <cell r="B240" t="str">
            <v>VGB</v>
          </cell>
          <cell r="C240" t="str">
            <v>British Virgin Islands</v>
          </cell>
          <cell r="D240">
            <v>2023</v>
          </cell>
          <cell r="E240" t="str">
            <v>FLU_ALL</v>
          </cell>
          <cell r="F240" t="str">
            <v>Influenza all persons above ≥6 months (universal recommendation)</v>
          </cell>
          <cell r="G240" t="str">
            <v>ADMIN</v>
          </cell>
          <cell r="H240" t="str">
            <v>Administrative coverage</v>
          </cell>
          <cell r="I240"/>
          <cell r="J240"/>
          <cell r="K240"/>
        </row>
        <row r="241">
          <cell r="B241" t="str">
            <v>BRN</v>
          </cell>
          <cell r="C241" t="str">
            <v>Brunei Darussalam</v>
          </cell>
          <cell r="D241">
            <v>2023</v>
          </cell>
          <cell r="E241" t="str">
            <v>FLU_ALL</v>
          </cell>
          <cell r="F241" t="str">
            <v>Influenza all persons above ≥6 months (universal recommendation)</v>
          </cell>
          <cell r="G241" t="str">
            <v>ADMIN</v>
          </cell>
          <cell r="H241" t="str">
            <v>Administrative coverage</v>
          </cell>
          <cell r="I241"/>
          <cell r="J241"/>
          <cell r="K241"/>
        </row>
        <row r="242">
          <cell r="B242" t="str">
            <v>BGR</v>
          </cell>
          <cell r="C242" t="str">
            <v>Bulgaria</v>
          </cell>
          <cell r="D242">
            <v>2023</v>
          </cell>
          <cell r="E242" t="str">
            <v>FLU_ALL</v>
          </cell>
          <cell r="F242" t="str">
            <v>Influenza all persons above ≥6 months (universal recommendation)</v>
          </cell>
          <cell r="G242" t="str">
            <v>ADMIN</v>
          </cell>
          <cell r="H242" t="str">
            <v>Administrative coverage</v>
          </cell>
          <cell r="I242"/>
          <cell r="J242"/>
          <cell r="K242"/>
        </row>
        <row r="243">
          <cell r="B243" t="str">
            <v>BFA</v>
          </cell>
          <cell r="C243" t="str">
            <v>Burkina Faso</v>
          </cell>
          <cell r="D243">
            <v>2023</v>
          </cell>
          <cell r="E243" t="str">
            <v>FLU_ALL</v>
          </cell>
          <cell r="F243" t="str">
            <v>Influenza all persons above ≥6 months (universal recommendation)</v>
          </cell>
          <cell r="G243" t="str">
            <v>ADMIN</v>
          </cell>
          <cell r="H243" t="str">
            <v>Administrative coverage</v>
          </cell>
          <cell r="I243"/>
          <cell r="J243"/>
          <cell r="K243"/>
        </row>
        <row r="244">
          <cell r="B244" t="str">
            <v>BDI</v>
          </cell>
          <cell r="C244" t="str">
            <v>Burundi</v>
          </cell>
          <cell r="D244">
            <v>2023</v>
          </cell>
          <cell r="E244" t="str">
            <v>FLU_ALL</v>
          </cell>
          <cell r="F244" t="str">
            <v>Influenza all persons above ≥6 months (universal recommendation)</v>
          </cell>
          <cell r="G244" t="str">
            <v>ADMIN</v>
          </cell>
          <cell r="H244" t="str">
            <v>Administrative coverage</v>
          </cell>
          <cell r="I244"/>
          <cell r="J244"/>
          <cell r="K244"/>
        </row>
        <row r="245">
          <cell r="B245" t="str">
            <v>CPV</v>
          </cell>
          <cell r="C245" t="str">
            <v>Cabo Verde</v>
          </cell>
          <cell r="D245">
            <v>2023</v>
          </cell>
          <cell r="E245" t="str">
            <v>FLU_ALL</v>
          </cell>
          <cell r="F245" t="str">
            <v>Influenza all persons above ≥6 months (universal recommendation)</v>
          </cell>
          <cell r="G245" t="str">
            <v>ADMIN</v>
          </cell>
          <cell r="H245" t="str">
            <v>Administrative coverage</v>
          </cell>
          <cell r="I245"/>
          <cell r="J245"/>
          <cell r="K245"/>
        </row>
        <row r="246">
          <cell r="B246" t="str">
            <v>KHM</v>
          </cell>
          <cell r="C246" t="str">
            <v>Cambodia</v>
          </cell>
          <cell r="D246">
            <v>2023</v>
          </cell>
          <cell r="E246" t="str">
            <v>FLU_ALL</v>
          </cell>
          <cell r="F246" t="str">
            <v>Influenza all persons above ≥6 months (universal recommendation)</v>
          </cell>
          <cell r="G246" t="str">
            <v>ADMIN</v>
          </cell>
          <cell r="H246" t="str">
            <v>Administrative coverage</v>
          </cell>
          <cell r="I246"/>
          <cell r="J246"/>
          <cell r="K246"/>
        </row>
        <row r="247">
          <cell r="B247" t="str">
            <v>CMR</v>
          </cell>
          <cell r="C247" t="str">
            <v>Cameroon</v>
          </cell>
          <cell r="D247">
            <v>2023</v>
          </cell>
          <cell r="E247" t="str">
            <v>FLU_ALL</v>
          </cell>
          <cell r="F247" t="str">
            <v>Influenza all persons above ≥6 months (universal recommendation)</v>
          </cell>
          <cell r="G247" t="str">
            <v>ADMIN</v>
          </cell>
          <cell r="H247" t="str">
            <v>Administrative coverage</v>
          </cell>
          <cell r="I247"/>
          <cell r="J247"/>
          <cell r="K247"/>
        </row>
        <row r="248">
          <cell r="B248" t="str">
            <v>CAN</v>
          </cell>
          <cell r="C248" t="str">
            <v>Canada</v>
          </cell>
          <cell r="D248">
            <v>2023</v>
          </cell>
          <cell r="E248" t="str">
            <v>FLU_ALL</v>
          </cell>
          <cell r="F248" t="str">
            <v>Influenza all persons above ≥6 months (universal recommendation)</v>
          </cell>
          <cell r="G248" t="str">
            <v>ADMIN</v>
          </cell>
          <cell r="H248" t="str">
            <v>Administrative coverage</v>
          </cell>
          <cell r="I248"/>
          <cell r="J248"/>
          <cell r="K248"/>
        </row>
        <row r="249">
          <cell r="B249" t="str">
            <v>CYM</v>
          </cell>
          <cell r="C249" t="str">
            <v>Cayman Islands</v>
          </cell>
          <cell r="D249">
            <v>2023</v>
          </cell>
          <cell r="E249" t="str">
            <v>FLU_ALL</v>
          </cell>
          <cell r="F249" t="str">
            <v>Influenza all persons above ≥6 months (universal recommendation)</v>
          </cell>
          <cell r="G249" t="str">
            <v>ADMIN</v>
          </cell>
          <cell r="H249" t="str">
            <v>Administrative coverage</v>
          </cell>
          <cell r="I249"/>
          <cell r="J249"/>
          <cell r="K249"/>
        </row>
        <row r="250">
          <cell r="B250" t="str">
            <v>CAF</v>
          </cell>
          <cell r="C250" t="str">
            <v>Central African Republic</v>
          </cell>
          <cell r="D250">
            <v>2023</v>
          </cell>
          <cell r="E250" t="str">
            <v>FLU_ALL</v>
          </cell>
          <cell r="F250" t="str">
            <v>Influenza all persons above ≥6 months (universal recommendation)</v>
          </cell>
          <cell r="G250" t="str">
            <v>ADMIN</v>
          </cell>
          <cell r="H250" t="str">
            <v>Administrative coverage</v>
          </cell>
          <cell r="I250"/>
          <cell r="J250"/>
          <cell r="K250"/>
        </row>
        <row r="251">
          <cell r="B251" t="str">
            <v>TCD</v>
          </cell>
          <cell r="C251" t="str">
            <v>Chad</v>
          </cell>
          <cell r="D251">
            <v>2023</v>
          </cell>
          <cell r="E251" t="str">
            <v>FLU_ALL</v>
          </cell>
          <cell r="F251" t="str">
            <v>Influenza all persons above ≥6 months (universal recommendation)</v>
          </cell>
          <cell r="G251" t="str">
            <v>ADMIN</v>
          </cell>
          <cell r="H251" t="str">
            <v>Administrative coverage</v>
          </cell>
          <cell r="I251"/>
          <cell r="J251"/>
          <cell r="K251"/>
        </row>
        <row r="252">
          <cell r="B252" t="str">
            <v>CHL</v>
          </cell>
          <cell r="C252" t="str">
            <v>Chile</v>
          </cell>
          <cell r="D252">
            <v>2023</v>
          </cell>
          <cell r="E252" t="str">
            <v>FLU_ALL</v>
          </cell>
          <cell r="F252" t="str">
            <v>Influenza all persons above ≥6 months (universal recommendation)</v>
          </cell>
          <cell r="G252" t="str">
            <v>ADMIN</v>
          </cell>
          <cell r="H252" t="str">
            <v>Administrative coverage</v>
          </cell>
          <cell r="I252"/>
          <cell r="J252"/>
          <cell r="K252"/>
        </row>
        <row r="253">
          <cell r="B253" t="str">
            <v>CHN</v>
          </cell>
          <cell r="C253" t="str">
            <v>China</v>
          </cell>
          <cell r="D253">
            <v>2023</v>
          </cell>
          <cell r="E253" t="str">
            <v>FLU_ALL</v>
          </cell>
          <cell r="F253" t="str">
            <v>Influenza all persons above ≥6 months (universal recommendation)</v>
          </cell>
          <cell r="G253" t="str">
            <v>ADMIN</v>
          </cell>
          <cell r="H253" t="str">
            <v>Administrative coverage</v>
          </cell>
          <cell r="I253"/>
          <cell r="J253"/>
          <cell r="K253"/>
        </row>
        <row r="254">
          <cell r="B254" t="str">
            <v>HKG</v>
          </cell>
          <cell r="C254" t="str">
            <v>China, Hong Kong SAR</v>
          </cell>
          <cell r="D254">
            <v>2023</v>
          </cell>
          <cell r="E254" t="str">
            <v>FLU_ALL</v>
          </cell>
          <cell r="F254" t="str">
            <v>Influenza all persons above ≥6 months (universal recommendation)</v>
          </cell>
          <cell r="G254" t="str">
            <v>ADMIN</v>
          </cell>
          <cell r="H254" t="str">
            <v>Administrative coverage</v>
          </cell>
          <cell r="I254"/>
          <cell r="J254"/>
          <cell r="K254"/>
        </row>
        <row r="255">
          <cell r="B255" t="str">
            <v>MAC</v>
          </cell>
          <cell r="C255" t="str">
            <v>China, Macao SAR</v>
          </cell>
          <cell r="D255">
            <v>2023</v>
          </cell>
          <cell r="E255" t="str">
            <v>FLU_ALL</v>
          </cell>
          <cell r="F255" t="str">
            <v>Influenza all persons above ≥6 months (universal recommendation)</v>
          </cell>
          <cell r="G255" t="str">
            <v>ADMIN</v>
          </cell>
          <cell r="H255" t="str">
            <v>Administrative coverage</v>
          </cell>
          <cell r="I255">
            <v>568895</v>
          </cell>
          <cell r="J255">
            <v>169945</v>
          </cell>
          <cell r="K255">
            <v>29.87</v>
          </cell>
        </row>
        <row r="256">
          <cell r="B256" t="str">
            <v>COL</v>
          </cell>
          <cell r="C256" t="str">
            <v>Colombia</v>
          </cell>
          <cell r="D256">
            <v>2023</v>
          </cell>
          <cell r="E256" t="str">
            <v>FLU_ALL</v>
          </cell>
          <cell r="F256" t="str">
            <v>Influenza all persons above ≥6 months (universal recommendation)</v>
          </cell>
          <cell r="G256" t="str">
            <v>ADMIN</v>
          </cell>
          <cell r="H256" t="str">
            <v>Administrative coverage</v>
          </cell>
          <cell r="I256"/>
          <cell r="J256"/>
          <cell r="K256"/>
        </row>
        <row r="257">
          <cell r="B257" t="str">
            <v>COM</v>
          </cell>
          <cell r="C257" t="str">
            <v>Comoros</v>
          </cell>
          <cell r="D257">
            <v>2023</v>
          </cell>
          <cell r="E257" t="str">
            <v>FLU_ALL</v>
          </cell>
          <cell r="F257" t="str">
            <v>Influenza all persons above ≥6 months (universal recommendation)</v>
          </cell>
          <cell r="G257" t="str">
            <v>ADMIN</v>
          </cell>
          <cell r="H257" t="str">
            <v>Administrative coverage</v>
          </cell>
          <cell r="I257"/>
          <cell r="J257"/>
          <cell r="K257"/>
        </row>
        <row r="258">
          <cell r="B258" t="str">
            <v>COG</v>
          </cell>
          <cell r="C258" t="str">
            <v>Congo</v>
          </cell>
          <cell r="D258">
            <v>2023</v>
          </cell>
          <cell r="E258" t="str">
            <v>FLU_ALL</v>
          </cell>
          <cell r="F258" t="str">
            <v>Influenza all persons above ≥6 months (universal recommendation)</v>
          </cell>
          <cell r="G258" t="str">
            <v>ADMIN</v>
          </cell>
          <cell r="H258" t="str">
            <v>Administrative coverage</v>
          </cell>
          <cell r="I258"/>
          <cell r="J258"/>
          <cell r="K258"/>
        </row>
        <row r="259">
          <cell r="B259" t="str">
            <v>COK</v>
          </cell>
          <cell r="C259" t="str">
            <v>Cook Islands</v>
          </cell>
          <cell r="D259">
            <v>2023</v>
          </cell>
          <cell r="E259" t="str">
            <v>FLU_ALL</v>
          </cell>
          <cell r="F259" t="str">
            <v>Influenza all persons above ≥6 months (universal recommendation)</v>
          </cell>
          <cell r="G259" t="str">
            <v>ADMIN</v>
          </cell>
          <cell r="H259" t="str">
            <v>Administrative coverage</v>
          </cell>
          <cell r="I259"/>
          <cell r="J259"/>
          <cell r="K259"/>
        </row>
        <row r="260">
          <cell r="B260" t="str">
            <v>CRI</v>
          </cell>
          <cell r="C260" t="str">
            <v>Costa Rica</v>
          </cell>
          <cell r="D260">
            <v>2023</v>
          </cell>
          <cell r="E260" t="str">
            <v>FLU_ALL</v>
          </cell>
          <cell r="F260" t="str">
            <v>Influenza all persons above ≥6 months (universal recommendation)</v>
          </cell>
          <cell r="G260" t="str">
            <v>ADMIN</v>
          </cell>
          <cell r="H260" t="str">
            <v>Administrative coverage</v>
          </cell>
          <cell r="I260"/>
          <cell r="J260"/>
          <cell r="K260"/>
        </row>
        <row r="261">
          <cell r="B261" t="str">
            <v>CIV</v>
          </cell>
          <cell r="C261" t="str">
            <v>Côte d'Ivoire</v>
          </cell>
          <cell r="D261">
            <v>2023</v>
          </cell>
          <cell r="E261" t="str">
            <v>FLU_ALL</v>
          </cell>
          <cell r="F261" t="str">
            <v>Influenza all persons above ≥6 months (universal recommendation)</v>
          </cell>
          <cell r="G261" t="str">
            <v>ADMIN</v>
          </cell>
          <cell r="H261" t="str">
            <v>Administrative coverage</v>
          </cell>
          <cell r="I261"/>
          <cell r="J261"/>
          <cell r="K261"/>
        </row>
        <row r="262">
          <cell r="B262" t="str">
            <v>HRV</v>
          </cell>
          <cell r="C262" t="str">
            <v>Croatia</v>
          </cell>
          <cell r="D262">
            <v>2023</v>
          </cell>
          <cell r="E262" t="str">
            <v>FLU_ALL</v>
          </cell>
          <cell r="F262" t="str">
            <v>Influenza all persons above ≥6 months (universal recommendation)</v>
          </cell>
          <cell r="G262" t="str">
            <v>ADMIN</v>
          </cell>
          <cell r="H262" t="str">
            <v>Administrative coverage</v>
          </cell>
          <cell r="I262"/>
          <cell r="J262"/>
          <cell r="K262"/>
        </row>
        <row r="263">
          <cell r="B263" t="str">
            <v>CUB</v>
          </cell>
          <cell r="C263" t="str">
            <v>Cuba</v>
          </cell>
          <cell r="D263">
            <v>2023</v>
          </cell>
          <cell r="E263" t="str">
            <v>FLU_ALL</v>
          </cell>
          <cell r="F263" t="str">
            <v>Influenza all persons above ≥6 months (universal recommendation)</v>
          </cell>
          <cell r="G263" t="str">
            <v>ADMIN</v>
          </cell>
          <cell r="H263" t="str">
            <v>Administrative coverage</v>
          </cell>
          <cell r="I263"/>
          <cell r="J263"/>
          <cell r="K263"/>
        </row>
        <row r="264">
          <cell r="B264" t="str">
            <v>CYP</v>
          </cell>
          <cell r="C264" t="str">
            <v>Cyprus</v>
          </cell>
          <cell r="D264">
            <v>2023</v>
          </cell>
          <cell r="E264" t="str">
            <v>FLU_ALL</v>
          </cell>
          <cell r="F264" t="str">
            <v>Influenza all persons above ≥6 months (universal recommendation)</v>
          </cell>
          <cell r="G264" t="str">
            <v>ADMIN</v>
          </cell>
          <cell r="H264" t="str">
            <v>Administrative coverage</v>
          </cell>
          <cell r="I264"/>
          <cell r="J264"/>
          <cell r="K264"/>
        </row>
        <row r="265">
          <cell r="B265" t="str">
            <v>CZE</v>
          </cell>
          <cell r="C265" t="str">
            <v>Czechia</v>
          </cell>
          <cell r="D265">
            <v>2023</v>
          </cell>
          <cell r="E265" t="str">
            <v>FLU_ALL</v>
          </cell>
          <cell r="F265" t="str">
            <v>Influenza all persons above ≥6 months (universal recommendation)</v>
          </cell>
          <cell r="G265" t="str">
            <v>ADMIN</v>
          </cell>
          <cell r="H265" t="str">
            <v>Administrative coverage</v>
          </cell>
          <cell r="I265"/>
          <cell r="J265"/>
          <cell r="K265"/>
        </row>
        <row r="266">
          <cell r="B266" t="str">
            <v>PRK</v>
          </cell>
          <cell r="C266" t="str">
            <v>Democratic People's Republic of Korea</v>
          </cell>
          <cell r="D266">
            <v>2023</v>
          </cell>
          <cell r="E266" t="str">
            <v>FLU_ALL</v>
          </cell>
          <cell r="F266" t="str">
            <v>Influenza all persons above ≥6 months (universal recommendation)</v>
          </cell>
          <cell r="G266" t="str">
            <v>ADMIN</v>
          </cell>
          <cell r="H266" t="str">
            <v>Administrative coverage</v>
          </cell>
          <cell r="I266"/>
          <cell r="J266"/>
          <cell r="K266"/>
        </row>
        <row r="267">
          <cell r="B267" t="str">
            <v>COD</v>
          </cell>
          <cell r="C267" t="str">
            <v>Democratic Republic of the Congo</v>
          </cell>
          <cell r="D267">
            <v>2023</v>
          </cell>
          <cell r="E267" t="str">
            <v>FLU_ALL</v>
          </cell>
          <cell r="F267" t="str">
            <v>Influenza all persons above ≥6 months (universal recommendation)</v>
          </cell>
          <cell r="G267" t="str">
            <v>ADMIN</v>
          </cell>
          <cell r="H267" t="str">
            <v>Administrative coverage</v>
          </cell>
          <cell r="I267"/>
          <cell r="J267"/>
          <cell r="K267"/>
        </row>
        <row r="268">
          <cell r="B268" t="str">
            <v>DNK</v>
          </cell>
          <cell r="C268" t="str">
            <v>Denmark</v>
          </cell>
          <cell r="D268">
            <v>2023</v>
          </cell>
          <cell r="E268" t="str">
            <v>FLU_ALL</v>
          </cell>
          <cell r="F268" t="str">
            <v>Influenza all persons above ≥6 months (universal recommendation)</v>
          </cell>
          <cell r="G268" t="str">
            <v>ADMIN</v>
          </cell>
          <cell r="H268" t="str">
            <v>Administrative coverage</v>
          </cell>
          <cell r="I268">
            <v>3016877</v>
          </cell>
          <cell r="J268">
            <v>238490</v>
          </cell>
          <cell r="K268">
            <v>7.91</v>
          </cell>
        </row>
        <row r="269">
          <cell r="B269" t="str">
            <v>DJI</v>
          </cell>
          <cell r="C269" t="str">
            <v>Djibouti</v>
          </cell>
          <cell r="D269">
            <v>2023</v>
          </cell>
          <cell r="E269" t="str">
            <v>FLU_ALL</v>
          </cell>
          <cell r="F269" t="str">
            <v>Influenza all persons above ≥6 months (universal recommendation)</v>
          </cell>
          <cell r="G269" t="str">
            <v>ADMIN</v>
          </cell>
          <cell r="H269" t="str">
            <v>Administrative coverage</v>
          </cell>
          <cell r="I269"/>
          <cell r="J269"/>
          <cell r="K269"/>
        </row>
        <row r="270">
          <cell r="B270" t="str">
            <v>DMA</v>
          </cell>
          <cell r="C270" t="str">
            <v>Dominica</v>
          </cell>
          <cell r="D270">
            <v>2023</v>
          </cell>
          <cell r="E270" t="str">
            <v>FLU_ALL</v>
          </cell>
          <cell r="F270" t="str">
            <v>Influenza all persons above ≥6 months (universal recommendation)</v>
          </cell>
          <cell r="G270" t="str">
            <v>ADMIN</v>
          </cell>
          <cell r="H270" t="str">
            <v>Administrative coverage</v>
          </cell>
          <cell r="I270"/>
          <cell r="J270">
            <v>0</v>
          </cell>
          <cell r="K270"/>
        </row>
        <row r="271">
          <cell r="B271" t="str">
            <v>DOM</v>
          </cell>
          <cell r="C271" t="str">
            <v>Dominican Republic</v>
          </cell>
          <cell r="D271">
            <v>2023</v>
          </cell>
          <cell r="E271" t="str">
            <v>FLU_ALL</v>
          </cell>
          <cell r="F271" t="str">
            <v>Influenza all persons above ≥6 months (universal recommendation)</v>
          </cell>
          <cell r="G271" t="str">
            <v>ADMIN</v>
          </cell>
          <cell r="H271" t="str">
            <v>Administrative coverage</v>
          </cell>
          <cell r="I271"/>
          <cell r="J271"/>
          <cell r="K271"/>
        </row>
        <row r="272">
          <cell r="B272" t="str">
            <v>ECU</v>
          </cell>
          <cell r="C272" t="str">
            <v>Ecuador</v>
          </cell>
          <cell r="D272">
            <v>2023</v>
          </cell>
          <cell r="E272" t="str">
            <v>FLU_ALL</v>
          </cell>
          <cell r="F272" t="str">
            <v>Influenza all persons above ≥6 months (universal recommendation)</v>
          </cell>
          <cell r="G272" t="str">
            <v>ADMIN</v>
          </cell>
          <cell r="H272" t="str">
            <v>Administrative coverage</v>
          </cell>
          <cell r="I272">
            <v>10714448</v>
          </cell>
          <cell r="J272">
            <v>1218022</v>
          </cell>
          <cell r="K272">
            <v>11.37</v>
          </cell>
        </row>
        <row r="273">
          <cell r="B273" t="str">
            <v>EGY</v>
          </cell>
          <cell r="C273" t="str">
            <v>Egypt</v>
          </cell>
          <cell r="D273">
            <v>2023</v>
          </cell>
          <cell r="E273" t="str">
            <v>FLU_ALL</v>
          </cell>
          <cell r="F273" t="str">
            <v>Influenza all persons above ≥6 months (universal recommendation)</v>
          </cell>
          <cell r="G273" t="str">
            <v>ADMIN</v>
          </cell>
          <cell r="H273" t="str">
            <v>Administrative coverage</v>
          </cell>
          <cell r="I273"/>
          <cell r="J273"/>
          <cell r="K273"/>
        </row>
        <row r="274">
          <cell r="B274" t="str">
            <v>SLV</v>
          </cell>
          <cell r="C274" t="str">
            <v>El Salvador</v>
          </cell>
          <cell r="D274">
            <v>2023</v>
          </cell>
          <cell r="E274" t="str">
            <v>FLU_ALL</v>
          </cell>
          <cell r="F274" t="str">
            <v>Influenza all persons above ≥6 months (universal recommendation)</v>
          </cell>
          <cell r="G274" t="str">
            <v>ADMIN</v>
          </cell>
          <cell r="H274" t="str">
            <v>Administrative coverage</v>
          </cell>
          <cell r="I274"/>
          <cell r="J274"/>
          <cell r="K274"/>
        </row>
        <row r="275">
          <cell r="B275" t="str">
            <v>GNQ</v>
          </cell>
          <cell r="C275" t="str">
            <v>Equatorial Guinea</v>
          </cell>
          <cell r="D275">
            <v>2023</v>
          </cell>
          <cell r="E275" t="str">
            <v>FLU_ALL</v>
          </cell>
          <cell r="F275" t="str">
            <v>Influenza all persons above ≥6 months (universal recommendation)</v>
          </cell>
          <cell r="G275" t="str">
            <v>ADMIN</v>
          </cell>
          <cell r="H275" t="str">
            <v>Administrative coverage</v>
          </cell>
          <cell r="I275"/>
          <cell r="J275"/>
          <cell r="K275"/>
        </row>
        <row r="276">
          <cell r="B276" t="str">
            <v>ERI</v>
          </cell>
          <cell r="C276" t="str">
            <v>Eritrea</v>
          </cell>
          <cell r="D276">
            <v>2023</v>
          </cell>
          <cell r="E276" t="str">
            <v>FLU_ALL</v>
          </cell>
          <cell r="F276" t="str">
            <v>Influenza all persons above ≥6 months (universal recommendation)</v>
          </cell>
          <cell r="G276" t="str">
            <v>ADMIN</v>
          </cell>
          <cell r="H276" t="str">
            <v>Administrative coverage</v>
          </cell>
          <cell r="I276"/>
          <cell r="J276"/>
          <cell r="K276"/>
        </row>
        <row r="277">
          <cell r="B277" t="str">
            <v>EST</v>
          </cell>
          <cell r="C277" t="str">
            <v>Estonia</v>
          </cell>
          <cell r="D277">
            <v>2023</v>
          </cell>
          <cell r="E277" t="str">
            <v>FLU_ALL</v>
          </cell>
          <cell r="F277" t="str">
            <v>Influenza all persons above ≥6 months (universal recommendation)</v>
          </cell>
          <cell r="G277" t="str">
            <v>ADMIN</v>
          </cell>
          <cell r="H277" t="str">
            <v>Administrative coverage</v>
          </cell>
          <cell r="I277"/>
          <cell r="J277"/>
          <cell r="K277"/>
        </row>
        <row r="278">
          <cell r="B278" t="str">
            <v>SWZ</v>
          </cell>
          <cell r="C278" t="str">
            <v>Eswatini</v>
          </cell>
          <cell r="D278">
            <v>2023</v>
          </cell>
          <cell r="E278" t="str">
            <v>FLU_ALL</v>
          </cell>
          <cell r="F278" t="str">
            <v>Influenza all persons above ≥6 months (universal recommendation)</v>
          </cell>
          <cell r="G278" t="str">
            <v>ADMIN</v>
          </cell>
          <cell r="H278" t="str">
            <v>Administrative coverage</v>
          </cell>
          <cell r="I278"/>
          <cell r="J278"/>
          <cell r="K278"/>
        </row>
        <row r="279">
          <cell r="B279" t="str">
            <v>ETH</v>
          </cell>
          <cell r="C279" t="str">
            <v>Ethiopia</v>
          </cell>
          <cell r="D279">
            <v>2023</v>
          </cell>
          <cell r="E279" t="str">
            <v>FLU_ALL</v>
          </cell>
          <cell r="F279" t="str">
            <v>Influenza all persons above ≥6 months (universal recommendation)</v>
          </cell>
          <cell r="G279" t="str">
            <v>ADMIN</v>
          </cell>
          <cell r="H279" t="str">
            <v>Administrative coverage</v>
          </cell>
          <cell r="I279"/>
          <cell r="J279"/>
          <cell r="K279"/>
        </row>
        <row r="280">
          <cell r="B280" t="str">
            <v>FJI</v>
          </cell>
          <cell r="C280" t="str">
            <v>Fiji</v>
          </cell>
          <cell r="D280">
            <v>2023</v>
          </cell>
          <cell r="E280" t="str">
            <v>FLU_ALL</v>
          </cell>
          <cell r="F280" t="str">
            <v>Influenza all persons above ≥6 months (universal recommendation)</v>
          </cell>
          <cell r="G280" t="str">
            <v>ADMIN</v>
          </cell>
          <cell r="H280" t="str">
            <v>Administrative coverage</v>
          </cell>
          <cell r="I280"/>
          <cell r="J280"/>
          <cell r="K280"/>
        </row>
        <row r="281">
          <cell r="B281" t="str">
            <v>FIN</v>
          </cell>
          <cell r="C281" t="str">
            <v>Finland</v>
          </cell>
          <cell r="D281">
            <v>2023</v>
          </cell>
          <cell r="E281" t="str">
            <v>FLU_ALL</v>
          </cell>
          <cell r="F281" t="str">
            <v>Influenza all persons above ≥6 months (universal recommendation)</v>
          </cell>
          <cell r="G281" t="str">
            <v>ADMIN</v>
          </cell>
          <cell r="H281" t="str">
            <v>Administrative coverage</v>
          </cell>
          <cell r="I281"/>
          <cell r="J281"/>
          <cell r="K281"/>
        </row>
        <row r="282">
          <cell r="B282" t="str">
            <v>FRA</v>
          </cell>
          <cell r="C282" t="str">
            <v>France</v>
          </cell>
          <cell r="D282">
            <v>2023</v>
          </cell>
          <cell r="E282" t="str">
            <v>FLU_ALL</v>
          </cell>
          <cell r="F282" t="str">
            <v>Influenza all persons above ≥6 months (universal recommendation)</v>
          </cell>
          <cell r="G282" t="str">
            <v>ADMIN</v>
          </cell>
          <cell r="H282" t="str">
            <v>Administrative coverage</v>
          </cell>
          <cell r="I282"/>
          <cell r="J282"/>
          <cell r="K282"/>
        </row>
        <row r="283">
          <cell r="B283" t="str">
            <v>PYF</v>
          </cell>
          <cell r="C283" t="str">
            <v>French Polynesia</v>
          </cell>
          <cell r="D283">
            <v>2023</v>
          </cell>
          <cell r="E283" t="str">
            <v>FLU_ALL</v>
          </cell>
          <cell r="F283" t="str">
            <v>Influenza all persons above ≥6 months (universal recommendation)</v>
          </cell>
          <cell r="G283" t="str">
            <v>ADMIN</v>
          </cell>
          <cell r="H283" t="str">
            <v>Administrative coverage</v>
          </cell>
          <cell r="I283"/>
          <cell r="J283"/>
          <cell r="K283"/>
        </row>
        <row r="284">
          <cell r="B284" t="str">
            <v>GAB</v>
          </cell>
          <cell r="C284" t="str">
            <v>Gabon</v>
          </cell>
          <cell r="D284">
            <v>2023</v>
          </cell>
          <cell r="E284" t="str">
            <v>FLU_ALL</v>
          </cell>
          <cell r="F284" t="str">
            <v>Influenza all persons above ≥6 months (universal recommendation)</v>
          </cell>
          <cell r="G284" t="str">
            <v>ADMIN</v>
          </cell>
          <cell r="H284" t="str">
            <v>Administrative coverage</v>
          </cell>
          <cell r="I284"/>
          <cell r="J284"/>
          <cell r="K284"/>
        </row>
        <row r="285">
          <cell r="B285" t="str">
            <v>GMB</v>
          </cell>
          <cell r="C285" t="str">
            <v>Gambia</v>
          </cell>
          <cell r="D285">
            <v>2023</v>
          </cell>
          <cell r="E285" t="str">
            <v>FLU_ALL</v>
          </cell>
          <cell r="F285" t="str">
            <v>Influenza all persons above ≥6 months (universal recommendation)</v>
          </cell>
          <cell r="G285" t="str">
            <v>ADMIN</v>
          </cell>
          <cell r="H285" t="str">
            <v>Administrative coverage</v>
          </cell>
          <cell r="I285"/>
          <cell r="J285"/>
          <cell r="K285"/>
        </row>
        <row r="286">
          <cell r="B286" t="str">
            <v>GEO</v>
          </cell>
          <cell r="C286" t="str">
            <v>Georgia</v>
          </cell>
          <cell r="D286">
            <v>2023</v>
          </cell>
          <cell r="E286" t="str">
            <v>FLU_ALL</v>
          </cell>
          <cell r="F286" t="str">
            <v>Influenza all persons above ≥6 months (universal recommendation)</v>
          </cell>
          <cell r="G286" t="str">
            <v>ADMIN</v>
          </cell>
          <cell r="H286" t="str">
            <v>Administrative coverage</v>
          </cell>
          <cell r="I286">
            <v>145343</v>
          </cell>
          <cell r="J286">
            <v>62194</v>
          </cell>
          <cell r="K286">
            <v>42.8</v>
          </cell>
        </row>
        <row r="287">
          <cell r="B287" t="str">
            <v>DEU</v>
          </cell>
          <cell r="C287" t="str">
            <v>Germany</v>
          </cell>
          <cell r="D287">
            <v>2023</v>
          </cell>
          <cell r="E287" t="str">
            <v>FLU_ALL</v>
          </cell>
          <cell r="F287" t="str">
            <v>Influenza all persons above ≥6 months (universal recommendation)</v>
          </cell>
          <cell r="G287" t="str">
            <v>ADMIN</v>
          </cell>
          <cell r="H287" t="str">
            <v>Administrative coverage</v>
          </cell>
          <cell r="I287"/>
          <cell r="J287"/>
          <cell r="K287"/>
        </row>
        <row r="288">
          <cell r="B288" t="str">
            <v>GHA</v>
          </cell>
          <cell r="C288" t="str">
            <v>Ghana</v>
          </cell>
          <cell r="D288">
            <v>2023</v>
          </cell>
          <cell r="E288" t="str">
            <v>FLU_ALL</v>
          </cell>
          <cell r="F288" t="str">
            <v>Influenza all persons above ≥6 months (universal recommendation)</v>
          </cell>
          <cell r="G288" t="str">
            <v>ADMIN</v>
          </cell>
          <cell r="H288" t="str">
            <v>Administrative coverage</v>
          </cell>
          <cell r="I288"/>
          <cell r="J288"/>
          <cell r="K288"/>
        </row>
        <row r="289">
          <cell r="B289" t="str">
            <v>GRC</v>
          </cell>
          <cell r="C289" t="str">
            <v>Greece</v>
          </cell>
          <cell r="D289">
            <v>2023</v>
          </cell>
          <cell r="E289" t="str">
            <v>FLU_ALL</v>
          </cell>
          <cell r="F289" t="str">
            <v>Influenza all persons above ≥6 months (universal recommendation)</v>
          </cell>
          <cell r="G289" t="str">
            <v>ADMIN</v>
          </cell>
          <cell r="H289" t="str">
            <v>Administrative coverage</v>
          </cell>
          <cell r="I289"/>
          <cell r="J289"/>
          <cell r="K289"/>
        </row>
        <row r="290">
          <cell r="B290" t="str">
            <v>GRD</v>
          </cell>
          <cell r="C290" t="str">
            <v>Grenada</v>
          </cell>
          <cell r="D290">
            <v>2023</v>
          </cell>
          <cell r="E290" t="str">
            <v>FLU_ALL</v>
          </cell>
          <cell r="F290" t="str">
            <v>Influenza all persons above ≥6 months (universal recommendation)</v>
          </cell>
          <cell r="G290" t="str">
            <v>ADMIN</v>
          </cell>
          <cell r="H290" t="str">
            <v>Administrative coverage</v>
          </cell>
          <cell r="I290"/>
          <cell r="J290">
            <v>14</v>
          </cell>
          <cell r="K290"/>
        </row>
        <row r="291">
          <cell r="B291" t="str">
            <v>GUM</v>
          </cell>
          <cell r="C291" t="str">
            <v>Guam</v>
          </cell>
          <cell r="D291">
            <v>2023</v>
          </cell>
          <cell r="E291" t="str">
            <v>FLU_ALL</v>
          </cell>
          <cell r="F291" t="str">
            <v>Influenza all persons above ≥6 months (universal recommendation)</v>
          </cell>
          <cell r="G291" t="str">
            <v>ADMIN</v>
          </cell>
          <cell r="H291" t="str">
            <v>Administrative coverage</v>
          </cell>
          <cell r="I291"/>
          <cell r="J291"/>
          <cell r="K291"/>
        </row>
        <row r="292">
          <cell r="B292" t="str">
            <v>GTM</v>
          </cell>
          <cell r="C292" t="str">
            <v>Guatemala</v>
          </cell>
          <cell r="D292">
            <v>2023</v>
          </cell>
          <cell r="E292" t="str">
            <v>FLU_ALL</v>
          </cell>
          <cell r="F292" t="str">
            <v>Influenza all persons above ≥6 months (universal recommendation)</v>
          </cell>
          <cell r="G292" t="str">
            <v>ADMIN</v>
          </cell>
          <cell r="H292" t="str">
            <v>Administrative coverage</v>
          </cell>
          <cell r="I292"/>
          <cell r="J292"/>
          <cell r="K292"/>
        </row>
        <row r="293">
          <cell r="B293" t="str">
            <v>GIN</v>
          </cell>
          <cell r="C293" t="str">
            <v>Guinea</v>
          </cell>
          <cell r="D293">
            <v>2023</v>
          </cell>
          <cell r="E293" t="str">
            <v>FLU_ALL</v>
          </cell>
          <cell r="F293" t="str">
            <v>Influenza all persons above ≥6 months (universal recommendation)</v>
          </cell>
          <cell r="G293" t="str">
            <v>ADMIN</v>
          </cell>
          <cell r="H293" t="str">
            <v>Administrative coverage</v>
          </cell>
          <cell r="I293"/>
          <cell r="J293"/>
          <cell r="K293"/>
        </row>
        <row r="294">
          <cell r="B294" t="str">
            <v>GNB</v>
          </cell>
          <cell r="C294" t="str">
            <v>Guinea-Bissau</v>
          </cell>
          <cell r="D294">
            <v>2023</v>
          </cell>
          <cell r="E294" t="str">
            <v>FLU_ALL</v>
          </cell>
          <cell r="F294" t="str">
            <v>Influenza all persons above ≥6 months (universal recommendation)</v>
          </cell>
          <cell r="G294" t="str">
            <v>ADMIN</v>
          </cell>
          <cell r="H294" t="str">
            <v>Administrative coverage</v>
          </cell>
          <cell r="I294"/>
          <cell r="J294"/>
          <cell r="K294"/>
        </row>
        <row r="295">
          <cell r="B295" t="str">
            <v>GUY</v>
          </cell>
          <cell r="C295" t="str">
            <v>Guyana</v>
          </cell>
          <cell r="D295">
            <v>2023</v>
          </cell>
          <cell r="E295" t="str">
            <v>FLU_ALL</v>
          </cell>
          <cell r="F295" t="str">
            <v>Influenza all persons above ≥6 months (universal recommendation)</v>
          </cell>
          <cell r="G295" t="str">
            <v>ADMIN</v>
          </cell>
          <cell r="H295" t="str">
            <v>Administrative coverage</v>
          </cell>
          <cell r="I295"/>
          <cell r="J295"/>
          <cell r="K295"/>
        </row>
        <row r="296">
          <cell r="B296" t="str">
            <v>HTI</v>
          </cell>
          <cell r="C296" t="str">
            <v>Haiti</v>
          </cell>
          <cell r="D296">
            <v>2023</v>
          </cell>
          <cell r="E296" t="str">
            <v>FLU_ALL</v>
          </cell>
          <cell r="F296" t="str">
            <v>Influenza all persons above ≥6 months (universal recommendation)</v>
          </cell>
          <cell r="G296" t="str">
            <v>ADMIN</v>
          </cell>
          <cell r="H296" t="str">
            <v>Administrative coverage</v>
          </cell>
          <cell r="I296"/>
          <cell r="J296"/>
          <cell r="K296"/>
        </row>
        <row r="297">
          <cell r="B297" t="str">
            <v>HND</v>
          </cell>
          <cell r="C297" t="str">
            <v>Honduras</v>
          </cell>
          <cell r="D297">
            <v>2023</v>
          </cell>
          <cell r="E297" t="str">
            <v>FLU_ALL</v>
          </cell>
          <cell r="F297" t="str">
            <v>Influenza all persons above ≥6 months (universal recommendation)</v>
          </cell>
          <cell r="G297" t="str">
            <v>ADMIN</v>
          </cell>
          <cell r="H297" t="str">
            <v>Administrative coverage</v>
          </cell>
          <cell r="I297"/>
          <cell r="J297"/>
          <cell r="K297"/>
        </row>
        <row r="298">
          <cell r="B298" t="str">
            <v>HUN</v>
          </cell>
          <cell r="C298" t="str">
            <v>Hungary</v>
          </cell>
          <cell r="D298">
            <v>2023</v>
          </cell>
          <cell r="E298" t="str">
            <v>FLU_ALL</v>
          </cell>
          <cell r="F298" t="str">
            <v>Influenza all persons above ≥6 months (universal recommendation)</v>
          </cell>
          <cell r="G298" t="str">
            <v>ADMIN</v>
          </cell>
          <cell r="H298" t="str">
            <v>Administrative coverage</v>
          </cell>
          <cell r="I298"/>
          <cell r="J298"/>
          <cell r="K298"/>
        </row>
        <row r="299">
          <cell r="B299" t="str">
            <v>ISL</v>
          </cell>
          <cell r="C299" t="str">
            <v>Iceland</v>
          </cell>
          <cell r="D299">
            <v>2023</v>
          </cell>
          <cell r="E299" t="str">
            <v>FLU_ALL</v>
          </cell>
          <cell r="F299" t="str">
            <v>Influenza all persons above ≥6 months (universal recommendation)</v>
          </cell>
          <cell r="G299" t="str">
            <v>ADMIN</v>
          </cell>
          <cell r="H299" t="str">
            <v>Administrative coverage</v>
          </cell>
          <cell r="I299"/>
          <cell r="J299"/>
          <cell r="K299"/>
        </row>
        <row r="300">
          <cell r="B300" t="str">
            <v>IND</v>
          </cell>
          <cell r="C300" t="str">
            <v>India</v>
          </cell>
          <cell r="D300">
            <v>2023</v>
          </cell>
          <cell r="E300" t="str">
            <v>FLU_ALL</v>
          </cell>
          <cell r="F300" t="str">
            <v>Influenza all persons above ≥6 months (universal recommendation)</v>
          </cell>
          <cell r="G300" t="str">
            <v>ADMIN</v>
          </cell>
          <cell r="H300" t="str">
            <v>Administrative coverage</v>
          </cell>
          <cell r="I300"/>
          <cell r="J300"/>
          <cell r="K300"/>
        </row>
        <row r="301">
          <cell r="B301" t="str">
            <v>IDN</v>
          </cell>
          <cell r="C301" t="str">
            <v>Indonesia</v>
          </cell>
          <cell r="D301">
            <v>2023</v>
          </cell>
          <cell r="E301" t="str">
            <v>FLU_ALL</v>
          </cell>
          <cell r="F301" t="str">
            <v>Influenza all persons above ≥6 months (universal recommendation)</v>
          </cell>
          <cell r="G301" t="str">
            <v>ADMIN</v>
          </cell>
          <cell r="H301" t="str">
            <v>Administrative coverage</v>
          </cell>
          <cell r="I301"/>
          <cell r="J301"/>
          <cell r="K301"/>
        </row>
        <row r="302">
          <cell r="B302" t="str">
            <v>IRN</v>
          </cell>
          <cell r="C302" t="str">
            <v>Iran (Islamic Republic of)</v>
          </cell>
          <cell r="D302">
            <v>2023</v>
          </cell>
          <cell r="E302" t="str">
            <v>FLU_ALL</v>
          </cell>
          <cell r="F302" t="str">
            <v>Influenza all persons above ≥6 months (universal recommendation)</v>
          </cell>
          <cell r="G302" t="str">
            <v>ADMIN</v>
          </cell>
          <cell r="H302" t="str">
            <v>Administrative coverage</v>
          </cell>
          <cell r="I302"/>
          <cell r="J302"/>
          <cell r="K302"/>
        </row>
        <row r="303">
          <cell r="B303" t="str">
            <v>IRQ</v>
          </cell>
          <cell r="C303" t="str">
            <v>Iraq</v>
          </cell>
          <cell r="D303">
            <v>2023</v>
          </cell>
          <cell r="E303" t="str">
            <v>FLU_ALL</v>
          </cell>
          <cell r="F303" t="str">
            <v>Influenza all persons above ≥6 months (universal recommendation)</v>
          </cell>
          <cell r="G303" t="str">
            <v>ADMIN</v>
          </cell>
          <cell r="H303" t="str">
            <v>Administrative coverage</v>
          </cell>
          <cell r="I303"/>
          <cell r="J303"/>
          <cell r="K303"/>
        </row>
        <row r="304">
          <cell r="B304" t="str">
            <v>IRL</v>
          </cell>
          <cell r="C304" t="str">
            <v>Ireland</v>
          </cell>
          <cell r="D304">
            <v>2023</v>
          </cell>
          <cell r="E304" t="str">
            <v>FLU_ALL</v>
          </cell>
          <cell r="F304" t="str">
            <v>Influenza all persons above ≥6 months (universal recommendation)</v>
          </cell>
          <cell r="G304" t="str">
            <v>ADMIN</v>
          </cell>
          <cell r="H304" t="str">
            <v>Administrative coverage</v>
          </cell>
          <cell r="I304"/>
          <cell r="J304"/>
          <cell r="K304"/>
        </row>
        <row r="305">
          <cell r="B305" t="str">
            <v>ITA</v>
          </cell>
          <cell r="C305" t="str">
            <v>Italy</v>
          </cell>
          <cell r="D305">
            <v>2023</v>
          </cell>
          <cell r="E305" t="str">
            <v>FLU_ALL</v>
          </cell>
          <cell r="F305" t="str">
            <v>Influenza all persons above ≥6 months (universal recommendation)</v>
          </cell>
          <cell r="G305" t="str">
            <v>ADMIN</v>
          </cell>
          <cell r="H305" t="str">
            <v>Administrative coverage</v>
          </cell>
          <cell r="I305"/>
          <cell r="J305"/>
          <cell r="K305"/>
        </row>
        <row r="306">
          <cell r="B306" t="str">
            <v>JAM</v>
          </cell>
          <cell r="C306" t="str">
            <v>Jamaica</v>
          </cell>
          <cell r="D306">
            <v>2023</v>
          </cell>
          <cell r="E306" t="str">
            <v>FLU_ALL</v>
          </cell>
          <cell r="F306" t="str">
            <v>Influenza all persons above ≥6 months (universal recommendation)</v>
          </cell>
          <cell r="G306" t="str">
            <v>ADMIN</v>
          </cell>
          <cell r="H306" t="str">
            <v>Administrative coverage</v>
          </cell>
          <cell r="I306"/>
          <cell r="J306"/>
          <cell r="K306"/>
        </row>
        <row r="307">
          <cell r="B307" t="str">
            <v>JPN</v>
          </cell>
          <cell r="C307" t="str">
            <v>Japan</v>
          </cell>
          <cell r="D307">
            <v>2023</v>
          </cell>
          <cell r="E307" t="str">
            <v>FLU_ALL</v>
          </cell>
          <cell r="F307" t="str">
            <v>Influenza all persons above ≥6 months (universal recommendation)</v>
          </cell>
          <cell r="G307" t="str">
            <v>ADMIN</v>
          </cell>
          <cell r="H307" t="str">
            <v>Administrative coverage</v>
          </cell>
          <cell r="I307"/>
          <cell r="J307"/>
          <cell r="K307"/>
        </row>
        <row r="308">
          <cell r="B308" t="str">
            <v>JOR</v>
          </cell>
          <cell r="C308" t="str">
            <v>Jordan</v>
          </cell>
          <cell r="D308">
            <v>2023</v>
          </cell>
          <cell r="E308" t="str">
            <v>FLU_ALL</v>
          </cell>
          <cell r="F308" t="str">
            <v>Influenza all persons above ≥6 months (universal recommendation)</v>
          </cell>
          <cell r="G308" t="str">
            <v>ADMIN</v>
          </cell>
          <cell r="H308" t="str">
            <v>Administrative coverage</v>
          </cell>
          <cell r="I308"/>
          <cell r="J308"/>
          <cell r="K308"/>
        </row>
        <row r="309">
          <cell r="B309" t="str">
            <v>KAZ</v>
          </cell>
          <cell r="C309" t="str">
            <v>Kazakhstan</v>
          </cell>
          <cell r="D309">
            <v>2023</v>
          </cell>
          <cell r="E309" t="str">
            <v>FLU_ALL</v>
          </cell>
          <cell r="F309" t="str">
            <v>Influenza all persons above ≥6 months (universal recommendation)</v>
          </cell>
          <cell r="G309" t="str">
            <v>ADMIN</v>
          </cell>
          <cell r="H309" t="str">
            <v>Administrative coverage</v>
          </cell>
          <cell r="I309">
            <v>20083957</v>
          </cell>
          <cell r="J309">
            <v>2428393</v>
          </cell>
          <cell r="K309">
            <v>12.09</v>
          </cell>
        </row>
        <row r="310">
          <cell r="B310" t="str">
            <v>KEN</v>
          </cell>
          <cell r="C310" t="str">
            <v>Kenya</v>
          </cell>
          <cell r="D310">
            <v>2023</v>
          </cell>
          <cell r="E310" t="str">
            <v>FLU_ALL</v>
          </cell>
          <cell r="F310" t="str">
            <v>Influenza all persons above ≥6 months (universal recommendation)</v>
          </cell>
          <cell r="G310" t="str">
            <v>ADMIN</v>
          </cell>
          <cell r="H310" t="str">
            <v>Administrative coverage</v>
          </cell>
          <cell r="I310"/>
          <cell r="J310"/>
          <cell r="K310"/>
        </row>
        <row r="311">
          <cell r="B311" t="str">
            <v>KIR</v>
          </cell>
          <cell r="C311" t="str">
            <v>Kiribati</v>
          </cell>
          <cell r="D311">
            <v>2023</v>
          </cell>
          <cell r="E311" t="str">
            <v>FLU_ALL</v>
          </cell>
          <cell r="F311" t="str">
            <v>Influenza all persons above ≥6 months (universal recommendation)</v>
          </cell>
          <cell r="G311" t="str">
            <v>ADMIN</v>
          </cell>
          <cell r="H311" t="str">
            <v>Administrative coverage</v>
          </cell>
          <cell r="I311"/>
          <cell r="J311"/>
          <cell r="K311"/>
        </row>
        <row r="312">
          <cell r="B312" t="str">
            <v>XKX</v>
          </cell>
          <cell r="C312" t="str">
            <v>Kosovo (in accordance with UN Security Council resolution 1244 (1999))</v>
          </cell>
          <cell r="D312">
            <v>2023</v>
          </cell>
          <cell r="E312" t="str">
            <v>FLU_ALL</v>
          </cell>
          <cell r="F312" t="str">
            <v>Influenza all persons above ≥6 months (universal recommendation)</v>
          </cell>
          <cell r="G312" t="str">
            <v>ADMIN</v>
          </cell>
          <cell r="H312" t="str">
            <v>Administrative coverage</v>
          </cell>
          <cell r="I312"/>
          <cell r="J312"/>
          <cell r="K312"/>
        </row>
        <row r="313">
          <cell r="B313" t="str">
            <v>KWT</v>
          </cell>
          <cell r="C313" t="str">
            <v>Kuwait</v>
          </cell>
          <cell r="D313">
            <v>2023</v>
          </cell>
          <cell r="E313" t="str">
            <v>FLU_ALL</v>
          </cell>
          <cell r="F313" t="str">
            <v>Influenza all persons above ≥6 months (universal recommendation)</v>
          </cell>
          <cell r="G313" t="str">
            <v>ADMIN</v>
          </cell>
          <cell r="H313" t="str">
            <v>Administrative coverage</v>
          </cell>
          <cell r="I313"/>
          <cell r="J313"/>
          <cell r="K313"/>
        </row>
        <row r="314">
          <cell r="B314" t="str">
            <v>KGZ</v>
          </cell>
          <cell r="C314" t="str">
            <v>Kyrgyzstan</v>
          </cell>
          <cell r="D314">
            <v>2023</v>
          </cell>
          <cell r="E314" t="str">
            <v>FLU_ALL</v>
          </cell>
          <cell r="F314" t="str">
            <v>Influenza all persons above ≥6 months (universal recommendation)</v>
          </cell>
          <cell r="G314" t="str">
            <v>ADMIN</v>
          </cell>
          <cell r="H314" t="str">
            <v>Administrative coverage</v>
          </cell>
          <cell r="I314"/>
          <cell r="J314"/>
          <cell r="K314"/>
        </row>
        <row r="315">
          <cell r="B315" t="str">
            <v>LAO</v>
          </cell>
          <cell r="C315" t="str">
            <v>Lao People's Democratic Republic</v>
          </cell>
          <cell r="D315">
            <v>2023</v>
          </cell>
          <cell r="E315" t="str">
            <v>FLU_ALL</v>
          </cell>
          <cell r="F315" t="str">
            <v>Influenza all persons above ≥6 months (universal recommendation)</v>
          </cell>
          <cell r="G315" t="str">
            <v>ADMIN</v>
          </cell>
          <cell r="H315" t="str">
            <v>Administrative coverage</v>
          </cell>
          <cell r="I315"/>
          <cell r="J315"/>
          <cell r="K315"/>
        </row>
        <row r="316">
          <cell r="B316" t="str">
            <v>LVA</v>
          </cell>
          <cell r="C316" t="str">
            <v>Latvia</v>
          </cell>
          <cell r="D316">
            <v>2023</v>
          </cell>
          <cell r="E316" t="str">
            <v>FLU_ALL</v>
          </cell>
          <cell r="F316" t="str">
            <v>Influenza all persons above ≥6 months (universal recommendation)</v>
          </cell>
          <cell r="G316" t="str">
            <v>ADMIN</v>
          </cell>
          <cell r="H316" t="str">
            <v>Administrative coverage</v>
          </cell>
          <cell r="I316"/>
          <cell r="J316"/>
          <cell r="K316"/>
        </row>
        <row r="317">
          <cell r="B317" t="str">
            <v>LBN</v>
          </cell>
          <cell r="C317" t="str">
            <v>Lebanon</v>
          </cell>
          <cell r="D317">
            <v>2023</v>
          </cell>
          <cell r="E317" t="str">
            <v>FLU_ALL</v>
          </cell>
          <cell r="F317" t="str">
            <v>Influenza all persons above ≥6 months (universal recommendation)</v>
          </cell>
          <cell r="G317" t="str">
            <v>ADMIN</v>
          </cell>
          <cell r="H317" t="str">
            <v>Administrative coverage</v>
          </cell>
          <cell r="I317"/>
          <cell r="J317"/>
          <cell r="K317"/>
        </row>
        <row r="318">
          <cell r="B318" t="str">
            <v>LSO</v>
          </cell>
          <cell r="C318" t="str">
            <v>Lesotho</v>
          </cell>
          <cell r="D318">
            <v>2023</v>
          </cell>
          <cell r="E318" t="str">
            <v>FLU_ALL</v>
          </cell>
          <cell r="F318" t="str">
            <v>Influenza all persons above ≥6 months (universal recommendation)</v>
          </cell>
          <cell r="G318" t="str">
            <v>ADMIN</v>
          </cell>
          <cell r="H318" t="str">
            <v>Administrative coverage</v>
          </cell>
          <cell r="I318"/>
          <cell r="J318"/>
          <cell r="K318"/>
        </row>
        <row r="319">
          <cell r="B319" t="str">
            <v>LBR</v>
          </cell>
          <cell r="C319" t="str">
            <v>Liberia</v>
          </cell>
          <cell r="D319">
            <v>2023</v>
          </cell>
          <cell r="E319" t="str">
            <v>FLU_ALL</v>
          </cell>
          <cell r="F319" t="str">
            <v>Influenza all persons above ≥6 months (universal recommendation)</v>
          </cell>
          <cell r="G319" t="str">
            <v>ADMIN</v>
          </cell>
          <cell r="H319" t="str">
            <v>Administrative coverage</v>
          </cell>
          <cell r="I319"/>
          <cell r="J319"/>
          <cell r="K319"/>
        </row>
        <row r="320">
          <cell r="B320" t="str">
            <v>LBY</v>
          </cell>
          <cell r="C320" t="str">
            <v>Libya</v>
          </cell>
          <cell r="D320">
            <v>2023</v>
          </cell>
          <cell r="E320" t="str">
            <v>FLU_ALL</v>
          </cell>
          <cell r="F320" t="str">
            <v>Influenza all persons above ≥6 months (universal recommendation)</v>
          </cell>
          <cell r="G320" t="str">
            <v>ADMIN</v>
          </cell>
          <cell r="H320" t="str">
            <v>Administrative coverage</v>
          </cell>
          <cell r="I320"/>
          <cell r="J320"/>
          <cell r="K320"/>
        </row>
        <row r="321">
          <cell r="B321" t="str">
            <v>LTU</v>
          </cell>
          <cell r="C321" t="str">
            <v>Lithuania</v>
          </cell>
          <cell r="D321">
            <v>2023</v>
          </cell>
          <cell r="E321" t="str">
            <v>FLU_ALL</v>
          </cell>
          <cell r="F321" t="str">
            <v>Influenza all persons above ≥6 months (universal recommendation)</v>
          </cell>
          <cell r="G321" t="str">
            <v>ADMIN</v>
          </cell>
          <cell r="H321" t="str">
            <v>Administrative coverage</v>
          </cell>
          <cell r="I321">
            <v>2831639</v>
          </cell>
          <cell r="J321">
            <v>286470</v>
          </cell>
          <cell r="K321">
            <v>10.119999999999999</v>
          </cell>
        </row>
        <row r="322">
          <cell r="B322" t="str">
            <v>LUX</v>
          </cell>
          <cell r="C322" t="str">
            <v>Luxembourg</v>
          </cell>
          <cell r="D322">
            <v>2023</v>
          </cell>
          <cell r="E322" t="str">
            <v>FLU_ALL</v>
          </cell>
          <cell r="F322" t="str">
            <v>Influenza all persons above ≥6 months (universal recommendation)</v>
          </cell>
          <cell r="G322" t="str">
            <v>ADMIN</v>
          </cell>
          <cell r="H322" t="str">
            <v>Administrative coverage</v>
          </cell>
          <cell r="I322"/>
          <cell r="J322"/>
          <cell r="K322"/>
        </row>
        <row r="323">
          <cell r="B323" t="str">
            <v>MDG</v>
          </cell>
          <cell r="C323" t="str">
            <v>Madagascar</v>
          </cell>
          <cell r="D323">
            <v>2023</v>
          </cell>
          <cell r="E323" t="str">
            <v>FLU_ALL</v>
          </cell>
          <cell r="F323" t="str">
            <v>Influenza all persons above ≥6 months (universal recommendation)</v>
          </cell>
          <cell r="G323" t="str">
            <v>ADMIN</v>
          </cell>
          <cell r="H323" t="str">
            <v>Administrative coverage</v>
          </cell>
          <cell r="I323"/>
          <cell r="J323"/>
          <cell r="K323"/>
        </row>
        <row r="324">
          <cell r="B324" t="str">
            <v>MWI</v>
          </cell>
          <cell r="C324" t="str">
            <v>Malawi</v>
          </cell>
          <cell r="D324">
            <v>2023</v>
          </cell>
          <cell r="E324" t="str">
            <v>FLU_ALL</v>
          </cell>
          <cell r="F324" t="str">
            <v>Influenza all persons above ≥6 months (universal recommendation)</v>
          </cell>
          <cell r="G324" t="str">
            <v>ADMIN</v>
          </cell>
          <cell r="H324" t="str">
            <v>Administrative coverage</v>
          </cell>
          <cell r="I324"/>
          <cell r="J324"/>
          <cell r="K324"/>
        </row>
        <row r="325">
          <cell r="B325" t="str">
            <v>MYS</v>
          </cell>
          <cell r="C325" t="str">
            <v>Malaysia</v>
          </cell>
          <cell r="D325">
            <v>2023</v>
          </cell>
          <cell r="E325" t="str">
            <v>FLU_ALL</v>
          </cell>
          <cell r="F325" t="str">
            <v>Influenza all persons above ≥6 months (universal recommendation)</v>
          </cell>
          <cell r="G325" t="str">
            <v>ADMIN</v>
          </cell>
          <cell r="H325" t="str">
            <v>Administrative coverage</v>
          </cell>
          <cell r="I325"/>
          <cell r="J325"/>
          <cell r="K325"/>
        </row>
        <row r="326">
          <cell r="B326" t="str">
            <v>MDV</v>
          </cell>
          <cell r="C326" t="str">
            <v>Maldives</v>
          </cell>
          <cell r="D326">
            <v>2023</v>
          </cell>
          <cell r="E326" t="str">
            <v>FLU_ALL</v>
          </cell>
          <cell r="F326" t="str">
            <v>Influenza all persons above ≥6 months (universal recommendation)</v>
          </cell>
          <cell r="G326" t="str">
            <v>ADMIN</v>
          </cell>
          <cell r="H326" t="str">
            <v>Administrative coverage</v>
          </cell>
          <cell r="I326"/>
          <cell r="J326"/>
          <cell r="K326"/>
        </row>
        <row r="327">
          <cell r="B327" t="str">
            <v>MLI</v>
          </cell>
          <cell r="C327" t="str">
            <v>Mali</v>
          </cell>
          <cell r="D327">
            <v>2023</v>
          </cell>
          <cell r="E327" t="str">
            <v>FLU_ALL</v>
          </cell>
          <cell r="F327" t="str">
            <v>Influenza all persons above ≥6 months (universal recommendation)</v>
          </cell>
          <cell r="G327" t="str">
            <v>ADMIN</v>
          </cell>
          <cell r="H327" t="str">
            <v>Administrative coverage</v>
          </cell>
          <cell r="I327"/>
          <cell r="J327"/>
          <cell r="K327"/>
        </row>
        <row r="328">
          <cell r="B328" t="str">
            <v>MLT</v>
          </cell>
          <cell r="C328" t="str">
            <v>Malta</v>
          </cell>
          <cell r="D328">
            <v>2023</v>
          </cell>
          <cell r="E328" t="str">
            <v>FLU_ALL</v>
          </cell>
          <cell r="F328" t="str">
            <v>Influenza all persons above ≥6 months (universal recommendation)</v>
          </cell>
          <cell r="G328" t="str">
            <v>ADMIN</v>
          </cell>
          <cell r="H328" t="str">
            <v>Administrative coverage</v>
          </cell>
          <cell r="I328"/>
          <cell r="J328"/>
          <cell r="K328"/>
        </row>
        <row r="329">
          <cell r="B329" t="str">
            <v>MHL</v>
          </cell>
          <cell r="C329" t="str">
            <v>Marshall Islands</v>
          </cell>
          <cell r="D329">
            <v>2023</v>
          </cell>
          <cell r="E329" t="str">
            <v>FLU_ALL</v>
          </cell>
          <cell r="F329" t="str">
            <v>Influenza all persons above ≥6 months (universal recommendation)</v>
          </cell>
          <cell r="G329" t="str">
            <v>ADMIN</v>
          </cell>
          <cell r="H329" t="str">
            <v>Administrative coverage</v>
          </cell>
          <cell r="I329"/>
          <cell r="J329"/>
          <cell r="K329"/>
        </row>
        <row r="330">
          <cell r="B330" t="str">
            <v>MRT</v>
          </cell>
          <cell r="C330" t="str">
            <v>Mauritania</v>
          </cell>
          <cell r="D330">
            <v>2023</v>
          </cell>
          <cell r="E330" t="str">
            <v>FLU_ALL</v>
          </cell>
          <cell r="F330" t="str">
            <v>Influenza all persons above ≥6 months (universal recommendation)</v>
          </cell>
          <cell r="G330" t="str">
            <v>ADMIN</v>
          </cell>
          <cell r="H330" t="str">
            <v>Administrative coverage</v>
          </cell>
          <cell r="I330"/>
          <cell r="J330"/>
          <cell r="K330"/>
        </row>
        <row r="331">
          <cell r="B331" t="str">
            <v>MUS</v>
          </cell>
          <cell r="C331" t="str">
            <v>Mauritius</v>
          </cell>
          <cell r="D331">
            <v>2023</v>
          </cell>
          <cell r="E331" t="str">
            <v>FLU_ALL</v>
          </cell>
          <cell r="F331" t="str">
            <v>Influenza all persons above ≥6 months (universal recommendation)</v>
          </cell>
          <cell r="G331" t="str">
            <v>ADMIN</v>
          </cell>
          <cell r="H331" t="str">
            <v>Administrative coverage</v>
          </cell>
          <cell r="I331"/>
          <cell r="J331"/>
          <cell r="K331"/>
        </row>
        <row r="332">
          <cell r="B332" t="str">
            <v>MEX</v>
          </cell>
          <cell r="C332" t="str">
            <v>Mexico</v>
          </cell>
          <cell r="D332">
            <v>2023</v>
          </cell>
          <cell r="E332" t="str">
            <v>FLU_ALL</v>
          </cell>
          <cell r="F332" t="str">
            <v>Influenza all persons above ≥6 months (universal recommendation)</v>
          </cell>
          <cell r="G332" t="str">
            <v>ADMIN</v>
          </cell>
          <cell r="H332" t="str">
            <v>Administrative coverage</v>
          </cell>
          <cell r="I332"/>
          <cell r="J332"/>
          <cell r="K332"/>
        </row>
        <row r="333">
          <cell r="B333" t="str">
            <v>FSM</v>
          </cell>
          <cell r="C333" t="str">
            <v>Micronesia (Federated States of)</v>
          </cell>
          <cell r="D333">
            <v>2023</v>
          </cell>
          <cell r="E333" t="str">
            <v>FLU_ALL</v>
          </cell>
          <cell r="F333" t="str">
            <v>Influenza all persons above ≥6 months (universal recommendation)</v>
          </cell>
          <cell r="G333" t="str">
            <v>ADMIN</v>
          </cell>
          <cell r="H333" t="str">
            <v>Administrative coverage</v>
          </cell>
          <cell r="I333"/>
          <cell r="J333"/>
          <cell r="K333"/>
        </row>
        <row r="334">
          <cell r="B334" t="str">
            <v>MCO</v>
          </cell>
          <cell r="C334" t="str">
            <v>Monaco</v>
          </cell>
          <cell r="D334">
            <v>2023</v>
          </cell>
          <cell r="E334" t="str">
            <v>FLU_ALL</v>
          </cell>
          <cell r="F334" t="str">
            <v>Influenza all persons above ≥6 months (universal recommendation)</v>
          </cell>
          <cell r="G334" t="str">
            <v>ADMIN</v>
          </cell>
          <cell r="H334" t="str">
            <v>Administrative coverage</v>
          </cell>
          <cell r="I334"/>
          <cell r="J334"/>
          <cell r="K334"/>
        </row>
        <row r="335">
          <cell r="B335" t="str">
            <v>MNG</v>
          </cell>
          <cell r="C335" t="str">
            <v>Mongolia</v>
          </cell>
          <cell r="D335">
            <v>2023</v>
          </cell>
          <cell r="E335" t="str">
            <v>FLU_ALL</v>
          </cell>
          <cell r="F335" t="str">
            <v>Influenza all persons above ≥6 months (universal recommendation)</v>
          </cell>
          <cell r="G335" t="str">
            <v>ADMIN</v>
          </cell>
          <cell r="H335" t="str">
            <v>Administrative coverage</v>
          </cell>
          <cell r="I335"/>
          <cell r="J335"/>
          <cell r="K335"/>
        </row>
        <row r="336">
          <cell r="B336" t="str">
            <v>MNE</v>
          </cell>
          <cell r="C336" t="str">
            <v>Montenegro</v>
          </cell>
          <cell r="D336">
            <v>2023</v>
          </cell>
          <cell r="E336" t="str">
            <v>FLU_ALL</v>
          </cell>
          <cell r="F336" t="str">
            <v>Influenza all persons above ≥6 months (universal recommendation)</v>
          </cell>
          <cell r="G336" t="str">
            <v>ADMIN</v>
          </cell>
          <cell r="H336" t="str">
            <v>Administrative coverage</v>
          </cell>
          <cell r="I336"/>
          <cell r="J336"/>
          <cell r="K336"/>
        </row>
        <row r="337">
          <cell r="B337" t="str">
            <v>MSR</v>
          </cell>
          <cell r="C337" t="str">
            <v>Montserrat</v>
          </cell>
          <cell r="D337">
            <v>2023</v>
          </cell>
          <cell r="E337" t="str">
            <v>FLU_ALL</v>
          </cell>
          <cell r="F337" t="str">
            <v>Influenza all persons above ≥6 months (universal recommendation)</v>
          </cell>
          <cell r="G337" t="str">
            <v>ADMIN</v>
          </cell>
          <cell r="H337" t="str">
            <v>Administrative coverage</v>
          </cell>
          <cell r="I337"/>
          <cell r="J337"/>
          <cell r="K337"/>
        </row>
        <row r="338">
          <cell r="B338" t="str">
            <v>MAR</v>
          </cell>
          <cell r="C338" t="str">
            <v>Morocco</v>
          </cell>
          <cell r="D338">
            <v>2023</v>
          </cell>
          <cell r="E338" t="str">
            <v>FLU_ALL</v>
          </cell>
          <cell r="F338" t="str">
            <v>Influenza all persons above ≥6 months (universal recommendation)</v>
          </cell>
          <cell r="G338" t="str">
            <v>ADMIN</v>
          </cell>
          <cell r="H338" t="str">
            <v>Administrative coverage</v>
          </cell>
          <cell r="I338"/>
          <cell r="J338"/>
          <cell r="K338"/>
        </row>
        <row r="339">
          <cell r="B339" t="str">
            <v>MOZ</v>
          </cell>
          <cell r="C339" t="str">
            <v>Mozambique</v>
          </cell>
          <cell r="D339">
            <v>2023</v>
          </cell>
          <cell r="E339" t="str">
            <v>FLU_ALL</v>
          </cell>
          <cell r="F339" t="str">
            <v>Influenza all persons above ≥6 months (universal recommendation)</v>
          </cell>
          <cell r="G339" t="str">
            <v>ADMIN</v>
          </cell>
          <cell r="H339" t="str">
            <v>Administrative coverage</v>
          </cell>
          <cell r="I339"/>
          <cell r="J339"/>
          <cell r="K339"/>
        </row>
        <row r="340">
          <cell r="B340" t="str">
            <v>MMR</v>
          </cell>
          <cell r="C340" t="str">
            <v>Myanmar</v>
          </cell>
          <cell r="D340">
            <v>2023</v>
          </cell>
          <cell r="E340" t="str">
            <v>FLU_ALL</v>
          </cell>
          <cell r="F340" t="str">
            <v>Influenza all persons above ≥6 months (universal recommendation)</v>
          </cell>
          <cell r="G340" t="str">
            <v>ADMIN</v>
          </cell>
          <cell r="H340" t="str">
            <v>Administrative coverage</v>
          </cell>
          <cell r="I340"/>
          <cell r="J340"/>
          <cell r="K340"/>
        </row>
        <row r="341">
          <cell r="B341" t="str">
            <v>NAM</v>
          </cell>
          <cell r="C341" t="str">
            <v>Namibia</v>
          </cell>
          <cell r="D341">
            <v>2023</v>
          </cell>
          <cell r="E341" t="str">
            <v>FLU_ALL</v>
          </cell>
          <cell r="F341" t="str">
            <v>Influenza all persons above ≥6 months (universal recommendation)</v>
          </cell>
          <cell r="G341" t="str">
            <v>ADMIN</v>
          </cell>
          <cell r="H341" t="str">
            <v>Administrative coverage</v>
          </cell>
          <cell r="I341"/>
          <cell r="J341"/>
          <cell r="K341"/>
        </row>
        <row r="342">
          <cell r="B342" t="str">
            <v>NPL</v>
          </cell>
          <cell r="C342" t="str">
            <v>Nepal</v>
          </cell>
          <cell r="D342">
            <v>2023</v>
          </cell>
          <cell r="E342" t="str">
            <v>FLU_ALL</v>
          </cell>
          <cell r="F342" t="str">
            <v>Influenza all persons above ≥6 months (universal recommendation)</v>
          </cell>
          <cell r="G342" t="str">
            <v>ADMIN</v>
          </cell>
          <cell r="H342" t="str">
            <v>Administrative coverage</v>
          </cell>
          <cell r="I342"/>
          <cell r="J342"/>
          <cell r="K342"/>
        </row>
        <row r="343">
          <cell r="B343" t="str">
            <v>NLD</v>
          </cell>
          <cell r="C343" t="str">
            <v>Netherlands (Kingdom of the)</v>
          </cell>
          <cell r="D343">
            <v>2023</v>
          </cell>
          <cell r="E343" t="str">
            <v>FLU_ALL</v>
          </cell>
          <cell r="F343" t="str">
            <v>Influenza all persons above ≥6 months (universal recommendation)</v>
          </cell>
          <cell r="G343" t="str">
            <v>ADMIN</v>
          </cell>
          <cell r="H343" t="str">
            <v>Administrative coverage</v>
          </cell>
          <cell r="I343"/>
          <cell r="J343"/>
          <cell r="K343"/>
        </row>
        <row r="344">
          <cell r="B344" t="str">
            <v>NCL</v>
          </cell>
          <cell r="C344" t="str">
            <v>New Caledonia</v>
          </cell>
          <cell r="D344">
            <v>2023</v>
          </cell>
          <cell r="E344" t="str">
            <v>FLU_ALL</v>
          </cell>
          <cell r="F344" t="str">
            <v>Influenza all persons above ≥6 months (universal recommendation)</v>
          </cell>
          <cell r="G344" t="str">
            <v>ADMIN</v>
          </cell>
          <cell r="H344" t="str">
            <v>Administrative coverage</v>
          </cell>
          <cell r="I344"/>
          <cell r="J344"/>
          <cell r="K344"/>
        </row>
        <row r="345">
          <cell r="B345" t="str">
            <v>NZL</v>
          </cell>
          <cell r="C345" t="str">
            <v>New Zealand</v>
          </cell>
          <cell r="D345">
            <v>2023</v>
          </cell>
          <cell r="E345" t="str">
            <v>FLU_ALL</v>
          </cell>
          <cell r="F345" t="str">
            <v>Influenza all persons above ≥6 months (universal recommendation)</v>
          </cell>
          <cell r="G345" t="str">
            <v>ADMIN</v>
          </cell>
          <cell r="H345" t="str">
            <v>Administrative coverage</v>
          </cell>
          <cell r="I345"/>
          <cell r="J345"/>
          <cell r="K345"/>
        </row>
        <row r="346">
          <cell r="B346" t="str">
            <v>NIC</v>
          </cell>
          <cell r="C346" t="str">
            <v>Nicaragua</v>
          </cell>
          <cell r="D346">
            <v>2023</v>
          </cell>
          <cell r="E346" t="str">
            <v>FLU_ALL</v>
          </cell>
          <cell r="F346" t="str">
            <v>Influenza all persons above ≥6 months (universal recommendation)</v>
          </cell>
          <cell r="G346" t="str">
            <v>ADMIN</v>
          </cell>
          <cell r="H346" t="str">
            <v>Administrative coverage</v>
          </cell>
          <cell r="I346"/>
          <cell r="J346"/>
          <cell r="K346"/>
        </row>
        <row r="347">
          <cell r="B347" t="str">
            <v>NER</v>
          </cell>
          <cell r="C347" t="str">
            <v>Niger</v>
          </cell>
          <cell r="D347">
            <v>2023</v>
          </cell>
          <cell r="E347" t="str">
            <v>FLU_ALL</v>
          </cell>
          <cell r="F347" t="str">
            <v>Influenza all persons above ≥6 months (universal recommendation)</v>
          </cell>
          <cell r="G347" t="str">
            <v>ADMIN</v>
          </cell>
          <cell r="H347" t="str">
            <v>Administrative coverage</v>
          </cell>
          <cell r="I347"/>
          <cell r="J347"/>
          <cell r="K347"/>
        </row>
        <row r="348">
          <cell r="B348" t="str">
            <v>NGA</v>
          </cell>
          <cell r="C348" t="str">
            <v>Nigeria</v>
          </cell>
          <cell r="D348">
            <v>2023</v>
          </cell>
          <cell r="E348" t="str">
            <v>FLU_ALL</v>
          </cell>
          <cell r="F348" t="str">
            <v>Influenza all persons above ≥6 months (universal recommendation)</v>
          </cell>
          <cell r="G348" t="str">
            <v>ADMIN</v>
          </cell>
          <cell r="H348" t="str">
            <v>Administrative coverage</v>
          </cell>
          <cell r="I348"/>
          <cell r="J348"/>
          <cell r="K348"/>
        </row>
        <row r="349">
          <cell r="B349" t="str">
            <v>NIU</v>
          </cell>
          <cell r="C349" t="str">
            <v>Niue</v>
          </cell>
          <cell r="D349">
            <v>2023</v>
          </cell>
          <cell r="E349" t="str">
            <v>FLU_ALL</v>
          </cell>
          <cell r="F349" t="str">
            <v>Influenza all persons above ≥6 months (universal recommendation)</v>
          </cell>
          <cell r="G349" t="str">
            <v>ADMIN</v>
          </cell>
          <cell r="H349" t="str">
            <v>Administrative coverage</v>
          </cell>
          <cell r="I349"/>
          <cell r="J349"/>
          <cell r="K349"/>
        </row>
        <row r="350">
          <cell r="B350" t="str">
            <v>MKD</v>
          </cell>
          <cell r="C350" t="str">
            <v>North Macedonia</v>
          </cell>
          <cell r="D350">
            <v>2023</v>
          </cell>
          <cell r="E350" t="str">
            <v>FLU_ALL</v>
          </cell>
          <cell r="F350" t="str">
            <v>Influenza all persons above ≥6 months (universal recommendation)</v>
          </cell>
          <cell r="G350" t="str">
            <v>ADMIN</v>
          </cell>
          <cell r="H350" t="str">
            <v>Administrative coverage</v>
          </cell>
          <cell r="I350"/>
          <cell r="J350">
            <v>2638</v>
          </cell>
          <cell r="K350"/>
        </row>
        <row r="351">
          <cell r="B351" t="str">
            <v>MNP</v>
          </cell>
          <cell r="C351" t="str">
            <v>Northern Mariana Islands</v>
          </cell>
          <cell r="D351">
            <v>2023</v>
          </cell>
          <cell r="E351" t="str">
            <v>FLU_ALL</v>
          </cell>
          <cell r="F351" t="str">
            <v>Influenza all persons above ≥6 months (universal recommendation)</v>
          </cell>
          <cell r="G351" t="str">
            <v>ADMIN</v>
          </cell>
          <cell r="H351" t="str">
            <v>Administrative coverage</v>
          </cell>
          <cell r="I351"/>
          <cell r="J351"/>
          <cell r="K351"/>
        </row>
        <row r="352">
          <cell r="B352" t="str">
            <v>NOR</v>
          </cell>
          <cell r="C352" t="str">
            <v>Norway</v>
          </cell>
          <cell r="D352">
            <v>2023</v>
          </cell>
          <cell r="E352" t="str">
            <v>FLU_ALL</v>
          </cell>
          <cell r="F352" t="str">
            <v>Influenza all persons above ≥6 months (universal recommendation)</v>
          </cell>
          <cell r="G352" t="str">
            <v>ADMIN</v>
          </cell>
          <cell r="H352" t="str">
            <v>Administrative coverage</v>
          </cell>
          <cell r="I352"/>
          <cell r="J352"/>
          <cell r="K352"/>
        </row>
        <row r="353">
          <cell r="B353" t="str">
            <v>PSE</v>
          </cell>
          <cell r="C353" t="str">
            <v>occupied Palestinian territory, including east Jerusalem</v>
          </cell>
          <cell r="D353">
            <v>2023</v>
          </cell>
          <cell r="E353" t="str">
            <v>FLU_ALL</v>
          </cell>
          <cell r="F353" t="str">
            <v>Influenza all persons above ≥6 months (universal recommendation)</v>
          </cell>
          <cell r="G353" t="str">
            <v>ADMIN</v>
          </cell>
          <cell r="H353" t="str">
            <v>Administrative coverage</v>
          </cell>
          <cell r="I353"/>
          <cell r="J353"/>
          <cell r="K353"/>
        </row>
        <row r="354">
          <cell r="B354" t="str">
            <v>OMN</v>
          </cell>
          <cell r="C354" t="str">
            <v>Oman</v>
          </cell>
          <cell r="D354">
            <v>2023</v>
          </cell>
          <cell r="E354" t="str">
            <v>FLU_ALL</v>
          </cell>
          <cell r="F354" t="str">
            <v>Influenza all persons above ≥6 months (universal recommendation)</v>
          </cell>
          <cell r="G354" t="str">
            <v>ADMIN</v>
          </cell>
          <cell r="H354" t="str">
            <v>Administrative coverage</v>
          </cell>
          <cell r="I354"/>
          <cell r="J354"/>
          <cell r="K354"/>
        </row>
        <row r="355">
          <cell r="B355" t="str">
            <v>PAK</v>
          </cell>
          <cell r="C355" t="str">
            <v>Pakistan</v>
          </cell>
          <cell r="D355">
            <v>2023</v>
          </cell>
          <cell r="E355" t="str">
            <v>FLU_ALL</v>
          </cell>
          <cell r="F355" t="str">
            <v>Influenza all persons above ≥6 months (universal recommendation)</v>
          </cell>
          <cell r="G355" t="str">
            <v>ADMIN</v>
          </cell>
          <cell r="H355" t="str">
            <v>Administrative coverage</v>
          </cell>
          <cell r="I355"/>
          <cell r="J355"/>
          <cell r="K355"/>
        </row>
        <row r="356">
          <cell r="B356" t="str">
            <v>PLW</v>
          </cell>
          <cell r="C356" t="str">
            <v>Palau</v>
          </cell>
          <cell r="D356">
            <v>2023</v>
          </cell>
          <cell r="E356" t="str">
            <v>FLU_ALL</v>
          </cell>
          <cell r="F356" t="str">
            <v>Influenza all persons above ≥6 months (universal recommendation)</v>
          </cell>
          <cell r="G356" t="str">
            <v>ADMIN</v>
          </cell>
          <cell r="H356" t="str">
            <v>Administrative coverage</v>
          </cell>
          <cell r="I356"/>
          <cell r="J356"/>
          <cell r="K356"/>
        </row>
        <row r="357">
          <cell r="B357" t="str">
            <v>PAN</v>
          </cell>
          <cell r="C357" t="str">
            <v>Panama</v>
          </cell>
          <cell r="D357">
            <v>2023</v>
          </cell>
          <cell r="E357" t="str">
            <v>FLU_ALL</v>
          </cell>
          <cell r="F357" t="str">
            <v>Influenza all persons above ≥6 months (universal recommendation)</v>
          </cell>
          <cell r="G357" t="str">
            <v>ADMIN</v>
          </cell>
          <cell r="H357" t="str">
            <v>Administrative coverage</v>
          </cell>
          <cell r="I357"/>
          <cell r="J357"/>
          <cell r="K357"/>
        </row>
        <row r="358">
          <cell r="B358" t="str">
            <v>PNG</v>
          </cell>
          <cell r="C358" t="str">
            <v>Papua New Guinea</v>
          </cell>
          <cell r="D358">
            <v>2023</v>
          </cell>
          <cell r="E358" t="str">
            <v>FLU_ALL</v>
          </cell>
          <cell r="F358" t="str">
            <v>Influenza all persons above ≥6 months (universal recommendation)</v>
          </cell>
          <cell r="G358" t="str">
            <v>ADMIN</v>
          </cell>
          <cell r="H358" t="str">
            <v>Administrative coverage</v>
          </cell>
          <cell r="I358"/>
          <cell r="J358"/>
          <cell r="K358"/>
        </row>
        <row r="359">
          <cell r="B359" t="str">
            <v>PRY</v>
          </cell>
          <cell r="C359" t="str">
            <v>Paraguay</v>
          </cell>
          <cell r="D359">
            <v>2023</v>
          </cell>
          <cell r="E359" t="str">
            <v>FLU_ALL</v>
          </cell>
          <cell r="F359" t="str">
            <v>Influenza all persons above ≥6 months (universal recommendation)</v>
          </cell>
          <cell r="G359" t="str">
            <v>ADMIN</v>
          </cell>
          <cell r="H359" t="str">
            <v>Administrative coverage</v>
          </cell>
          <cell r="I359"/>
          <cell r="J359">
            <v>234524</v>
          </cell>
          <cell r="K359"/>
        </row>
        <row r="360">
          <cell r="B360" t="str">
            <v>PER</v>
          </cell>
          <cell r="C360" t="str">
            <v>Peru</v>
          </cell>
          <cell r="D360">
            <v>2023</v>
          </cell>
          <cell r="E360" t="str">
            <v>FLU_ALL</v>
          </cell>
          <cell r="F360" t="str">
            <v>Influenza all persons above ≥6 months (universal recommendation)</v>
          </cell>
          <cell r="G360" t="str">
            <v>ADMIN</v>
          </cell>
          <cell r="H360" t="str">
            <v>Administrative coverage</v>
          </cell>
          <cell r="I360"/>
          <cell r="J360"/>
          <cell r="K360"/>
        </row>
        <row r="361">
          <cell r="B361" t="str">
            <v>PHL</v>
          </cell>
          <cell r="C361" t="str">
            <v>Philippines</v>
          </cell>
          <cell r="D361">
            <v>2023</v>
          </cell>
          <cell r="E361" t="str">
            <v>FLU_ALL</v>
          </cell>
          <cell r="F361" t="str">
            <v>Influenza all persons above ≥6 months (universal recommendation)</v>
          </cell>
          <cell r="G361" t="str">
            <v>ADMIN</v>
          </cell>
          <cell r="H361" t="str">
            <v>Administrative coverage</v>
          </cell>
          <cell r="I361"/>
          <cell r="J361"/>
          <cell r="K361"/>
        </row>
        <row r="362">
          <cell r="B362" t="str">
            <v>POL</v>
          </cell>
          <cell r="C362" t="str">
            <v>Poland</v>
          </cell>
          <cell r="D362">
            <v>2023</v>
          </cell>
          <cell r="E362" t="str">
            <v>FLU_ALL</v>
          </cell>
          <cell r="F362" t="str">
            <v>Influenza all persons above ≥6 months (universal recommendation)</v>
          </cell>
          <cell r="G362" t="str">
            <v>ADMIN</v>
          </cell>
          <cell r="H362" t="str">
            <v>Administrative coverage</v>
          </cell>
          <cell r="I362"/>
          <cell r="J362"/>
          <cell r="K362"/>
        </row>
        <row r="363">
          <cell r="B363" t="str">
            <v>PRT</v>
          </cell>
          <cell r="C363" t="str">
            <v>Portugal</v>
          </cell>
          <cell r="D363">
            <v>2023</v>
          </cell>
          <cell r="E363" t="str">
            <v>FLU_ALL</v>
          </cell>
          <cell r="F363" t="str">
            <v>Influenza all persons above ≥6 months (universal recommendation)</v>
          </cell>
          <cell r="G363" t="str">
            <v>ADMIN</v>
          </cell>
          <cell r="H363" t="str">
            <v>Administrative coverage</v>
          </cell>
          <cell r="I363"/>
          <cell r="J363"/>
          <cell r="K363"/>
        </row>
        <row r="364">
          <cell r="B364" t="str">
            <v>QAT</v>
          </cell>
          <cell r="C364" t="str">
            <v>Qatar</v>
          </cell>
          <cell r="D364">
            <v>2023</v>
          </cell>
          <cell r="E364" t="str">
            <v>FLU_ALL</v>
          </cell>
          <cell r="F364" t="str">
            <v>Influenza all persons above ≥6 months (universal recommendation)</v>
          </cell>
          <cell r="G364" t="str">
            <v>ADMIN</v>
          </cell>
          <cell r="H364" t="str">
            <v>Administrative coverage</v>
          </cell>
          <cell r="I364"/>
          <cell r="J364"/>
          <cell r="K364"/>
        </row>
        <row r="365">
          <cell r="B365" t="str">
            <v>KOR</v>
          </cell>
          <cell r="C365" t="str">
            <v>Republic of Korea</v>
          </cell>
          <cell r="D365">
            <v>2023</v>
          </cell>
          <cell r="E365" t="str">
            <v>FLU_ALL</v>
          </cell>
          <cell r="F365" t="str">
            <v>Influenza all persons above ≥6 months (universal recommendation)</v>
          </cell>
          <cell r="G365" t="str">
            <v>ADMIN</v>
          </cell>
          <cell r="H365" t="str">
            <v>Administrative coverage</v>
          </cell>
          <cell r="I365"/>
          <cell r="J365"/>
          <cell r="K365"/>
        </row>
        <row r="366">
          <cell r="B366" t="str">
            <v>MDA</v>
          </cell>
          <cell r="C366" t="str">
            <v>Republic of Moldova</v>
          </cell>
          <cell r="D366">
            <v>2023</v>
          </cell>
          <cell r="E366" t="str">
            <v>FLU_ALL</v>
          </cell>
          <cell r="F366" t="str">
            <v>Influenza all persons above ≥6 months (universal recommendation)</v>
          </cell>
          <cell r="G366" t="str">
            <v>ADMIN</v>
          </cell>
          <cell r="H366" t="str">
            <v>Administrative coverage</v>
          </cell>
          <cell r="I366"/>
          <cell r="J366"/>
          <cell r="K366"/>
        </row>
        <row r="367">
          <cell r="B367" t="str">
            <v>ROU</v>
          </cell>
          <cell r="C367" t="str">
            <v>Romania</v>
          </cell>
          <cell r="D367">
            <v>2023</v>
          </cell>
          <cell r="E367" t="str">
            <v>FLU_ALL</v>
          </cell>
          <cell r="F367" t="str">
            <v>Influenza all persons above ≥6 months (universal recommendation)</v>
          </cell>
          <cell r="G367" t="str">
            <v>ADMIN</v>
          </cell>
          <cell r="H367" t="str">
            <v>Administrative coverage</v>
          </cell>
          <cell r="I367"/>
          <cell r="J367"/>
          <cell r="K367"/>
        </row>
        <row r="368">
          <cell r="B368" t="str">
            <v>RUS</v>
          </cell>
          <cell r="C368" t="str">
            <v>Russian Federation</v>
          </cell>
          <cell r="D368">
            <v>2023</v>
          </cell>
          <cell r="E368" t="str">
            <v>FLU_ALL</v>
          </cell>
          <cell r="F368" t="str">
            <v>Influenza all persons above ≥6 months (universal recommendation)</v>
          </cell>
          <cell r="G368" t="str">
            <v>ADMIN</v>
          </cell>
          <cell r="H368" t="str">
            <v>Administrative coverage</v>
          </cell>
          <cell r="I368"/>
          <cell r="J368"/>
          <cell r="K368"/>
        </row>
        <row r="369">
          <cell r="B369" t="str">
            <v>RWA</v>
          </cell>
          <cell r="C369" t="str">
            <v>Rwanda</v>
          </cell>
          <cell r="D369">
            <v>2023</v>
          </cell>
          <cell r="E369" t="str">
            <v>FLU_ALL</v>
          </cell>
          <cell r="F369" t="str">
            <v>Influenza all persons above ≥6 months (universal recommendation)</v>
          </cell>
          <cell r="G369" t="str">
            <v>ADMIN</v>
          </cell>
          <cell r="H369" t="str">
            <v>Administrative coverage</v>
          </cell>
          <cell r="I369"/>
          <cell r="J369"/>
          <cell r="K369"/>
        </row>
        <row r="370">
          <cell r="B370" t="str">
            <v>KNA</v>
          </cell>
          <cell r="C370" t="str">
            <v>Saint Kitts and Nevis</v>
          </cell>
          <cell r="D370">
            <v>2023</v>
          </cell>
          <cell r="E370" t="str">
            <v>FLU_ALL</v>
          </cell>
          <cell r="F370" t="str">
            <v>Influenza all persons above ≥6 months (universal recommendation)</v>
          </cell>
          <cell r="G370" t="str">
            <v>ADMIN</v>
          </cell>
          <cell r="H370" t="str">
            <v>Administrative coverage</v>
          </cell>
          <cell r="I370"/>
          <cell r="J370"/>
          <cell r="K370"/>
        </row>
        <row r="371">
          <cell r="B371" t="str">
            <v>LCA</v>
          </cell>
          <cell r="C371" t="str">
            <v>Saint Lucia</v>
          </cell>
          <cell r="D371">
            <v>2023</v>
          </cell>
          <cell r="E371" t="str">
            <v>FLU_ALL</v>
          </cell>
          <cell r="F371" t="str">
            <v>Influenza all persons above ≥6 months (universal recommendation)</v>
          </cell>
          <cell r="G371" t="str">
            <v>ADMIN</v>
          </cell>
          <cell r="H371" t="str">
            <v>Administrative coverage</v>
          </cell>
          <cell r="I371"/>
          <cell r="J371"/>
          <cell r="K371"/>
        </row>
        <row r="372">
          <cell r="B372" t="str">
            <v>VCT</v>
          </cell>
          <cell r="C372" t="str">
            <v>Saint Vincent and the Grenadines</v>
          </cell>
          <cell r="D372">
            <v>2023</v>
          </cell>
          <cell r="E372" t="str">
            <v>FLU_ALL</v>
          </cell>
          <cell r="F372" t="str">
            <v>Influenza all persons above ≥6 months (universal recommendation)</v>
          </cell>
          <cell r="G372" t="str">
            <v>ADMIN</v>
          </cell>
          <cell r="H372" t="str">
            <v>Administrative coverage</v>
          </cell>
          <cell r="I372"/>
          <cell r="J372"/>
          <cell r="K372"/>
        </row>
        <row r="373">
          <cell r="B373" t="str">
            <v>WSM</v>
          </cell>
          <cell r="C373" t="str">
            <v>Samoa</v>
          </cell>
          <cell r="D373">
            <v>2023</v>
          </cell>
          <cell r="E373" t="str">
            <v>FLU_ALL</v>
          </cell>
          <cell r="F373" t="str">
            <v>Influenza all persons above ≥6 months (universal recommendation)</v>
          </cell>
          <cell r="G373" t="str">
            <v>ADMIN</v>
          </cell>
          <cell r="H373" t="str">
            <v>Administrative coverage</v>
          </cell>
          <cell r="I373"/>
          <cell r="J373"/>
          <cell r="K373"/>
        </row>
        <row r="374">
          <cell r="B374" t="str">
            <v>SMR</v>
          </cell>
          <cell r="C374" t="str">
            <v>San Marino</v>
          </cell>
          <cell r="D374">
            <v>2023</v>
          </cell>
          <cell r="E374" t="str">
            <v>FLU_ALL</v>
          </cell>
          <cell r="F374" t="str">
            <v>Influenza all persons above ≥6 months (universal recommendation)</v>
          </cell>
          <cell r="G374" t="str">
            <v>ADMIN</v>
          </cell>
          <cell r="H374" t="str">
            <v>Administrative coverage</v>
          </cell>
          <cell r="I374"/>
          <cell r="J374"/>
          <cell r="K374"/>
        </row>
        <row r="375">
          <cell r="B375" t="str">
            <v>STP</v>
          </cell>
          <cell r="C375" t="str">
            <v>Sao Tome and Principe</v>
          </cell>
          <cell r="D375">
            <v>2023</v>
          </cell>
          <cell r="E375" t="str">
            <v>FLU_ALL</v>
          </cell>
          <cell r="F375" t="str">
            <v>Influenza all persons above ≥6 months (universal recommendation)</v>
          </cell>
          <cell r="G375" t="str">
            <v>ADMIN</v>
          </cell>
          <cell r="H375" t="str">
            <v>Administrative coverage</v>
          </cell>
          <cell r="I375"/>
          <cell r="J375"/>
          <cell r="K375"/>
        </row>
        <row r="376">
          <cell r="B376" t="str">
            <v>SAU</v>
          </cell>
          <cell r="C376" t="str">
            <v>Saudi Arabia</v>
          </cell>
          <cell r="D376">
            <v>2023</v>
          </cell>
          <cell r="E376" t="str">
            <v>FLU_ALL</v>
          </cell>
          <cell r="F376" t="str">
            <v>Influenza all persons above ≥6 months (universal recommendation)</v>
          </cell>
          <cell r="G376" t="str">
            <v>ADMIN</v>
          </cell>
          <cell r="H376" t="str">
            <v>Administrative coverage</v>
          </cell>
          <cell r="I376">
            <v>32212810</v>
          </cell>
          <cell r="J376">
            <v>2461293</v>
          </cell>
          <cell r="K376">
            <v>7.64</v>
          </cell>
        </row>
        <row r="377">
          <cell r="B377" t="str">
            <v>SEN</v>
          </cell>
          <cell r="C377" t="str">
            <v>Senegal</v>
          </cell>
          <cell r="D377">
            <v>2023</v>
          </cell>
          <cell r="E377" t="str">
            <v>FLU_ALL</v>
          </cell>
          <cell r="F377" t="str">
            <v>Influenza all persons above ≥6 months (universal recommendation)</v>
          </cell>
          <cell r="G377" t="str">
            <v>ADMIN</v>
          </cell>
          <cell r="H377" t="str">
            <v>Administrative coverage</v>
          </cell>
          <cell r="I377"/>
          <cell r="J377"/>
          <cell r="K377"/>
        </row>
        <row r="378">
          <cell r="B378" t="str">
            <v>SRB</v>
          </cell>
          <cell r="C378" t="str">
            <v>Serbia</v>
          </cell>
          <cell r="D378">
            <v>2023</v>
          </cell>
          <cell r="E378" t="str">
            <v>FLU_ALL</v>
          </cell>
          <cell r="F378" t="str">
            <v>Influenza all persons above ≥6 months (universal recommendation)</v>
          </cell>
          <cell r="G378" t="str">
            <v>ADMIN</v>
          </cell>
          <cell r="H378" t="str">
            <v>Administrative coverage</v>
          </cell>
          <cell r="I378"/>
          <cell r="J378"/>
          <cell r="K378"/>
        </row>
        <row r="379">
          <cell r="B379" t="str">
            <v>SYC</v>
          </cell>
          <cell r="C379" t="str">
            <v>Seychelles</v>
          </cell>
          <cell r="D379">
            <v>2023</v>
          </cell>
          <cell r="E379" t="str">
            <v>FLU_ALL</v>
          </cell>
          <cell r="F379" t="str">
            <v>Influenza all persons above ≥6 months (universal recommendation)</v>
          </cell>
          <cell r="G379" t="str">
            <v>ADMIN</v>
          </cell>
          <cell r="H379" t="str">
            <v>Administrative coverage</v>
          </cell>
          <cell r="I379"/>
          <cell r="J379"/>
          <cell r="K379"/>
        </row>
        <row r="380">
          <cell r="B380" t="str">
            <v>SLE</v>
          </cell>
          <cell r="C380" t="str">
            <v>Sierra Leone</v>
          </cell>
          <cell r="D380">
            <v>2023</v>
          </cell>
          <cell r="E380" t="str">
            <v>FLU_ALL</v>
          </cell>
          <cell r="F380" t="str">
            <v>Influenza all persons above ≥6 months (universal recommendation)</v>
          </cell>
          <cell r="G380" t="str">
            <v>ADMIN</v>
          </cell>
          <cell r="H380" t="str">
            <v>Administrative coverage</v>
          </cell>
          <cell r="I380"/>
          <cell r="J380"/>
          <cell r="K380"/>
        </row>
        <row r="381">
          <cell r="B381" t="str">
            <v>SGP</v>
          </cell>
          <cell r="C381" t="str">
            <v>Singapore</v>
          </cell>
          <cell r="D381">
            <v>2023</v>
          </cell>
          <cell r="E381" t="str">
            <v>FLU_ALL</v>
          </cell>
          <cell r="F381" t="str">
            <v>Influenza all persons above ≥6 months (universal recommendation)</v>
          </cell>
          <cell r="G381" t="str">
            <v>ADMIN</v>
          </cell>
          <cell r="H381" t="str">
            <v>Administrative coverage</v>
          </cell>
          <cell r="I381"/>
          <cell r="J381"/>
          <cell r="K381"/>
        </row>
        <row r="382">
          <cell r="B382" t="str">
            <v>SVK</v>
          </cell>
          <cell r="C382" t="str">
            <v>Slovakia</v>
          </cell>
          <cell r="D382">
            <v>2023</v>
          </cell>
          <cell r="E382" t="str">
            <v>FLU_ALL</v>
          </cell>
          <cell r="F382" t="str">
            <v>Influenza all persons above ≥6 months (universal recommendation)</v>
          </cell>
          <cell r="G382" t="str">
            <v>ADMIN</v>
          </cell>
          <cell r="H382" t="str">
            <v>Administrative coverage</v>
          </cell>
          <cell r="I382">
            <v>5428792</v>
          </cell>
          <cell r="J382">
            <v>260947</v>
          </cell>
          <cell r="K382">
            <v>4.8099999999999996</v>
          </cell>
        </row>
        <row r="383">
          <cell r="B383" t="str">
            <v>SVN</v>
          </cell>
          <cell r="C383" t="str">
            <v>Slovenia</v>
          </cell>
          <cell r="D383">
            <v>2023</v>
          </cell>
          <cell r="E383" t="str">
            <v>FLU_ALL</v>
          </cell>
          <cell r="F383" t="str">
            <v>Influenza all persons above ≥6 months (universal recommendation)</v>
          </cell>
          <cell r="G383" t="str">
            <v>ADMIN</v>
          </cell>
          <cell r="H383" t="str">
            <v>Administrative coverage</v>
          </cell>
          <cell r="I383">
            <v>2108732</v>
          </cell>
          <cell r="J383">
            <v>129148</v>
          </cell>
          <cell r="K383">
            <v>6.12</v>
          </cell>
        </row>
        <row r="384">
          <cell r="B384" t="str">
            <v>SLB</v>
          </cell>
          <cell r="C384" t="str">
            <v>Solomon Islands</v>
          </cell>
          <cell r="D384">
            <v>2023</v>
          </cell>
          <cell r="E384" t="str">
            <v>FLU_ALL</v>
          </cell>
          <cell r="F384" t="str">
            <v>Influenza all persons above ≥6 months (universal recommendation)</v>
          </cell>
          <cell r="G384" t="str">
            <v>ADMIN</v>
          </cell>
          <cell r="H384" t="str">
            <v>Administrative coverage</v>
          </cell>
          <cell r="I384"/>
          <cell r="J384"/>
          <cell r="K384"/>
        </row>
        <row r="385">
          <cell r="B385" t="str">
            <v>SOM</v>
          </cell>
          <cell r="C385" t="str">
            <v>Somalia</v>
          </cell>
          <cell r="D385">
            <v>2023</v>
          </cell>
          <cell r="E385" t="str">
            <v>FLU_ALL</v>
          </cell>
          <cell r="F385" t="str">
            <v>Influenza all persons above ≥6 months (universal recommendation)</v>
          </cell>
          <cell r="G385" t="str">
            <v>ADMIN</v>
          </cell>
          <cell r="H385" t="str">
            <v>Administrative coverage</v>
          </cell>
          <cell r="I385"/>
          <cell r="J385"/>
          <cell r="K385"/>
        </row>
        <row r="386">
          <cell r="B386" t="str">
            <v>ZAF</v>
          </cell>
          <cell r="C386" t="str">
            <v>South Africa</v>
          </cell>
          <cell r="D386">
            <v>2023</v>
          </cell>
          <cell r="E386" t="str">
            <v>FLU_ALL</v>
          </cell>
          <cell r="F386" t="str">
            <v>Influenza all persons above ≥6 months (universal recommendation)</v>
          </cell>
          <cell r="G386" t="str">
            <v>ADMIN</v>
          </cell>
          <cell r="H386" t="str">
            <v>Administrative coverage</v>
          </cell>
          <cell r="I386"/>
          <cell r="J386"/>
          <cell r="K386"/>
        </row>
        <row r="387">
          <cell r="B387" t="str">
            <v>SSD</v>
          </cell>
          <cell r="C387" t="str">
            <v>South Sudan</v>
          </cell>
          <cell r="D387">
            <v>2023</v>
          </cell>
          <cell r="E387" t="str">
            <v>FLU_ALL</v>
          </cell>
          <cell r="F387" t="str">
            <v>Influenza all persons above ≥6 months (universal recommendation)</v>
          </cell>
          <cell r="G387" t="str">
            <v>ADMIN</v>
          </cell>
          <cell r="H387" t="str">
            <v>Administrative coverage</v>
          </cell>
          <cell r="I387"/>
          <cell r="J387"/>
          <cell r="K387"/>
        </row>
        <row r="388">
          <cell r="B388" t="str">
            <v>ESP</v>
          </cell>
          <cell r="C388" t="str">
            <v>Spain</v>
          </cell>
          <cell r="D388">
            <v>2023</v>
          </cell>
          <cell r="E388" t="str">
            <v>FLU_ALL</v>
          </cell>
          <cell r="F388" t="str">
            <v>Influenza all persons above ≥6 months (universal recommendation)</v>
          </cell>
          <cell r="G388" t="str">
            <v>ADMIN</v>
          </cell>
          <cell r="H388" t="str">
            <v>Administrative coverage</v>
          </cell>
          <cell r="I388"/>
          <cell r="J388"/>
          <cell r="K388"/>
        </row>
        <row r="389">
          <cell r="B389" t="str">
            <v>LKA</v>
          </cell>
          <cell r="C389" t="str">
            <v>Sri Lanka</v>
          </cell>
          <cell r="D389">
            <v>2023</v>
          </cell>
          <cell r="E389" t="str">
            <v>FLU_ALL</v>
          </cell>
          <cell r="F389" t="str">
            <v>Influenza all persons above ≥6 months (universal recommendation)</v>
          </cell>
          <cell r="G389" t="str">
            <v>ADMIN</v>
          </cell>
          <cell r="H389" t="str">
            <v>Administrative coverage</v>
          </cell>
          <cell r="I389"/>
          <cell r="J389"/>
          <cell r="K389"/>
        </row>
        <row r="390">
          <cell r="B390" t="str">
            <v>SDN</v>
          </cell>
          <cell r="C390" t="str">
            <v>Sudan</v>
          </cell>
          <cell r="D390">
            <v>2023</v>
          </cell>
          <cell r="E390" t="str">
            <v>FLU_ALL</v>
          </cell>
          <cell r="F390" t="str">
            <v>Influenza all persons above ≥6 months (universal recommendation)</v>
          </cell>
          <cell r="G390" t="str">
            <v>ADMIN</v>
          </cell>
          <cell r="H390" t="str">
            <v>Administrative coverage</v>
          </cell>
          <cell r="I390"/>
          <cell r="J390"/>
          <cell r="K390"/>
        </row>
        <row r="391">
          <cell r="B391" t="str">
            <v>SUR</v>
          </cell>
          <cell r="C391" t="str">
            <v>Suriname</v>
          </cell>
          <cell r="D391">
            <v>2023</v>
          </cell>
          <cell r="E391" t="str">
            <v>FLU_ALL</v>
          </cell>
          <cell r="F391" t="str">
            <v>Influenza all persons above ≥6 months (universal recommendation)</v>
          </cell>
          <cell r="G391" t="str">
            <v>ADMIN</v>
          </cell>
          <cell r="H391" t="str">
            <v>Administrative coverage</v>
          </cell>
          <cell r="I391"/>
          <cell r="J391"/>
          <cell r="K391"/>
        </row>
        <row r="392">
          <cell r="B392" t="str">
            <v>SWE</v>
          </cell>
          <cell r="C392" t="str">
            <v>Sweden</v>
          </cell>
          <cell r="D392">
            <v>2023</v>
          </cell>
          <cell r="E392" t="str">
            <v>FLU_ALL</v>
          </cell>
          <cell r="F392" t="str">
            <v>Influenza all persons above ≥6 months (universal recommendation)</v>
          </cell>
          <cell r="G392" t="str">
            <v>ADMIN</v>
          </cell>
          <cell r="H392" t="str">
            <v>Administrative coverage</v>
          </cell>
          <cell r="I392"/>
          <cell r="J392"/>
          <cell r="K392"/>
        </row>
        <row r="393">
          <cell r="B393" t="str">
            <v>CHE</v>
          </cell>
          <cell r="C393" t="str">
            <v>Switzerland</v>
          </cell>
          <cell r="D393">
            <v>2023</v>
          </cell>
          <cell r="E393" t="str">
            <v>FLU_ALL</v>
          </cell>
          <cell r="F393" t="str">
            <v>Influenza all persons above ≥6 months (universal recommendation)</v>
          </cell>
          <cell r="G393" t="str">
            <v>ADMIN</v>
          </cell>
          <cell r="H393" t="str">
            <v>Administrative coverage</v>
          </cell>
          <cell r="I393"/>
          <cell r="J393"/>
          <cell r="K393"/>
        </row>
        <row r="394">
          <cell r="B394" t="str">
            <v>SYR</v>
          </cell>
          <cell r="C394" t="str">
            <v>Syrian Arab Republic</v>
          </cell>
          <cell r="D394">
            <v>2023</v>
          </cell>
          <cell r="E394" t="str">
            <v>FLU_ALL</v>
          </cell>
          <cell r="F394" t="str">
            <v>Influenza all persons above ≥6 months (universal recommendation)</v>
          </cell>
          <cell r="G394" t="str">
            <v>ADMIN</v>
          </cell>
          <cell r="H394" t="str">
            <v>Administrative coverage</v>
          </cell>
          <cell r="I394"/>
          <cell r="J394"/>
          <cell r="K394"/>
        </row>
        <row r="395">
          <cell r="B395" t="str">
            <v>TJK</v>
          </cell>
          <cell r="C395" t="str">
            <v>Tajikistan</v>
          </cell>
          <cell r="D395">
            <v>2023</v>
          </cell>
          <cell r="E395" t="str">
            <v>FLU_ALL</v>
          </cell>
          <cell r="F395" t="str">
            <v>Influenza all persons above ≥6 months (universal recommendation)</v>
          </cell>
          <cell r="G395" t="str">
            <v>ADMIN</v>
          </cell>
          <cell r="H395" t="str">
            <v>Administrative coverage</v>
          </cell>
          <cell r="I395"/>
          <cell r="J395"/>
          <cell r="K395"/>
        </row>
        <row r="396">
          <cell r="B396" t="str">
            <v>THA</v>
          </cell>
          <cell r="C396" t="str">
            <v>Thailand</v>
          </cell>
          <cell r="D396">
            <v>2023</v>
          </cell>
          <cell r="E396" t="str">
            <v>FLU_ALL</v>
          </cell>
          <cell r="F396" t="str">
            <v>Influenza all persons above ≥6 months (universal recommendation)</v>
          </cell>
          <cell r="G396" t="str">
            <v>ADMIN</v>
          </cell>
          <cell r="H396" t="str">
            <v>Administrative coverage</v>
          </cell>
          <cell r="I396"/>
          <cell r="J396"/>
          <cell r="K396"/>
        </row>
        <row r="397">
          <cell r="B397" t="str">
            <v>TLS</v>
          </cell>
          <cell r="C397" t="str">
            <v>Timor-Leste</v>
          </cell>
          <cell r="D397">
            <v>2023</v>
          </cell>
          <cell r="E397" t="str">
            <v>FLU_ALL</v>
          </cell>
          <cell r="F397" t="str">
            <v>Influenza all persons above ≥6 months (universal recommendation)</v>
          </cell>
          <cell r="G397" t="str">
            <v>ADMIN</v>
          </cell>
          <cell r="H397" t="str">
            <v>Administrative coverage</v>
          </cell>
          <cell r="I397"/>
          <cell r="J397"/>
          <cell r="K397"/>
        </row>
        <row r="398">
          <cell r="B398" t="str">
            <v>TGO</v>
          </cell>
          <cell r="C398" t="str">
            <v>Togo</v>
          </cell>
          <cell r="D398">
            <v>2023</v>
          </cell>
          <cell r="E398" t="str">
            <v>FLU_ALL</v>
          </cell>
          <cell r="F398" t="str">
            <v>Influenza all persons above ≥6 months (universal recommendation)</v>
          </cell>
          <cell r="G398" t="str">
            <v>ADMIN</v>
          </cell>
          <cell r="H398" t="str">
            <v>Administrative coverage</v>
          </cell>
          <cell r="I398"/>
          <cell r="J398"/>
          <cell r="K398"/>
        </row>
        <row r="399">
          <cell r="B399" t="str">
            <v>TKL</v>
          </cell>
          <cell r="C399" t="str">
            <v>Tokelau</v>
          </cell>
          <cell r="D399">
            <v>2023</v>
          </cell>
          <cell r="E399" t="str">
            <v>FLU_ALL</v>
          </cell>
          <cell r="F399" t="str">
            <v>Influenza all persons above ≥6 months (universal recommendation)</v>
          </cell>
          <cell r="G399" t="str">
            <v>ADMIN</v>
          </cell>
          <cell r="H399" t="str">
            <v>Administrative coverage</v>
          </cell>
          <cell r="I399"/>
          <cell r="J399"/>
          <cell r="K399"/>
        </row>
        <row r="400">
          <cell r="B400" t="str">
            <v>TON</v>
          </cell>
          <cell r="C400" t="str">
            <v>Tonga</v>
          </cell>
          <cell r="D400">
            <v>2023</v>
          </cell>
          <cell r="E400" t="str">
            <v>FLU_ALL</v>
          </cell>
          <cell r="F400" t="str">
            <v>Influenza all persons above ≥6 months (universal recommendation)</v>
          </cell>
          <cell r="G400" t="str">
            <v>ADMIN</v>
          </cell>
          <cell r="H400" t="str">
            <v>Administrative coverage</v>
          </cell>
          <cell r="I400"/>
          <cell r="J400"/>
          <cell r="K400"/>
        </row>
        <row r="401">
          <cell r="B401" t="str">
            <v>TTO</v>
          </cell>
          <cell r="C401" t="str">
            <v>Trinidad and Tobago</v>
          </cell>
          <cell r="D401">
            <v>2023</v>
          </cell>
          <cell r="E401" t="str">
            <v>FLU_ALL</v>
          </cell>
          <cell r="F401" t="str">
            <v>Influenza all persons above ≥6 months (universal recommendation)</v>
          </cell>
          <cell r="G401" t="str">
            <v>ADMIN</v>
          </cell>
          <cell r="H401" t="str">
            <v>Administrative coverage</v>
          </cell>
          <cell r="I401"/>
          <cell r="J401"/>
          <cell r="K401"/>
        </row>
        <row r="402">
          <cell r="B402" t="str">
            <v>TUN</v>
          </cell>
          <cell r="C402" t="str">
            <v>Tunisia</v>
          </cell>
          <cell r="D402">
            <v>2023</v>
          </cell>
          <cell r="E402" t="str">
            <v>FLU_ALL</v>
          </cell>
          <cell r="F402" t="str">
            <v>Influenza all persons above ≥6 months (universal recommendation)</v>
          </cell>
          <cell r="G402" t="str">
            <v>ADMIN</v>
          </cell>
          <cell r="H402" t="str">
            <v>Administrative coverage</v>
          </cell>
          <cell r="I402"/>
          <cell r="J402"/>
          <cell r="K402"/>
        </row>
        <row r="403">
          <cell r="B403" t="str">
            <v>TUR</v>
          </cell>
          <cell r="C403" t="str">
            <v>Türkiye</v>
          </cell>
          <cell r="D403">
            <v>2023</v>
          </cell>
          <cell r="E403" t="str">
            <v>FLU_ALL</v>
          </cell>
          <cell r="F403" t="str">
            <v>Influenza all persons above ≥6 months (universal recommendation)</v>
          </cell>
          <cell r="G403" t="str">
            <v>ADMIN</v>
          </cell>
          <cell r="H403" t="str">
            <v>Administrative coverage</v>
          </cell>
          <cell r="I403"/>
          <cell r="J403"/>
          <cell r="K403"/>
        </row>
        <row r="404">
          <cell r="B404" t="str">
            <v>TKM</v>
          </cell>
          <cell r="C404" t="str">
            <v>Turkmenistan</v>
          </cell>
          <cell r="D404">
            <v>2023</v>
          </cell>
          <cell r="E404" t="str">
            <v>FLU_ALL</v>
          </cell>
          <cell r="F404" t="str">
            <v>Influenza all persons above ≥6 months (universal recommendation)</v>
          </cell>
          <cell r="G404" t="str">
            <v>ADMIN</v>
          </cell>
          <cell r="H404" t="str">
            <v>Administrative coverage</v>
          </cell>
          <cell r="I404"/>
          <cell r="J404"/>
          <cell r="K404"/>
        </row>
        <row r="405">
          <cell r="B405" t="str">
            <v>TCA</v>
          </cell>
          <cell r="C405" t="str">
            <v>Turks and Caicos Islands</v>
          </cell>
          <cell r="D405">
            <v>2023</v>
          </cell>
          <cell r="E405" t="str">
            <v>FLU_ALL</v>
          </cell>
          <cell r="F405" t="str">
            <v>Influenza all persons above ≥6 months (universal recommendation)</v>
          </cell>
          <cell r="G405" t="str">
            <v>ADMIN</v>
          </cell>
          <cell r="H405" t="str">
            <v>Administrative coverage</v>
          </cell>
          <cell r="I405"/>
          <cell r="J405"/>
          <cell r="K405"/>
        </row>
        <row r="406">
          <cell r="B406" t="str">
            <v>TUV</v>
          </cell>
          <cell r="C406" t="str">
            <v>Tuvalu</v>
          </cell>
          <cell r="D406">
            <v>2023</v>
          </cell>
          <cell r="E406" t="str">
            <v>FLU_ALL</v>
          </cell>
          <cell r="F406" t="str">
            <v>Influenza all persons above ≥6 months (universal recommendation)</v>
          </cell>
          <cell r="G406" t="str">
            <v>ADMIN</v>
          </cell>
          <cell r="H406" t="str">
            <v>Administrative coverage</v>
          </cell>
          <cell r="I406"/>
          <cell r="J406"/>
          <cell r="K406"/>
        </row>
        <row r="407">
          <cell r="B407" t="str">
            <v>UGA</v>
          </cell>
          <cell r="C407" t="str">
            <v>Uganda</v>
          </cell>
          <cell r="D407">
            <v>2023</v>
          </cell>
          <cell r="E407" t="str">
            <v>FLU_ALL</v>
          </cell>
          <cell r="F407" t="str">
            <v>Influenza all persons above ≥6 months (universal recommendation)</v>
          </cell>
          <cell r="G407" t="str">
            <v>ADMIN</v>
          </cell>
          <cell r="H407" t="str">
            <v>Administrative coverage</v>
          </cell>
          <cell r="I407"/>
          <cell r="J407"/>
          <cell r="K407"/>
        </row>
        <row r="408">
          <cell r="B408" t="str">
            <v>UKR</v>
          </cell>
          <cell r="C408" t="str">
            <v>Ukraine</v>
          </cell>
          <cell r="D408">
            <v>2023</v>
          </cell>
          <cell r="E408" t="str">
            <v>FLU_ALL</v>
          </cell>
          <cell r="F408" t="str">
            <v>Influenza all persons above ≥6 months (universal recommendation)</v>
          </cell>
          <cell r="G408" t="str">
            <v>ADMIN</v>
          </cell>
          <cell r="H408" t="str">
            <v>Administrative coverage</v>
          </cell>
          <cell r="I408">
            <v>27861246</v>
          </cell>
          <cell r="J408">
            <v>57051</v>
          </cell>
          <cell r="K408">
            <v>0.24</v>
          </cell>
        </row>
        <row r="409">
          <cell r="B409" t="str">
            <v>ARE</v>
          </cell>
          <cell r="C409" t="str">
            <v>United Arab Emirates</v>
          </cell>
          <cell r="D409">
            <v>2023</v>
          </cell>
          <cell r="E409" t="str">
            <v>FLU_ALL</v>
          </cell>
          <cell r="F409" t="str">
            <v>Influenza all persons above ≥6 months (universal recommendation)</v>
          </cell>
          <cell r="G409" t="str">
            <v>ADMIN</v>
          </cell>
          <cell r="H409" t="str">
            <v>Administrative coverage</v>
          </cell>
          <cell r="I409"/>
          <cell r="J409"/>
          <cell r="K409"/>
        </row>
        <row r="410">
          <cell r="B410" t="str">
            <v>GBR</v>
          </cell>
          <cell r="C410" t="str">
            <v>United Kingdom of Great Britain and Northern Ireland</v>
          </cell>
          <cell r="D410">
            <v>2023</v>
          </cell>
          <cell r="E410" t="str">
            <v>FLU_ALL</v>
          </cell>
          <cell r="F410" t="str">
            <v>Influenza all persons above ≥6 months (universal recommendation)</v>
          </cell>
          <cell r="G410" t="str">
            <v>ADMIN</v>
          </cell>
          <cell r="H410" t="str">
            <v>Administrative coverage</v>
          </cell>
          <cell r="I410"/>
          <cell r="J410"/>
          <cell r="K410"/>
        </row>
        <row r="411">
          <cell r="B411" t="str">
            <v>TZA</v>
          </cell>
          <cell r="C411" t="str">
            <v>United Republic of Tanzania</v>
          </cell>
          <cell r="D411">
            <v>2023</v>
          </cell>
          <cell r="E411" t="str">
            <v>FLU_ALL</v>
          </cell>
          <cell r="F411" t="str">
            <v>Influenza all persons above ≥6 months (universal recommendation)</v>
          </cell>
          <cell r="G411" t="str">
            <v>ADMIN</v>
          </cell>
          <cell r="H411" t="str">
            <v>Administrative coverage</v>
          </cell>
          <cell r="I411"/>
          <cell r="J411"/>
          <cell r="K411"/>
        </row>
        <row r="412">
          <cell r="B412" t="str">
            <v>USA</v>
          </cell>
          <cell r="C412" t="str">
            <v>United States of America</v>
          </cell>
          <cell r="D412">
            <v>2023</v>
          </cell>
          <cell r="E412" t="str">
            <v>FLU_ALL</v>
          </cell>
          <cell r="F412" t="str">
            <v>Influenza all persons above ≥6 months (universal recommendation)</v>
          </cell>
          <cell r="G412" t="str">
            <v>ADMIN</v>
          </cell>
          <cell r="H412" t="str">
            <v>Administrative coverage</v>
          </cell>
          <cell r="I412"/>
          <cell r="J412"/>
          <cell r="K412"/>
        </row>
        <row r="413">
          <cell r="B413" t="str">
            <v>URY</v>
          </cell>
          <cell r="C413" t="str">
            <v>Uruguay</v>
          </cell>
          <cell r="D413">
            <v>2023</v>
          </cell>
          <cell r="E413" t="str">
            <v>FLU_ALL</v>
          </cell>
          <cell r="F413" t="str">
            <v>Influenza all persons above ≥6 months (universal recommendation)</v>
          </cell>
          <cell r="G413" t="str">
            <v>ADMIN</v>
          </cell>
          <cell r="H413" t="str">
            <v>Administrative coverage</v>
          </cell>
          <cell r="I413"/>
          <cell r="J413">
            <v>259684</v>
          </cell>
          <cell r="K413"/>
        </row>
        <row r="414">
          <cell r="B414" t="str">
            <v>UZB</v>
          </cell>
          <cell r="C414" t="str">
            <v>Uzbekistan</v>
          </cell>
          <cell r="D414">
            <v>2023</v>
          </cell>
          <cell r="E414" t="str">
            <v>FLU_ALL</v>
          </cell>
          <cell r="F414" t="str">
            <v>Influenza all persons above ≥6 months (universal recommendation)</v>
          </cell>
          <cell r="G414" t="str">
            <v>ADMIN</v>
          </cell>
          <cell r="H414" t="str">
            <v>Administrative coverage</v>
          </cell>
          <cell r="I414"/>
          <cell r="J414"/>
          <cell r="K414"/>
        </row>
        <row r="415">
          <cell r="B415" t="str">
            <v>VUT</v>
          </cell>
          <cell r="C415" t="str">
            <v>Vanuatu</v>
          </cell>
          <cell r="D415">
            <v>2023</v>
          </cell>
          <cell r="E415" t="str">
            <v>FLU_ALL</v>
          </cell>
          <cell r="F415" t="str">
            <v>Influenza all persons above ≥6 months (universal recommendation)</v>
          </cell>
          <cell r="G415" t="str">
            <v>ADMIN</v>
          </cell>
          <cell r="H415" t="str">
            <v>Administrative coverage</v>
          </cell>
          <cell r="I415"/>
          <cell r="J415"/>
          <cell r="K415"/>
        </row>
        <row r="416">
          <cell r="B416" t="str">
            <v>VEN</v>
          </cell>
          <cell r="C416" t="str">
            <v>Venezuela (Bolivarian Republic of)</v>
          </cell>
          <cell r="D416">
            <v>2023</v>
          </cell>
          <cell r="E416" t="str">
            <v>FLU_ALL</v>
          </cell>
          <cell r="F416" t="str">
            <v>Influenza all persons above ≥6 months (universal recommendation)</v>
          </cell>
          <cell r="G416" t="str">
            <v>ADMIN</v>
          </cell>
          <cell r="H416" t="str">
            <v>Administrative coverage</v>
          </cell>
          <cell r="I416"/>
          <cell r="J416"/>
          <cell r="K416"/>
        </row>
        <row r="417">
          <cell r="B417" t="str">
            <v>VNM</v>
          </cell>
          <cell r="C417" t="str">
            <v>Viet Nam</v>
          </cell>
          <cell r="D417">
            <v>2023</v>
          </cell>
          <cell r="E417" t="str">
            <v>FLU_ALL</v>
          </cell>
          <cell r="F417" t="str">
            <v>Influenza all persons above ≥6 months (universal recommendation)</v>
          </cell>
          <cell r="G417" t="str">
            <v>ADMIN</v>
          </cell>
          <cell r="H417" t="str">
            <v>Administrative coverage</v>
          </cell>
          <cell r="I417"/>
          <cell r="J417"/>
          <cell r="K417"/>
        </row>
        <row r="418">
          <cell r="B418" t="str">
            <v>YEM</v>
          </cell>
          <cell r="C418" t="str">
            <v>Yemen</v>
          </cell>
          <cell r="D418">
            <v>2023</v>
          </cell>
          <cell r="E418" t="str">
            <v>FLU_ALL</v>
          </cell>
          <cell r="F418" t="str">
            <v>Influenza all persons above ≥6 months (universal recommendation)</v>
          </cell>
          <cell r="G418" t="str">
            <v>ADMIN</v>
          </cell>
          <cell r="H418" t="str">
            <v>Administrative coverage</v>
          </cell>
          <cell r="I418"/>
          <cell r="J418"/>
          <cell r="K418"/>
        </row>
        <row r="419">
          <cell r="B419" t="str">
            <v>ZMB</v>
          </cell>
          <cell r="C419" t="str">
            <v>Zambia</v>
          </cell>
          <cell r="D419">
            <v>2023</v>
          </cell>
          <cell r="E419" t="str">
            <v>FLU_ALL</v>
          </cell>
          <cell r="F419" t="str">
            <v>Influenza all persons above ≥6 months (universal recommendation)</v>
          </cell>
          <cell r="G419" t="str">
            <v>ADMIN</v>
          </cell>
          <cell r="H419" t="str">
            <v>Administrative coverage</v>
          </cell>
          <cell r="I419"/>
          <cell r="J419"/>
          <cell r="K419"/>
        </row>
        <row r="420">
          <cell r="B420" t="str">
            <v>ZWE</v>
          </cell>
          <cell r="C420" t="str">
            <v>Zimbabwe</v>
          </cell>
          <cell r="D420">
            <v>2023</v>
          </cell>
          <cell r="E420" t="str">
            <v>FLU_ALL</v>
          </cell>
          <cell r="F420" t="str">
            <v>Influenza all persons above ≥6 months (universal recommendation)</v>
          </cell>
          <cell r="G420" t="str">
            <v>ADMIN</v>
          </cell>
          <cell r="H420" t="str">
            <v>Administrative coverage</v>
          </cell>
          <cell r="I420"/>
          <cell r="J420"/>
          <cell r="K420"/>
        </row>
        <row r="421">
          <cell r="B421" t="str">
            <v>AFG</v>
          </cell>
          <cell r="C421" t="str">
            <v>Afghanistan</v>
          </cell>
          <cell r="D421">
            <v>2022</v>
          </cell>
          <cell r="E421" t="str">
            <v>FLU_ALL</v>
          </cell>
          <cell r="F421" t="str">
            <v>Influenza all persons above ≥6 months (universal recommendation)</v>
          </cell>
          <cell r="G421" t="str">
            <v>ADMIN</v>
          </cell>
          <cell r="H421" t="str">
            <v>Administrative coverage</v>
          </cell>
          <cell r="I421"/>
          <cell r="J421"/>
          <cell r="K421"/>
        </row>
        <row r="422">
          <cell r="B422" t="str">
            <v>ALB</v>
          </cell>
          <cell r="C422" t="str">
            <v>Albania</v>
          </cell>
          <cell r="D422">
            <v>2022</v>
          </cell>
          <cell r="E422" t="str">
            <v>FLU_ALL</v>
          </cell>
          <cell r="F422" t="str">
            <v>Influenza all persons above ≥6 months (universal recommendation)</v>
          </cell>
          <cell r="G422" t="str">
            <v>ADMIN</v>
          </cell>
          <cell r="H422" t="str">
            <v>Administrative coverage</v>
          </cell>
          <cell r="I422"/>
          <cell r="J422"/>
          <cell r="K422"/>
        </row>
        <row r="423">
          <cell r="B423" t="str">
            <v>DZA</v>
          </cell>
          <cell r="C423" t="str">
            <v>Algeria</v>
          </cell>
          <cell r="D423">
            <v>2022</v>
          </cell>
          <cell r="E423" t="str">
            <v>FLU_ALL</v>
          </cell>
          <cell r="F423" t="str">
            <v>Influenza all persons above ≥6 months (universal recommendation)</v>
          </cell>
          <cell r="G423" t="str">
            <v>ADMIN</v>
          </cell>
          <cell r="H423" t="str">
            <v>Administrative coverage</v>
          </cell>
          <cell r="I423"/>
          <cell r="J423"/>
          <cell r="K423"/>
        </row>
        <row r="424">
          <cell r="B424" t="str">
            <v>AND</v>
          </cell>
          <cell r="C424" t="str">
            <v>Andorra</v>
          </cell>
          <cell r="D424">
            <v>2022</v>
          </cell>
          <cell r="E424" t="str">
            <v>FLU_ALL</v>
          </cell>
          <cell r="F424" t="str">
            <v>Influenza all persons above ≥6 months (universal recommendation)</v>
          </cell>
          <cell r="G424" t="str">
            <v>ADMIN</v>
          </cell>
          <cell r="H424" t="str">
            <v>Administrative coverage</v>
          </cell>
          <cell r="I424"/>
          <cell r="J424"/>
          <cell r="K424"/>
        </row>
        <row r="425">
          <cell r="B425" t="str">
            <v>AGO</v>
          </cell>
          <cell r="C425" t="str">
            <v>Angola</v>
          </cell>
          <cell r="D425">
            <v>2022</v>
          </cell>
          <cell r="E425" t="str">
            <v>FLU_ALL</v>
          </cell>
          <cell r="F425" t="str">
            <v>Influenza all persons above ≥6 months (universal recommendation)</v>
          </cell>
          <cell r="G425" t="str">
            <v>ADMIN</v>
          </cell>
          <cell r="H425" t="str">
            <v>Administrative coverage</v>
          </cell>
          <cell r="I425"/>
          <cell r="J425"/>
          <cell r="K425"/>
        </row>
        <row r="426">
          <cell r="B426" t="str">
            <v>AIA</v>
          </cell>
          <cell r="C426" t="str">
            <v>Anguilla</v>
          </cell>
          <cell r="D426">
            <v>2022</v>
          </cell>
          <cell r="E426" t="str">
            <v>FLU_ALL</v>
          </cell>
          <cell r="F426" t="str">
            <v>Influenza all persons above ≥6 months (universal recommendation)</v>
          </cell>
          <cell r="G426" t="str">
            <v>ADMIN</v>
          </cell>
          <cell r="H426" t="str">
            <v>Administrative coverage</v>
          </cell>
          <cell r="I426"/>
          <cell r="J426">
            <v>0</v>
          </cell>
          <cell r="K426"/>
        </row>
        <row r="427">
          <cell r="B427" t="str">
            <v>ATG</v>
          </cell>
          <cell r="C427" t="str">
            <v>Antigua and Barbuda</v>
          </cell>
          <cell r="D427">
            <v>2022</v>
          </cell>
          <cell r="E427" t="str">
            <v>FLU_ALL</v>
          </cell>
          <cell r="F427" t="str">
            <v>Influenza all persons above ≥6 months (universal recommendation)</v>
          </cell>
          <cell r="G427" t="str">
            <v>ADMIN</v>
          </cell>
          <cell r="H427" t="str">
            <v>Administrative coverage</v>
          </cell>
          <cell r="I427"/>
          <cell r="J427"/>
          <cell r="K427"/>
        </row>
        <row r="428">
          <cell r="B428" t="str">
            <v>ARG</v>
          </cell>
          <cell r="C428" t="str">
            <v>Argentina</v>
          </cell>
          <cell r="D428">
            <v>2022</v>
          </cell>
          <cell r="E428" t="str">
            <v>FLU_ALL</v>
          </cell>
          <cell r="F428" t="str">
            <v>Influenza all persons above ≥6 months (universal recommendation)</v>
          </cell>
          <cell r="G428" t="str">
            <v>ADMIN</v>
          </cell>
          <cell r="H428" t="str">
            <v>Administrative coverage</v>
          </cell>
          <cell r="I428"/>
          <cell r="J428"/>
          <cell r="K428"/>
        </row>
        <row r="429">
          <cell r="B429" t="str">
            <v>ARM</v>
          </cell>
          <cell r="C429" t="str">
            <v>Armenia</v>
          </cell>
          <cell r="D429">
            <v>2022</v>
          </cell>
          <cell r="E429" t="str">
            <v>FLU_ALL</v>
          </cell>
          <cell r="F429" t="str">
            <v>Influenza all persons above ≥6 months (universal recommendation)</v>
          </cell>
          <cell r="G429" t="str">
            <v>ADMIN</v>
          </cell>
          <cell r="H429" t="str">
            <v>Administrative coverage</v>
          </cell>
          <cell r="I429"/>
          <cell r="J429"/>
          <cell r="K429"/>
        </row>
        <row r="430">
          <cell r="B430" t="str">
            <v>ABW</v>
          </cell>
          <cell r="C430" t="str">
            <v>Aruba</v>
          </cell>
          <cell r="D430">
            <v>2022</v>
          </cell>
          <cell r="E430" t="str">
            <v>FLU_ALL</v>
          </cell>
          <cell r="F430" t="str">
            <v>Influenza all persons above ≥6 months (universal recommendation)</v>
          </cell>
          <cell r="G430" t="str">
            <v>ADMIN</v>
          </cell>
          <cell r="H430" t="str">
            <v>Administrative coverage</v>
          </cell>
          <cell r="I430"/>
          <cell r="J430"/>
          <cell r="K430"/>
        </row>
        <row r="431">
          <cell r="B431" t="str">
            <v>AUS</v>
          </cell>
          <cell r="C431" t="str">
            <v>Australia</v>
          </cell>
          <cell r="D431">
            <v>2022</v>
          </cell>
          <cell r="E431" t="str">
            <v>FLU_ALL</v>
          </cell>
          <cell r="F431" t="str">
            <v>Influenza all persons above ≥6 months (universal recommendation)</v>
          </cell>
          <cell r="G431" t="str">
            <v>ADMIN</v>
          </cell>
          <cell r="H431" t="str">
            <v>Administrative coverage</v>
          </cell>
          <cell r="I431"/>
          <cell r="J431"/>
          <cell r="K431"/>
        </row>
        <row r="432">
          <cell r="B432" t="str">
            <v>AUT</v>
          </cell>
          <cell r="C432" t="str">
            <v>Austria</v>
          </cell>
          <cell r="D432">
            <v>2022</v>
          </cell>
          <cell r="E432" t="str">
            <v>FLU_ALL</v>
          </cell>
          <cell r="F432" t="str">
            <v>Influenza all persons above ≥6 months (universal recommendation)</v>
          </cell>
          <cell r="G432" t="str">
            <v>ADMIN</v>
          </cell>
          <cell r="H432" t="str">
            <v>Administrative coverage</v>
          </cell>
          <cell r="I432"/>
          <cell r="J432"/>
          <cell r="K432"/>
        </row>
        <row r="433">
          <cell r="B433" t="str">
            <v>AZE</v>
          </cell>
          <cell r="C433" t="str">
            <v>Azerbaijan</v>
          </cell>
          <cell r="D433">
            <v>2022</v>
          </cell>
          <cell r="E433" t="str">
            <v>FLU_ALL</v>
          </cell>
          <cell r="F433" t="str">
            <v>Influenza all persons above ≥6 months (universal recommendation)</v>
          </cell>
          <cell r="G433" t="str">
            <v>ADMIN</v>
          </cell>
          <cell r="H433" t="str">
            <v>Administrative coverage</v>
          </cell>
          <cell r="I433"/>
          <cell r="J433"/>
          <cell r="K433"/>
        </row>
        <row r="434">
          <cell r="B434" t="str">
            <v>BHS</v>
          </cell>
          <cell r="C434" t="str">
            <v>Bahamas</v>
          </cell>
          <cell r="D434">
            <v>2022</v>
          </cell>
          <cell r="E434" t="str">
            <v>FLU_ALL</v>
          </cell>
          <cell r="F434" t="str">
            <v>Influenza all persons above ≥6 months (universal recommendation)</v>
          </cell>
          <cell r="G434" t="str">
            <v>ADMIN</v>
          </cell>
          <cell r="H434" t="str">
            <v>Administrative coverage</v>
          </cell>
          <cell r="I434"/>
          <cell r="J434"/>
          <cell r="K434"/>
        </row>
        <row r="435">
          <cell r="B435" t="str">
            <v>BHR</v>
          </cell>
          <cell r="C435" t="str">
            <v>Bahrain</v>
          </cell>
          <cell r="D435">
            <v>2022</v>
          </cell>
          <cell r="E435" t="str">
            <v>FLU_ALL</v>
          </cell>
          <cell r="F435" t="str">
            <v>Influenza all persons above ≥6 months (universal recommendation)</v>
          </cell>
          <cell r="G435" t="str">
            <v>ADMIN</v>
          </cell>
          <cell r="H435" t="str">
            <v>Administrative coverage</v>
          </cell>
          <cell r="I435"/>
          <cell r="J435"/>
          <cell r="K435"/>
        </row>
        <row r="436">
          <cell r="B436" t="str">
            <v>BGD</v>
          </cell>
          <cell r="C436" t="str">
            <v>Bangladesh</v>
          </cell>
          <cell r="D436">
            <v>2022</v>
          </cell>
          <cell r="E436" t="str">
            <v>FLU_ALL</v>
          </cell>
          <cell r="F436" t="str">
            <v>Influenza all persons above ≥6 months (universal recommendation)</v>
          </cell>
          <cell r="G436" t="str">
            <v>ADMIN</v>
          </cell>
          <cell r="H436" t="str">
            <v>Administrative coverage</v>
          </cell>
          <cell r="I436"/>
          <cell r="J436"/>
          <cell r="K436"/>
        </row>
        <row r="437">
          <cell r="B437" t="str">
            <v>BRB</v>
          </cell>
          <cell r="C437" t="str">
            <v>Barbados</v>
          </cell>
          <cell r="D437">
            <v>2022</v>
          </cell>
          <cell r="E437" t="str">
            <v>FLU_ALL</v>
          </cell>
          <cell r="F437" t="str">
            <v>Influenza all persons above ≥6 months (universal recommendation)</v>
          </cell>
          <cell r="G437" t="str">
            <v>ADMIN</v>
          </cell>
          <cell r="H437" t="str">
            <v>Administrative coverage</v>
          </cell>
          <cell r="I437"/>
          <cell r="J437"/>
          <cell r="K437"/>
        </row>
        <row r="438">
          <cell r="B438" t="str">
            <v>BLR</v>
          </cell>
          <cell r="C438" t="str">
            <v>Belarus</v>
          </cell>
          <cell r="D438">
            <v>2022</v>
          </cell>
          <cell r="E438" t="str">
            <v>FLU_ALL</v>
          </cell>
          <cell r="F438" t="str">
            <v>Influenza all persons above ≥6 months (universal recommendation)</v>
          </cell>
          <cell r="G438" t="str">
            <v>ADMIN</v>
          </cell>
          <cell r="H438" t="str">
            <v>Administrative coverage</v>
          </cell>
          <cell r="I438">
            <v>4119816</v>
          </cell>
          <cell r="J438">
            <v>360581</v>
          </cell>
          <cell r="K438">
            <v>8.75</v>
          </cell>
        </row>
        <row r="439">
          <cell r="B439" t="str">
            <v>BEL</v>
          </cell>
          <cell r="C439" t="str">
            <v>Belgium</v>
          </cell>
          <cell r="D439">
            <v>2022</v>
          </cell>
          <cell r="E439" t="str">
            <v>FLU_ALL</v>
          </cell>
          <cell r="F439" t="str">
            <v>Influenza all persons above ≥6 months (universal recommendation)</v>
          </cell>
          <cell r="G439" t="str">
            <v>ADMIN</v>
          </cell>
          <cell r="H439" t="str">
            <v>Administrative coverage</v>
          </cell>
          <cell r="I439"/>
          <cell r="J439"/>
          <cell r="K439"/>
        </row>
        <row r="440">
          <cell r="B440" t="str">
            <v>BLZ</v>
          </cell>
          <cell r="C440" t="str">
            <v>Belize</v>
          </cell>
          <cell r="D440">
            <v>2022</v>
          </cell>
          <cell r="E440" t="str">
            <v>FLU_ALL</v>
          </cell>
          <cell r="F440" t="str">
            <v>Influenza all persons above ≥6 months (universal recommendation)</v>
          </cell>
          <cell r="G440" t="str">
            <v>ADMIN</v>
          </cell>
          <cell r="H440" t="str">
            <v>Administrative coverage</v>
          </cell>
          <cell r="I440"/>
          <cell r="J440"/>
          <cell r="K440"/>
        </row>
        <row r="441">
          <cell r="B441" t="str">
            <v>BEN</v>
          </cell>
          <cell r="C441" t="str">
            <v>Benin</v>
          </cell>
          <cell r="D441">
            <v>2022</v>
          </cell>
          <cell r="E441" t="str">
            <v>FLU_ALL</v>
          </cell>
          <cell r="F441" t="str">
            <v>Influenza all persons above ≥6 months (universal recommendation)</v>
          </cell>
          <cell r="G441" t="str">
            <v>ADMIN</v>
          </cell>
          <cell r="H441" t="str">
            <v>Administrative coverage</v>
          </cell>
          <cell r="I441"/>
          <cell r="J441"/>
          <cell r="K441"/>
        </row>
        <row r="442">
          <cell r="B442" t="str">
            <v>BMU</v>
          </cell>
          <cell r="C442" t="str">
            <v>Bermuda</v>
          </cell>
          <cell r="D442">
            <v>2022</v>
          </cell>
          <cell r="E442" t="str">
            <v>FLU_ALL</v>
          </cell>
          <cell r="F442" t="str">
            <v>Influenza all persons above ≥6 months (universal recommendation)</v>
          </cell>
          <cell r="G442" t="str">
            <v>ADMIN</v>
          </cell>
          <cell r="H442" t="str">
            <v>Administrative coverage</v>
          </cell>
          <cell r="I442">
            <v>64031</v>
          </cell>
          <cell r="J442">
            <v>4634</v>
          </cell>
          <cell r="K442">
            <v>7.24</v>
          </cell>
        </row>
        <row r="443">
          <cell r="B443" t="str">
            <v>BTN</v>
          </cell>
          <cell r="C443" t="str">
            <v>Bhutan</v>
          </cell>
          <cell r="D443">
            <v>2022</v>
          </cell>
          <cell r="E443" t="str">
            <v>FLU_ALL</v>
          </cell>
          <cell r="F443" t="str">
            <v>Influenza all persons above ≥6 months (universal recommendation)</v>
          </cell>
          <cell r="G443" t="str">
            <v>ADMIN</v>
          </cell>
          <cell r="H443" t="str">
            <v>Administrative coverage</v>
          </cell>
          <cell r="I443"/>
          <cell r="J443"/>
          <cell r="K443"/>
        </row>
        <row r="444">
          <cell r="B444" t="str">
            <v>BOL</v>
          </cell>
          <cell r="C444" t="str">
            <v>Bolivia (Plurinational State of)</v>
          </cell>
          <cell r="D444">
            <v>2022</v>
          </cell>
          <cell r="E444" t="str">
            <v>FLU_ALL</v>
          </cell>
          <cell r="F444" t="str">
            <v>Influenza all persons above ≥6 months (universal recommendation)</v>
          </cell>
          <cell r="G444" t="str">
            <v>ADMIN</v>
          </cell>
          <cell r="H444" t="str">
            <v>Administrative coverage</v>
          </cell>
          <cell r="I444"/>
          <cell r="J444"/>
          <cell r="K444"/>
        </row>
        <row r="445">
          <cell r="B445" t="str">
            <v>BIH</v>
          </cell>
          <cell r="C445" t="str">
            <v>Bosnia and Herzegovina</v>
          </cell>
          <cell r="D445">
            <v>2022</v>
          </cell>
          <cell r="E445" t="str">
            <v>FLU_ALL</v>
          </cell>
          <cell r="F445" t="str">
            <v>Influenza all persons above ≥6 months (universal recommendation)</v>
          </cell>
          <cell r="G445" t="str">
            <v>ADMIN</v>
          </cell>
          <cell r="H445" t="str">
            <v>Administrative coverage</v>
          </cell>
          <cell r="I445"/>
          <cell r="J445">
            <v>119</v>
          </cell>
          <cell r="K445"/>
        </row>
        <row r="446">
          <cell r="B446" t="str">
            <v>BWA</v>
          </cell>
          <cell r="C446" t="str">
            <v>Botswana</v>
          </cell>
          <cell r="D446">
            <v>2022</v>
          </cell>
          <cell r="E446" t="str">
            <v>FLU_ALL</v>
          </cell>
          <cell r="F446" t="str">
            <v>Influenza all persons above ≥6 months (universal recommendation)</v>
          </cell>
          <cell r="G446" t="str">
            <v>ADMIN</v>
          </cell>
          <cell r="H446" t="str">
            <v>Administrative coverage</v>
          </cell>
          <cell r="I446"/>
          <cell r="J446"/>
          <cell r="K446"/>
        </row>
        <row r="447">
          <cell r="B447" t="str">
            <v>BRA</v>
          </cell>
          <cell r="C447" t="str">
            <v>Brazil</v>
          </cell>
          <cell r="D447">
            <v>2022</v>
          </cell>
          <cell r="E447" t="str">
            <v>FLU_ALL</v>
          </cell>
          <cell r="F447" t="str">
            <v>Influenza all persons above ≥6 months (universal recommendation)</v>
          </cell>
          <cell r="G447" t="str">
            <v>ADMIN</v>
          </cell>
          <cell r="H447" t="str">
            <v>Administrative coverage</v>
          </cell>
          <cell r="I447"/>
          <cell r="J447">
            <v>18391252</v>
          </cell>
          <cell r="K447"/>
        </row>
        <row r="448">
          <cell r="B448" t="str">
            <v>VGB</v>
          </cell>
          <cell r="C448" t="str">
            <v>British Virgin Islands</v>
          </cell>
          <cell r="D448">
            <v>2022</v>
          </cell>
          <cell r="E448" t="str">
            <v>FLU_ALL</v>
          </cell>
          <cell r="F448" t="str">
            <v>Influenza all persons above ≥6 months (universal recommendation)</v>
          </cell>
          <cell r="G448" t="str">
            <v>ADMIN</v>
          </cell>
          <cell r="H448" t="str">
            <v>Administrative coverage</v>
          </cell>
          <cell r="I448"/>
          <cell r="J448"/>
          <cell r="K448"/>
        </row>
        <row r="449">
          <cell r="B449" t="str">
            <v>BRN</v>
          </cell>
          <cell r="C449" t="str">
            <v>Brunei Darussalam</v>
          </cell>
          <cell r="D449">
            <v>2022</v>
          </cell>
          <cell r="E449" t="str">
            <v>FLU_ALL</v>
          </cell>
          <cell r="F449" t="str">
            <v>Influenza all persons above ≥6 months (universal recommendation)</v>
          </cell>
          <cell r="G449" t="str">
            <v>ADMIN</v>
          </cell>
          <cell r="H449" t="str">
            <v>Administrative coverage</v>
          </cell>
          <cell r="I449"/>
          <cell r="J449"/>
          <cell r="K449"/>
        </row>
        <row r="450">
          <cell r="B450" t="str">
            <v>BGR</v>
          </cell>
          <cell r="C450" t="str">
            <v>Bulgaria</v>
          </cell>
          <cell r="D450">
            <v>2022</v>
          </cell>
          <cell r="E450" t="str">
            <v>FLU_ALL</v>
          </cell>
          <cell r="F450" t="str">
            <v>Influenza all persons above ≥6 months (universal recommendation)</v>
          </cell>
          <cell r="G450" t="str">
            <v>ADMIN</v>
          </cell>
          <cell r="H450" t="str">
            <v>Administrative coverage</v>
          </cell>
          <cell r="I450"/>
          <cell r="J450"/>
          <cell r="K450"/>
        </row>
        <row r="451">
          <cell r="B451" t="str">
            <v>BFA</v>
          </cell>
          <cell r="C451" t="str">
            <v>Burkina Faso</v>
          </cell>
          <cell r="D451">
            <v>2022</v>
          </cell>
          <cell r="E451" t="str">
            <v>FLU_ALL</v>
          </cell>
          <cell r="F451" t="str">
            <v>Influenza all persons above ≥6 months (universal recommendation)</v>
          </cell>
          <cell r="G451" t="str">
            <v>ADMIN</v>
          </cell>
          <cell r="H451" t="str">
            <v>Administrative coverage</v>
          </cell>
          <cell r="I451"/>
          <cell r="J451"/>
          <cell r="K451"/>
        </row>
        <row r="452">
          <cell r="B452" t="str">
            <v>BDI</v>
          </cell>
          <cell r="C452" t="str">
            <v>Burundi</v>
          </cell>
          <cell r="D452">
            <v>2022</v>
          </cell>
          <cell r="E452" t="str">
            <v>FLU_ALL</v>
          </cell>
          <cell r="F452" t="str">
            <v>Influenza all persons above ≥6 months (universal recommendation)</v>
          </cell>
          <cell r="G452" t="str">
            <v>ADMIN</v>
          </cell>
          <cell r="H452" t="str">
            <v>Administrative coverage</v>
          </cell>
          <cell r="I452"/>
          <cell r="J452"/>
          <cell r="K452"/>
        </row>
        <row r="453">
          <cell r="B453" t="str">
            <v>CPV</v>
          </cell>
          <cell r="C453" t="str">
            <v>Cabo Verde</v>
          </cell>
          <cell r="D453">
            <v>2022</v>
          </cell>
          <cell r="E453" t="str">
            <v>FLU_ALL</v>
          </cell>
          <cell r="F453" t="str">
            <v>Influenza all persons above ≥6 months (universal recommendation)</v>
          </cell>
          <cell r="G453" t="str">
            <v>ADMIN</v>
          </cell>
          <cell r="H453" t="str">
            <v>Administrative coverage</v>
          </cell>
          <cell r="I453"/>
          <cell r="J453"/>
          <cell r="K453"/>
        </row>
        <row r="454">
          <cell r="B454" t="str">
            <v>KHM</v>
          </cell>
          <cell r="C454" t="str">
            <v>Cambodia</v>
          </cell>
          <cell r="D454">
            <v>2022</v>
          </cell>
          <cell r="E454" t="str">
            <v>FLU_ALL</v>
          </cell>
          <cell r="F454" t="str">
            <v>Influenza all persons above ≥6 months (universal recommendation)</v>
          </cell>
          <cell r="G454" t="str">
            <v>ADMIN</v>
          </cell>
          <cell r="H454" t="str">
            <v>Administrative coverage</v>
          </cell>
          <cell r="I454"/>
          <cell r="J454"/>
          <cell r="K454"/>
        </row>
        <row r="455">
          <cell r="B455" t="str">
            <v>CMR</v>
          </cell>
          <cell r="C455" t="str">
            <v>Cameroon</v>
          </cell>
          <cell r="D455">
            <v>2022</v>
          </cell>
          <cell r="E455" t="str">
            <v>FLU_ALL</v>
          </cell>
          <cell r="F455" t="str">
            <v>Influenza all persons above ≥6 months (universal recommendation)</v>
          </cell>
          <cell r="G455" t="str">
            <v>ADMIN</v>
          </cell>
          <cell r="H455" t="str">
            <v>Administrative coverage</v>
          </cell>
          <cell r="I455"/>
          <cell r="J455"/>
          <cell r="K455"/>
        </row>
        <row r="456">
          <cell r="B456" t="str">
            <v>CAN</v>
          </cell>
          <cell r="C456" t="str">
            <v>Canada</v>
          </cell>
          <cell r="D456">
            <v>2022</v>
          </cell>
          <cell r="E456" t="str">
            <v>FLU_ALL</v>
          </cell>
          <cell r="F456" t="str">
            <v>Influenza all persons above ≥6 months (universal recommendation)</v>
          </cell>
          <cell r="G456" t="str">
            <v>ADMIN</v>
          </cell>
          <cell r="H456" t="str">
            <v>Administrative coverage</v>
          </cell>
          <cell r="I456"/>
          <cell r="J456"/>
          <cell r="K456"/>
        </row>
        <row r="457">
          <cell r="B457" t="str">
            <v>CYM</v>
          </cell>
          <cell r="C457" t="str">
            <v>Cayman Islands</v>
          </cell>
          <cell r="D457">
            <v>2022</v>
          </cell>
          <cell r="E457" t="str">
            <v>FLU_ALL</v>
          </cell>
          <cell r="F457" t="str">
            <v>Influenza all persons above ≥6 months (universal recommendation)</v>
          </cell>
          <cell r="G457" t="str">
            <v>ADMIN</v>
          </cell>
          <cell r="H457" t="str">
            <v>Administrative coverage</v>
          </cell>
          <cell r="I457"/>
          <cell r="J457"/>
          <cell r="K457"/>
        </row>
        <row r="458">
          <cell r="B458" t="str">
            <v>CAF</v>
          </cell>
          <cell r="C458" t="str">
            <v>Central African Republic</v>
          </cell>
          <cell r="D458">
            <v>2022</v>
          </cell>
          <cell r="E458" t="str">
            <v>FLU_ALL</v>
          </cell>
          <cell r="F458" t="str">
            <v>Influenza all persons above ≥6 months (universal recommendation)</v>
          </cell>
          <cell r="G458" t="str">
            <v>ADMIN</v>
          </cell>
          <cell r="H458" t="str">
            <v>Administrative coverage</v>
          </cell>
          <cell r="I458"/>
          <cell r="J458"/>
          <cell r="K458"/>
        </row>
        <row r="459">
          <cell r="B459" t="str">
            <v>TCD</v>
          </cell>
          <cell r="C459" t="str">
            <v>Chad</v>
          </cell>
          <cell r="D459">
            <v>2022</v>
          </cell>
          <cell r="E459" t="str">
            <v>FLU_ALL</v>
          </cell>
          <cell r="F459" t="str">
            <v>Influenza all persons above ≥6 months (universal recommendation)</v>
          </cell>
          <cell r="G459" t="str">
            <v>ADMIN</v>
          </cell>
          <cell r="H459" t="str">
            <v>Administrative coverage</v>
          </cell>
          <cell r="I459"/>
          <cell r="J459"/>
          <cell r="K459"/>
        </row>
        <row r="460">
          <cell r="B460" t="str">
            <v>CHL</v>
          </cell>
          <cell r="C460" t="str">
            <v>Chile</v>
          </cell>
          <cell r="D460">
            <v>2022</v>
          </cell>
          <cell r="E460" t="str">
            <v>FLU_ALL</v>
          </cell>
          <cell r="F460" t="str">
            <v>Influenza all persons above ≥6 months (universal recommendation)</v>
          </cell>
          <cell r="G460" t="str">
            <v>ADMIN</v>
          </cell>
          <cell r="H460" t="str">
            <v>Administrative coverage</v>
          </cell>
          <cell r="I460"/>
          <cell r="J460"/>
          <cell r="K460"/>
        </row>
        <row r="461">
          <cell r="B461" t="str">
            <v>CHN</v>
          </cell>
          <cell r="C461" t="str">
            <v>China</v>
          </cell>
          <cell r="D461">
            <v>2022</v>
          </cell>
          <cell r="E461" t="str">
            <v>FLU_ALL</v>
          </cell>
          <cell r="F461" t="str">
            <v>Influenza all persons above ≥6 months (universal recommendation)</v>
          </cell>
          <cell r="G461" t="str">
            <v>ADMIN</v>
          </cell>
          <cell r="H461" t="str">
            <v>Administrative coverage</v>
          </cell>
          <cell r="I461"/>
          <cell r="J461"/>
          <cell r="K461"/>
        </row>
        <row r="462">
          <cell r="B462" t="str">
            <v>HKG</v>
          </cell>
          <cell r="C462" t="str">
            <v>China, Hong Kong SAR</v>
          </cell>
          <cell r="D462">
            <v>2022</v>
          </cell>
          <cell r="E462" t="str">
            <v>FLU_ALL</v>
          </cell>
          <cell r="F462" t="str">
            <v>Influenza all persons above ≥6 months (universal recommendation)</v>
          </cell>
          <cell r="G462" t="str">
            <v>ADMIN</v>
          </cell>
          <cell r="H462" t="str">
            <v>Administrative coverage</v>
          </cell>
          <cell r="I462"/>
          <cell r="J462"/>
          <cell r="K462"/>
        </row>
        <row r="463">
          <cell r="B463" t="str">
            <v>MAC</v>
          </cell>
          <cell r="C463" t="str">
            <v>China, Macao SAR</v>
          </cell>
          <cell r="D463">
            <v>2022</v>
          </cell>
          <cell r="E463" t="str">
            <v>FLU_ALL</v>
          </cell>
          <cell r="F463" t="str">
            <v>Influenza all persons above ≥6 months (universal recommendation)</v>
          </cell>
          <cell r="G463" t="str">
            <v>ADMIN</v>
          </cell>
          <cell r="H463" t="str">
            <v>Administrative coverage</v>
          </cell>
          <cell r="I463">
            <v>567921</v>
          </cell>
          <cell r="J463">
            <v>138594</v>
          </cell>
          <cell r="K463">
            <v>24.4</v>
          </cell>
        </row>
        <row r="464">
          <cell r="B464" t="str">
            <v>COL</v>
          </cell>
          <cell r="C464" t="str">
            <v>Colombia</v>
          </cell>
          <cell r="D464">
            <v>2022</v>
          </cell>
          <cell r="E464" t="str">
            <v>FLU_ALL</v>
          </cell>
          <cell r="F464" t="str">
            <v>Influenza all persons above ≥6 months (universal recommendation)</v>
          </cell>
          <cell r="G464" t="str">
            <v>ADMIN</v>
          </cell>
          <cell r="H464" t="str">
            <v>Administrative coverage</v>
          </cell>
          <cell r="I464"/>
          <cell r="J464"/>
          <cell r="K464"/>
        </row>
        <row r="465">
          <cell r="B465" t="str">
            <v>COM</v>
          </cell>
          <cell r="C465" t="str">
            <v>Comoros</v>
          </cell>
          <cell r="D465">
            <v>2022</v>
          </cell>
          <cell r="E465" t="str">
            <v>FLU_ALL</v>
          </cell>
          <cell r="F465" t="str">
            <v>Influenza all persons above ≥6 months (universal recommendation)</v>
          </cell>
          <cell r="G465" t="str">
            <v>ADMIN</v>
          </cell>
          <cell r="H465" t="str">
            <v>Administrative coverage</v>
          </cell>
          <cell r="I465"/>
          <cell r="J465"/>
          <cell r="K465"/>
        </row>
        <row r="466">
          <cell r="B466" t="str">
            <v>COG</v>
          </cell>
          <cell r="C466" t="str">
            <v>Congo</v>
          </cell>
          <cell r="D466">
            <v>2022</v>
          </cell>
          <cell r="E466" t="str">
            <v>FLU_ALL</v>
          </cell>
          <cell r="F466" t="str">
            <v>Influenza all persons above ≥6 months (universal recommendation)</v>
          </cell>
          <cell r="G466" t="str">
            <v>ADMIN</v>
          </cell>
          <cell r="H466" t="str">
            <v>Administrative coverage</v>
          </cell>
          <cell r="I466"/>
          <cell r="J466"/>
          <cell r="K466"/>
        </row>
        <row r="467">
          <cell r="B467" t="str">
            <v>COK</v>
          </cell>
          <cell r="C467" t="str">
            <v>Cook Islands</v>
          </cell>
          <cell r="D467">
            <v>2022</v>
          </cell>
          <cell r="E467" t="str">
            <v>FLU_ALL</v>
          </cell>
          <cell r="F467" t="str">
            <v>Influenza all persons above ≥6 months (universal recommendation)</v>
          </cell>
          <cell r="G467" t="str">
            <v>ADMIN</v>
          </cell>
          <cell r="H467" t="str">
            <v>Administrative coverage</v>
          </cell>
          <cell r="I467"/>
          <cell r="J467"/>
          <cell r="K467"/>
        </row>
        <row r="468">
          <cell r="B468" t="str">
            <v>CRI</v>
          </cell>
          <cell r="C468" t="str">
            <v>Costa Rica</v>
          </cell>
          <cell r="D468">
            <v>2022</v>
          </cell>
          <cell r="E468" t="str">
            <v>FLU_ALL</v>
          </cell>
          <cell r="F468" t="str">
            <v>Influenza all persons above ≥6 months (universal recommendation)</v>
          </cell>
          <cell r="G468" t="str">
            <v>ADMIN</v>
          </cell>
          <cell r="H468" t="str">
            <v>Administrative coverage</v>
          </cell>
          <cell r="I468"/>
          <cell r="J468"/>
          <cell r="K468"/>
        </row>
        <row r="469">
          <cell r="B469" t="str">
            <v>CIV</v>
          </cell>
          <cell r="C469" t="str">
            <v>Côte d'Ivoire</v>
          </cell>
          <cell r="D469">
            <v>2022</v>
          </cell>
          <cell r="E469" t="str">
            <v>FLU_ALL</v>
          </cell>
          <cell r="F469" t="str">
            <v>Influenza all persons above ≥6 months (universal recommendation)</v>
          </cell>
          <cell r="G469" t="str">
            <v>ADMIN</v>
          </cell>
          <cell r="H469" t="str">
            <v>Administrative coverage</v>
          </cell>
          <cell r="I469"/>
          <cell r="J469"/>
          <cell r="K469"/>
        </row>
        <row r="470">
          <cell r="B470" t="str">
            <v>HRV</v>
          </cell>
          <cell r="C470" t="str">
            <v>Croatia</v>
          </cell>
          <cell r="D470">
            <v>2022</v>
          </cell>
          <cell r="E470" t="str">
            <v>FLU_ALL</v>
          </cell>
          <cell r="F470" t="str">
            <v>Influenza all persons above ≥6 months (universal recommendation)</v>
          </cell>
          <cell r="G470" t="str">
            <v>ADMIN</v>
          </cell>
          <cell r="H470" t="str">
            <v>Administrative coverage</v>
          </cell>
          <cell r="I470"/>
          <cell r="J470"/>
          <cell r="K470"/>
        </row>
        <row r="471">
          <cell r="B471" t="str">
            <v>CUB</v>
          </cell>
          <cell r="C471" t="str">
            <v>Cuba</v>
          </cell>
          <cell r="D471">
            <v>2022</v>
          </cell>
          <cell r="E471" t="str">
            <v>FLU_ALL</v>
          </cell>
          <cell r="F471" t="str">
            <v>Influenza all persons above ≥6 months (universal recommendation)</v>
          </cell>
          <cell r="G471" t="str">
            <v>ADMIN</v>
          </cell>
          <cell r="H471" t="str">
            <v>Administrative coverage</v>
          </cell>
          <cell r="I471"/>
          <cell r="J471"/>
          <cell r="K471"/>
        </row>
        <row r="472">
          <cell r="B472" t="str">
            <v>CYP</v>
          </cell>
          <cell r="C472" t="str">
            <v>Cyprus</v>
          </cell>
          <cell r="D472">
            <v>2022</v>
          </cell>
          <cell r="E472" t="str">
            <v>FLU_ALL</v>
          </cell>
          <cell r="F472" t="str">
            <v>Influenza all persons above ≥6 months (universal recommendation)</v>
          </cell>
          <cell r="G472" t="str">
            <v>ADMIN</v>
          </cell>
          <cell r="H472" t="str">
            <v>Administrative coverage</v>
          </cell>
          <cell r="I472"/>
          <cell r="J472"/>
          <cell r="K472"/>
        </row>
        <row r="473">
          <cell r="B473" t="str">
            <v>CZE</v>
          </cell>
          <cell r="C473" t="str">
            <v>Czechia</v>
          </cell>
          <cell r="D473">
            <v>2022</v>
          </cell>
          <cell r="E473" t="str">
            <v>FLU_ALL</v>
          </cell>
          <cell r="F473" t="str">
            <v>Influenza all persons above ≥6 months (universal recommendation)</v>
          </cell>
          <cell r="G473" t="str">
            <v>ADMIN</v>
          </cell>
          <cell r="H473" t="str">
            <v>Administrative coverage</v>
          </cell>
          <cell r="I473"/>
          <cell r="J473"/>
          <cell r="K473"/>
        </row>
        <row r="474">
          <cell r="B474" t="str">
            <v>PRK</v>
          </cell>
          <cell r="C474" t="str">
            <v>Democratic People's Republic of Korea</v>
          </cell>
          <cell r="D474">
            <v>2022</v>
          </cell>
          <cell r="E474" t="str">
            <v>FLU_ALL</v>
          </cell>
          <cell r="F474" t="str">
            <v>Influenza all persons above ≥6 months (universal recommendation)</v>
          </cell>
          <cell r="G474" t="str">
            <v>ADMIN</v>
          </cell>
          <cell r="H474" t="str">
            <v>Administrative coverage</v>
          </cell>
          <cell r="I474"/>
          <cell r="J474"/>
          <cell r="K474"/>
        </row>
        <row r="475">
          <cell r="B475" t="str">
            <v>COD</v>
          </cell>
          <cell r="C475" t="str">
            <v>Democratic Republic of the Congo</v>
          </cell>
          <cell r="D475">
            <v>2022</v>
          </cell>
          <cell r="E475" t="str">
            <v>FLU_ALL</v>
          </cell>
          <cell r="F475" t="str">
            <v>Influenza all persons above ≥6 months (universal recommendation)</v>
          </cell>
          <cell r="G475" t="str">
            <v>ADMIN</v>
          </cell>
          <cell r="H475" t="str">
            <v>Administrative coverage</v>
          </cell>
          <cell r="I475"/>
          <cell r="J475"/>
          <cell r="K475"/>
        </row>
        <row r="476">
          <cell r="B476" t="str">
            <v>DNK</v>
          </cell>
          <cell r="C476" t="str">
            <v>Denmark</v>
          </cell>
          <cell r="D476">
            <v>2022</v>
          </cell>
          <cell r="E476" t="str">
            <v>FLU_ALL</v>
          </cell>
          <cell r="F476" t="str">
            <v>Influenza all persons above ≥6 months (universal recommendation)</v>
          </cell>
          <cell r="G476" t="str">
            <v>ADMIN</v>
          </cell>
          <cell r="H476" t="str">
            <v>Administrative coverage</v>
          </cell>
          <cell r="I476"/>
          <cell r="J476"/>
          <cell r="K476"/>
        </row>
        <row r="477">
          <cell r="B477" t="str">
            <v>DJI</v>
          </cell>
          <cell r="C477" t="str">
            <v>Djibouti</v>
          </cell>
          <cell r="D477">
            <v>2022</v>
          </cell>
          <cell r="E477" t="str">
            <v>FLU_ALL</v>
          </cell>
          <cell r="F477" t="str">
            <v>Influenza all persons above ≥6 months (universal recommendation)</v>
          </cell>
          <cell r="G477" t="str">
            <v>ADMIN</v>
          </cell>
          <cell r="H477" t="str">
            <v>Administrative coverage</v>
          </cell>
          <cell r="I477"/>
          <cell r="J477"/>
          <cell r="K477"/>
        </row>
        <row r="478">
          <cell r="B478" t="str">
            <v>DMA</v>
          </cell>
          <cell r="C478" t="str">
            <v>Dominica</v>
          </cell>
          <cell r="D478">
            <v>2022</v>
          </cell>
          <cell r="E478" t="str">
            <v>FLU_ALL</v>
          </cell>
          <cell r="F478" t="str">
            <v>Influenza all persons above ≥6 months (universal recommendation)</v>
          </cell>
          <cell r="G478" t="str">
            <v>ADMIN</v>
          </cell>
          <cell r="H478" t="str">
            <v>Administrative coverage</v>
          </cell>
          <cell r="I478"/>
          <cell r="J478"/>
          <cell r="K478"/>
        </row>
        <row r="479">
          <cell r="B479" t="str">
            <v>DOM</v>
          </cell>
          <cell r="C479" t="str">
            <v>Dominican Republic</v>
          </cell>
          <cell r="D479">
            <v>2022</v>
          </cell>
          <cell r="E479" t="str">
            <v>FLU_ALL</v>
          </cell>
          <cell r="F479" t="str">
            <v>Influenza all persons above ≥6 months (universal recommendation)</v>
          </cell>
          <cell r="G479" t="str">
            <v>ADMIN</v>
          </cell>
          <cell r="H479" t="str">
            <v>Administrative coverage</v>
          </cell>
          <cell r="I479"/>
          <cell r="J479"/>
          <cell r="K479"/>
        </row>
        <row r="480">
          <cell r="B480" t="str">
            <v>ECU</v>
          </cell>
          <cell r="C480" t="str">
            <v>Ecuador</v>
          </cell>
          <cell r="D480">
            <v>2022</v>
          </cell>
          <cell r="E480" t="str">
            <v>FLU_ALL</v>
          </cell>
          <cell r="F480" t="str">
            <v>Influenza all persons above ≥6 months (universal recommendation)</v>
          </cell>
          <cell r="G480" t="str">
            <v>ADMIN</v>
          </cell>
          <cell r="H480" t="str">
            <v>Administrative coverage</v>
          </cell>
          <cell r="I480">
            <v>211591</v>
          </cell>
          <cell r="J480">
            <v>138932</v>
          </cell>
          <cell r="K480">
            <v>65.66</v>
          </cell>
        </row>
        <row r="481">
          <cell r="B481" t="str">
            <v>EGY</v>
          </cell>
          <cell r="C481" t="str">
            <v>Egypt</v>
          </cell>
          <cell r="D481">
            <v>2022</v>
          </cell>
          <cell r="E481" t="str">
            <v>FLU_ALL</v>
          </cell>
          <cell r="F481" t="str">
            <v>Influenza all persons above ≥6 months (universal recommendation)</v>
          </cell>
          <cell r="G481" t="str">
            <v>ADMIN</v>
          </cell>
          <cell r="H481" t="str">
            <v>Administrative coverage</v>
          </cell>
          <cell r="I481"/>
          <cell r="J481"/>
          <cell r="K481"/>
        </row>
        <row r="482">
          <cell r="B482" t="str">
            <v>SLV</v>
          </cell>
          <cell r="C482" t="str">
            <v>El Salvador</v>
          </cell>
          <cell r="D482">
            <v>2022</v>
          </cell>
          <cell r="E482" t="str">
            <v>FLU_ALL</v>
          </cell>
          <cell r="F482" t="str">
            <v>Influenza all persons above ≥6 months (universal recommendation)</v>
          </cell>
          <cell r="G482" t="str">
            <v>ADMIN</v>
          </cell>
          <cell r="H482" t="str">
            <v>Administrative coverage</v>
          </cell>
          <cell r="I482"/>
          <cell r="J482"/>
          <cell r="K482"/>
        </row>
        <row r="483">
          <cell r="B483" t="str">
            <v>GNQ</v>
          </cell>
          <cell r="C483" t="str">
            <v>Equatorial Guinea</v>
          </cell>
          <cell r="D483">
            <v>2022</v>
          </cell>
          <cell r="E483" t="str">
            <v>FLU_ALL</v>
          </cell>
          <cell r="F483" t="str">
            <v>Influenza all persons above ≥6 months (universal recommendation)</v>
          </cell>
          <cell r="G483" t="str">
            <v>ADMIN</v>
          </cell>
          <cell r="H483" t="str">
            <v>Administrative coverage</v>
          </cell>
          <cell r="I483"/>
          <cell r="J483"/>
          <cell r="K483"/>
        </row>
        <row r="484">
          <cell r="B484" t="str">
            <v>ERI</v>
          </cell>
          <cell r="C484" t="str">
            <v>Eritrea</v>
          </cell>
          <cell r="D484">
            <v>2022</v>
          </cell>
          <cell r="E484" t="str">
            <v>FLU_ALL</v>
          </cell>
          <cell r="F484" t="str">
            <v>Influenza all persons above ≥6 months (universal recommendation)</v>
          </cell>
          <cell r="G484" t="str">
            <v>ADMIN</v>
          </cell>
          <cell r="H484" t="str">
            <v>Administrative coverage</v>
          </cell>
          <cell r="I484"/>
          <cell r="J484"/>
          <cell r="K484"/>
        </row>
        <row r="485">
          <cell r="B485" t="str">
            <v>EST</v>
          </cell>
          <cell r="C485" t="str">
            <v>Estonia</v>
          </cell>
          <cell r="D485">
            <v>2022</v>
          </cell>
          <cell r="E485" t="str">
            <v>FLU_ALL</v>
          </cell>
          <cell r="F485" t="str">
            <v>Influenza all persons above ≥6 months (universal recommendation)</v>
          </cell>
          <cell r="G485" t="str">
            <v>ADMIN</v>
          </cell>
          <cell r="H485" t="str">
            <v>Administrative coverage</v>
          </cell>
          <cell r="I485"/>
          <cell r="J485"/>
          <cell r="K485"/>
        </row>
        <row r="486">
          <cell r="B486" t="str">
            <v>SWZ</v>
          </cell>
          <cell r="C486" t="str">
            <v>Eswatini</v>
          </cell>
          <cell r="D486">
            <v>2022</v>
          </cell>
          <cell r="E486" t="str">
            <v>FLU_ALL</v>
          </cell>
          <cell r="F486" t="str">
            <v>Influenza all persons above ≥6 months (universal recommendation)</v>
          </cell>
          <cell r="G486" t="str">
            <v>ADMIN</v>
          </cell>
          <cell r="H486" t="str">
            <v>Administrative coverage</v>
          </cell>
          <cell r="I486"/>
          <cell r="J486"/>
          <cell r="K486"/>
        </row>
        <row r="487">
          <cell r="B487" t="str">
            <v>ETH</v>
          </cell>
          <cell r="C487" t="str">
            <v>Ethiopia</v>
          </cell>
          <cell r="D487">
            <v>2022</v>
          </cell>
          <cell r="E487" t="str">
            <v>FLU_ALL</v>
          </cell>
          <cell r="F487" t="str">
            <v>Influenza all persons above ≥6 months (universal recommendation)</v>
          </cell>
          <cell r="G487" t="str">
            <v>ADMIN</v>
          </cell>
          <cell r="H487" t="str">
            <v>Administrative coverage</v>
          </cell>
          <cell r="I487"/>
          <cell r="J487"/>
          <cell r="K487"/>
        </row>
        <row r="488">
          <cell r="B488" t="str">
            <v>FJI</v>
          </cell>
          <cell r="C488" t="str">
            <v>Fiji</v>
          </cell>
          <cell r="D488">
            <v>2022</v>
          </cell>
          <cell r="E488" t="str">
            <v>FLU_ALL</v>
          </cell>
          <cell r="F488" t="str">
            <v>Influenza all persons above ≥6 months (universal recommendation)</v>
          </cell>
          <cell r="G488" t="str">
            <v>ADMIN</v>
          </cell>
          <cell r="H488" t="str">
            <v>Administrative coverage</v>
          </cell>
          <cell r="I488"/>
          <cell r="J488"/>
          <cell r="K488"/>
        </row>
        <row r="489">
          <cell r="B489" t="str">
            <v>FIN</v>
          </cell>
          <cell r="C489" t="str">
            <v>Finland</v>
          </cell>
          <cell r="D489">
            <v>2022</v>
          </cell>
          <cell r="E489" t="str">
            <v>FLU_ALL</v>
          </cell>
          <cell r="F489" t="str">
            <v>Influenza all persons above ≥6 months (universal recommendation)</v>
          </cell>
          <cell r="G489" t="str">
            <v>ADMIN</v>
          </cell>
          <cell r="H489" t="str">
            <v>Administrative coverage</v>
          </cell>
          <cell r="I489"/>
          <cell r="J489"/>
          <cell r="K489"/>
        </row>
        <row r="490">
          <cell r="B490" t="str">
            <v>FRA</v>
          </cell>
          <cell r="C490" t="str">
            <v>France</v>
          </cell>
          <cell r="D490">
            <v>2022</v>
          </cell>
          <cell r="E490" t="str">
            <v>FLU_ALL</v>
          </cell>
          <cell r="F490" t="str">
            <v>Influenza all persons above ≥6 months (universal recommendation)</v>
          </cell>
          <cell r="G490" t="str">
            <v>ADMIN</v>
          </cell>
          <cell r="H490" t="str">
            <v>Administrative coverage</v>
          </cell>
          <cell r="I490"/>
          <cell r="J490"/>
          <cell r="K490"/>
        </row>
        <row r="491">
          <cell r="B491" t="str">
            <v>PYF</v>
          </cell>
          <cell r="C491" t="str">
            <v>French Polynesia</v>
          </cell>
          <cell r="D491">
            <v>2022</v>
          </cell>
          <cell r="E491" t="str">
            <v>FLU_ALL</v>
          </cell>
          <cell r="F491" t="str">
            <v>Influenza all persons above ≥6 months (universal recommendation)</v>
          </cell>
          <cell r="G491" t="str">
            <v>ADMIN</v>
          </cell>
          <cell r="H491" t="str">
            <v>Administrative coverage</v>
          </cell>
          <cell r="I491"/>
          <cell r="J491"/>
          <cell r="K491"/>
        </row>
        <row r="492">
          <cell r="B492" t="str">
            <v>GAB</v>
          </cell>
          <cell r="C492" t="str">
            <v>Gabon</v>
          </cell>
          <cell r="D492">
            <v>2022</v>
          </cell>
          <cell r="E492" t="str">
            <v>FLU_ALL</v>
          </cell>
          <cell r="F492" t="str">
            <v>Influenza all persons above ≥6 months (universal recommendation)</v>
          </cell>
          <cell r="G492" t="str">
            <v>ADMIN</v>
          </cell>
          <cell r="H492" t="str">
            <v>Administrative coverage</v>
          </cell>
          <cell r="I492"/>
          <cell r="J492"/>
          <cell r="K492"/>
        </row>
        <row r="493">
          <cell r="B493" t="str">
            <v>GMB</v>
          </cell>
          <cell r="C493" t="str">
            <v>Gambia</v>
          </cell>
          <cell r="D493">
            <v>2022</v>
          </cell>
          <cell r="E493" t="str">
            <v>FLU_ALL</v>
          </cell>
          <cell r="F493" t="str">
            <v>Influenza all persons above ≥6 months (universal recommendation)</v>
          </cell>
          <cell r="G493" t="str">
            <v>ADMIN</v>
          </cell>
          <cell r="H493" t="str">
            <v>Administrative coverage</v>
          </cell>
          <cell r="I493"/>
          <cell r="J493"/>
          <cell r="K493"/>
        </row>
        <row r="494">
          <cell r="B494" t="str">
            <v>GEO</v>
          </cell>
          <cell r="C494" t="str">
            <v>Georgia</v>
          </cell>
          <cell r="D494">
            <v>2022</v>
          </cell>
          <cell r="E494" t="str">
            <v>FLU_ALL</v>
          </cell>
          <cell r="F494" t="str">
            <v>Influenza all persons above ≥6 months (universal recommendation)</v>
          </cell>
          <cell r="G494" t="str">
            <v>ADMIN</v>
          </cell>
          <cell r="H494" t="str">
            <v>Administrative coverage</v>
          </cell>
          <cell r="I494">
            <v>139346</v>
          </cell>
          <cell r="J494">
            <v>76710</v>
          </cell>
          <cell r="K494">
            <v>55.05</v>
          </cell>
        </row>
        <row r="495">
          <cell r="B495" t="str">
            <v>DEU</v>
          </cell>
          <cell r="C495" t="str">
            <v>Germany</v>
          </cell>
          <cell r="D495">
            <v>2022</v>
          </cell>
          <cell r="E495" t="str">
            <v>FLU_ALL</v>
          </cell>
          <cell r="F495" t="str">
            <v>Influenza all persons above ≥6 months (universal recommendation)</v>
          </cell>
          <cell r="G495" t="str">
            <v>ADMIN</v>
          </cell>
          <cell r="H495" t="str">
            <v>Administrative coverage</v>
          </cell>
          <cell r="I495"/>
          <cell r="J495"/>
          <cell r="K495"/>
        </row>
        <row r="496">
          <cell r="B496" t="str">
            <v>GHA</v>
          </cell>
          <cell r="C496" t="str">
            <v>Ghana</v>
          </cell>
          <cell r="D496">
            <v>2022</v>
          </cell>
          <cell r="E496" t="str">
            <v>FLU_ALL</v>
          </cell>
          <cell r="F496" t="str">
            <v>Influenza all persons above ≥6 months (universal recommendation)</v>
          </cell>
          <cell r="G496" t="str">
            <v>ADMIN</v>
          </cell>
          <cell r="H496" t="str">
            <v>Administrative coverage</v>
          </cell>
          <cell r="I496"/>
          <cell r="J496"/>
          <cell r="K496"/>
        </row>
        <row r="497">
          <cell r="B497" t="str">
            <v>GRC</v>
          </cell>
          <cell r="C497" t="str">
            <v>Greece</v>
          </cell>
          <cell r="D497">
            <v>2022</v>
          </cell>
          <cell r="E497" t="str">
            <v>FLU_ALL</v>
          </cell>
          <cell r="F497" t="str">
            <v>Influenza all persons above ≥6 months (universal recommendation)</v>
          </cell>
          <cell r="G497" t="str">
            <v>ADMIN</v>
          </cell>
          <cell r="H497" t="str">
            <v>Administrative coverage</v>
          </cell>
          <cell r="I497"/>
          <cell r="J497"/>
          <cell r="K497"/>
        </row>
        <row r="498">
          <cell r="B498" t="str">
            <v>GRD</v>
          </cell>
          <cell r="C498" t="str">
            <v>Grenada</v>
          </cell>
          <cell r="D498">
            <v>2022</v>
          </cell>
          <cell r="E498" t="str">
            <v>FLU_ALL</v>
          </cell>
          <cell r="F498" t="str">
            <v>Influenza all persons above ≥6 months (universal recommendation)</v>
          </cell>
          <cell r="G498" t="str">
            <v>ADMIN</v>
          </cell>
          <cell r="H498" t="str">
            <v>Administrative coverage</v>
          </cell>
          <cell r="I498"/>
          <cell r="J498"/>
          <cell r="K498"/>
        </row>
        <row r="499">
          <cell r="B499" t="str">
            <v>GTM</v>
          </cell>
          <cell r="C499" t="str">
            <v>Guatemala</v>
          </cell>
          <cell r="D499">
            <v>2022</v>
          </cell>
          <cell r="E499" t="str">
            <v>FLU_ALL</v>
          </cell>
          <cell r="F499" t="str">
            <v>Influenza all persons above ≥6 months (universal recommendation)</v>
          </cell>
          <cell r="G499" t="str">
            <v>ADMIN</v>
          </cell>
          <cell r="H499" t="str">
            <v>Administrative coverage</v>
          </cell>
          <cell r="I499"/>
          <cell r="J499"/>
          <cell r="K499"/>
        </row>
        <row r="500">
          <cell r="B500" t="str">
            <v>GIN</v>
          </cell>
          <cell r="C500" t="str">
            <v>Guinea</v>
          </cell>
          <cell r="D500">
            <v>2022</v>
          </cell>
          <cell r="E500" t="str">
            <v>FLU_ALL</v>
          </cell>
          <cell r="F500" t="str">
            <v>Influenza all persons above ≥6 months (universal recommendation)</v>
          </cell>
          <cell r="G500" t="str">
            <v>ADMIN</v>
          </cell>
          <cell r="H500" t="str">
            <v>Administrative coverage</v>
          </cell>
          <cell r="I500"/>
          <cell r="J500"/>
          <cell r="K500"/>
        </row>
        <row r="501">
          <cell r="B501" t="str">
            <v>GNB</v>
          </cell>
          <cell r="C501" t="str">
            <v>Guinea-Bissau</v>
          </cell>
          <cell r="D501">
            <v>2022</v>
          </cell>
          <cell r="E501" t="str">
            <v>FLU_ALL</v>
          </cell>
          <cell r="F501" t="str">
            <v>Influenza all persons above ≥6 months (universal recommendation)</v>
          </cell>
          <cell r="G501" t="str">
            <v>ADMIN</v>
          </cell>
          <cell r="H501" t="str">
            <v>Administrative coverage</v>
          </cell>
          <cell r="I501"/>
          <cell r="J501"/>
          <cell r="K501"/>
        </row>
        <row r="502">
          <cell r="B502" t="str">
            <v>GUY</v>
          </cell>
          <cell r="C502" t="str">
            <v>Guyana</v>
          </cell>
          <cell r="D502">
            <v>2022</v>
          </cell>
          <cell r="E502" t="str">
            <v>FLU_ALL</v>
          </cell>
          <cell r="F502" t="str">
            <v>Influenza all persons above ≥6 months (universal recommendation)</v>
          </cell>
          <cell r="G502" t="str">
            <v>ADMIN</v>
          </cell>
          <cell r="H502" t="str">
            <v>Administrative coverage</v>
          </cell>
          <cell r="I502"/>
          <cell r="J502"/>
          <cell r="K502"/>
        </row>
        <row r="503">
          <cell r="B503" t="str">
            <v>HTI</v>
          </cell>
          <cell r="C503" t="str">
            <v>Haiti</v>
          </cell>
          <cell r="D503">
            <v>2022</v>
          </cell>
          <cell r="E503" t="str">
            <v>FLU_ALL</v>
          </cell>
          <cell r="F503" t="str">
            <v>Influenza all persons above ≥6 months (universal recommendation)</v>
          </cell>
          <cell r="G503" t="str">
            <v>ADMIN</v>
          </cell>
          <cell r="H503" t="str">
            <v>Administrative coverage</v>
          </cell>
          <cell r="I503"/>
          <cell r="J503"/>
          <cell r="K503"/>
        </row>
        <row r="504">
          <cell r="B504" t="str">
            <v>HND</v>
          </cell>
          <cell r="C504" t="str">
            <v>Honduras</v>
          </cell>
          <cell r="D504">
            <v>2022</v>
          </cell>
          <cell r="E504" t="str">
            <v>FLU_ALL</v>
          </cell>
          <cell r="F504" t="str">
            <v>Influenza all persons above ≥6 months (universal recommendation)</v>
          </cell>
          <cell r="G504" t="str">
            <v>ADMIN</v>
          </cell>
          <cell r="H504" t="str">
            <v>Administrative coverage</v>
          </cell>
          <cell r="I504"/>
          <cell r="J504"/>
          <cell r="K504"/>
        </row>
        <row r="505">
          <cell r="B505" t="str">
            <v>HUN</v>
          </cell>
          <cell r="C505" t="str">
            <v>Hungary</v>
          </cell>
          <cell r="D505">
            <v>2022</v>
          </cell>
          <cell r="E505" t="str">
            <v>FLU_ALL</v>
          </cell>
          <cell r="F505" t="str">
            <v>Influenza all persons above ≥6 months (universal recommendation)</v>
          </cell>
          <cell r="G505" t="str">
            <v>ADMIN</v>
          </cell>
          <cell r="H505" t="str">
            <v>Administrative coverage</v>
          </cell>
          <cell r="I505"/>
          <cell r="J505"/>
          <cell r="K505"/>
        </row>
        <row r="506">
          <cell r="B506" t="str">
            <v>ISL</v>
          </cell>
          <cell r="C506" t="str">
            <v>Iceland</v>
          </cell>
          <cell r="D506">
            <v>2022</v>
          </cell>
          <cell r="E506" t="str">
            <v>FLU_ALL</v>
          </cell>
          <cell r="F506" t="str">
            <v>Influenza all persons above ≥6 months (universal recommendation)</v>
          </cell>
          <cell r="G506" t="str">
            <v>ADMIN</v>
          </cell>
          <cell r="H506" t="str">
            <v>Administrative coverage</v>
          </cell>
          <cell r="I506"/>
          <cell r="J506"/>
          <cell r="K506"/>
        </row>
        <row r="507">
          <cell r="B507" t="str">
            <v>IND</v>
          </cell>
          <cell r="C507" t="str">
            <v>India</v>
          </cell>
          <cell r="D507">
            <v>2022</v>
          </cell>
          <cell r="E507" t="str">
            <v>FLU_ALL</v>
          </cell>
          <cell r="F507" t="str">
            <v>Influenza all persons above ≥6 months (universal recommendation)</v>
          </cell>
          <cell r="G507" t="str">
            <v>ADMIN</v>
          </cell>
          <cell r="H507" t="str">
            <v>Administrative coverage</v>
          </cell>
          <cell r="I507"/>
          <cell r="J507"/>
          <cell r="K507"/>
        </row>
        <row r="508">
          <cell r="B508" t="str">
            <v>IDN</v>
          </cell>
          <cell r="C508" t="str">
            <v>Indonesia</v>
          </cell>
          <cell r="D508">
            <v>2022</v>
          </cell>
          <cell r="E508" t="str">
            <v>FLU_ALL</v>
          </cell>
          <cell r="F508" t="str">
            <v>Influenza all persons above ≥6 months (universal recommendation)</v>
          </cell>
          <cell r="G508" t="str">
            <v>ADMIN</v>
          </cell>
          <cell r="H508" t="str">
            <v>Administrative coverage</v>
          </cell>
          <cell r="I508"/>
          <cell r="J508"/>
          <cell r="K508"/>
        </row>
        <row r="509">
          <cell r="B509" t="str">
            <v>IRN</v>
          </cell>
          <cell r="C509" t="str">
            <v>Iran (Islamic Republic of)</v>
          </cell>
          <cell r="D509">
            <v>2022</v>
          </cell>
          <cell r="E509" t="str">
            <v>FLU_ALL</v>
          </cell>
          <cell r="F509" t="str">
            <v>Influenza all persons above ≥6 months (universal recommendation)</v>
          </cell>
          <cell r="G509" t="str">
            <v>ADMIN</v>
          </cell>
          <cell r="H509" t="str">
            <v>Administrative coverage</v>
          </cell>
          <cell r="I509"/>
          <cell r="J509"/>
          <cell r="K509"/>
        </row>
        <row r="510">
          <cell r="B510" t="str">
            <v>IRQ</v>
          </cell>
          <cell r="C510" t="str">
            <v>Iraq</v>
          </cell>
          <cell r="D510">
            <v>2022</v>
          </cell>
          <cell r="E510" t="str">
            <v>FLU_ALL</v>
          </cell>
          <cell r="F510" t="str">
            <v>Influenza all persons above ≥6 months (universal recommendation)</v>
          </cell>
          <cell r="G510" t="str">
            <v>ADMIN</v>
          </cell>
          <cell r="H510" t="str">
            <v>Administrative coverage</v>
          </cell>
          <cell r="I510"/>
          <cell r="J510"/>
          <cell r="K510"/>
        </row>
        <row r="511">
          <cell r="B511" t="str">
            <v>IRL</v>
          </cell>
          <cell r="C511" t="str">
            <v>Ireland</v>
          </cell>
          <cell r="D511">
            <v>2022</v>
          </cell>
          <cell r="E511" t="str">
            <v>FLU_ALL</v>
          </cell>
          <cell r="F511" t="str">
            <v>Influenza all persons above ≥6 months (universal recommendation)</v>
          </cell>
          <cell r="G511" t="str">
            <v>ADMIN</v>
          </cell>
          <cell r="H511" t="str">
            <v>Administrative coverage</v>
          </cell>
          <cell r="I511"/>
          <cell r="J511"/>
          <cell r="K511"/>
        </row>
        <row r="512">
          <cell r="B512" t="str">
            <v>ISR</v>
          </cell>
          <cell r="C512" t="str">
            <v>Israel</v>
          </cell>
          <cell r="D512">
            <v>2022</v>
          </cell>
          <cell r="E512" t="str">
            <v>FLU_ALL</v>
          </cell>
          <cell r="F512" t="str">
            <v>Influenza all persons above ≥6 months (universal recommendation)</v>
          </cell>
          <cell r="G512" t="str">
            <v>ADMIN</v>
          </cell>
          <cell r="H512" t="str">
            <v>Administrative coverage</v>
          </cell>
          <cell r="I512">
            <v>9219503</v>
          </cell>
          <cell r="J512">
            <v>1780166</v>
          </cell>
          <cell r="K512">
            <v>19.309999999999999</v>
          </cell>
        </row>
        <row r="513">
          <cell r="B513" t="str">
            <v>ITA</v>
          </cell>
          <cell r="C513" t="str">
            <v>Italy</v>
          </cell>
          <cell r="D513">
            <v>2022</v>
          </cell>
          <cell r="E513" t="str">
            <v>FLU_ALL</v>
          </cell>
          <cell r="F513" t="str">
            <v>Influenza all persons above ≥6 months (universal recommendation)</v>
          </cell>
          <cell r="G513" t="str">
            <v>ADMIN</v>
          </cell>
          <cell r="H513" t="str">
            <v>Administrative coverage</v>
          </cell>
          <cell r="I513"/>
          <cell r="J513"/>
          <cell r="K513"/>
        </row>
        <row r="514">
          <cell r="B514" t="str">
            <v>JAM</v>
          </cell>
          <cell r="C514" t="str">
            <v>Jamaica</v>
          </cell>
          <cell r="D514">
            <v>2022</v>
          </cell>
          <cell r="E514" t="str">
            <v>FLU_ALL</v>
          </cell>
          <cell r="F514" t="str">
            <v>Influenza all persons above ≥6 months (universal recommendation)</v>
          </cell>
          <cell r="G514" t="str">
            <v>ADMIN</v>
          </cell>
          <cell r="H514" t="str">
            <v>Administrative coverage</v>
          </cell>
          <cell r="I514"/>
          <cell r="J514"/>
          <cell r="K514"/>
        </row>
        <row r="515">
          <cell r="B515" t="str">
            <v>JPN</v>
          </cell>
          <cell r="C515" t="str">
            <v>Japan</v>
          </cell>
          <cell r="D515">
            <v>2022</v>
          </cell>
          <cell r="E515" t="str">
            <v>FLU_ALL</v>
          </cell>
          <cell r="F515" t="str">
            <v>Influenza all persons above ≥6 months (universal recommendation)</v>
          </cell>
          <cell r="G515" t="str">
            <v>ADMIN</v>
          </cell>
          <cell r="H515" t="str">
            <v>Administrative coverage</v>
          </cell>
          <cell r="I515"/>
          <cell r="J515"/>
          <cell r="K515"/>
        </row>
        <row r="516">
          <cell r="B516" t="str">
            <v>JOR</v>
          </cell>
          <cell r="C516" t="str">
            <v>Jordan</v>
          </cell>
          <cell r="D516">
            <v>2022</v>
          </cell>
          <cell r="E516" t="str">
            <v>FLU_ALL</v>
          </cell>
          <cell r="F516" t="str">
            <v>Influenza all persons above ≥6 months (universal recommendation)</v>
          </cell>
          <cell r="G516" t="str">
            <v>ADMIN</v>
          </cell>
          <cell r="H516" t="str">
            <v>Administrative coverage</v>
          </cell>
          <cell r="I516"/>
          <cell r="J516"/>
          <cell r="K516"/>
        </row>
        <row r="517">
          <cell r="B517" t="str">
            <v>KAZ</v>
          </cell>
          <cell r="C517" t="str">
            <v>Kazakhstan</v>
          </cell>
          <cell r="D517">
            <v>2022</v>
          </cell>
          <cell r="E517" t="str">
            <v>FLU_ALL</v>
          </cell>
          <cell r="F517" t="str">
            <v>Influenza all persons above ≥6 months (universal recommendation)</v>
          </cell>
          <cell r="G517" t="str">
            <v>ADMIN</v>
          </cell>
          <cell r="H517" t="str">
            <v>Administrative coverage</v>
          </cell>
          <cell r="I517">
            <v>19412638</v>
          </cell>
          <cell r="J517">
            <v>2700817</v>
          </cell>
          <cell r="K517">
            <v>13.91</v>
          </cell>
        </row>
        <row r="518">
          <cell r="B518" t="str">
            <v>KEN</v>
          </cell>
          <cell r="C518" t="str">
            <v>Kenya</v>
          </cell>
          <cell r="D518">
            <v>2022</v>
          </cell>
          <cell r="E518" t="str">
            <v>FLU_ALL</v>
          </cell>
          <cell r="F518" t="str">
            <v>Influenza all persons above ≥6 months (universal recommendation)</v>
          </cell>
          <cell r="G518" t="str">
            <v>ADMIN</v>
          </cell>
          <cell r="H518" t="str">
            <v>Administrative coverage</v>
          </cell>
          <cell r="I518"/>
          <cell r="J518"/>
          <cell r="K518"/>
        </row>
        <row r="519">
          <cell r="B519" t="str">
            <v>KIR</v>
          </cell>
          <cell r="C519" t="str">
            <v>Kiribati</v>
          </cell>
          <cell r="D519">
            <v>2022</v>
          </cell>
          <cell r="E519" t="str">
            <v>FLU_ALL</v>
          </cell>
          <cell r="F519" t="str">
            <v>Influenza all persons above ≥6 months (universal recommendation)</v>
          </cell>
          <cell r="G519" t="str">
            <v>ADMIN</v>
          </cell>
          <cell r="H519" t="str">
            <v>Administrative coverage</v>
          </cell>
          <cell r="I519"/>
          <cell r="J519"/>
          <cell r="K519"/>
        </row>
        <row r="520">
          <cell r="B520" t="str">
            <v>XKX</v>
          </cell>
          <cell r="C520" t="str">
            <v>Kosovo (in accordance with UN Security Council resolution 1244 (1999))</v>
          </cell>
          <cell r="D520">
            <v>2022</v>
          </cell>
          <cell r="E520" t="str">
            <v>FLU_ALL</v>
          </cell>
          <cell r="F520" t="str">
            <v>Influenza all persons above ≥6 months (universal recommendation)</v>
          </cell>
          <cell r="G520" t="str">
            <v>ADMIN</v>
          </cell>
          <cell r="H520" t="str">
            <v>Administrative coverage</v>
          </cell>
          <cell r="I520"/>
          <cell r="J520"/>
          <cell r="K520"/>
        </row>
        <row r="521">
          <cell r="B521" t="str">
            <v>KWT</v>
          </cell>
          <cell r="C521" t="str">
            <v>Kuwait</v>
          </cell>
          <cell r="D521">
            <v>2022</v>
          </cell>
          <cell r="E521" t="str">
            <v>FLU_ALL</v>
          </cell>
          <cell r="F521" t="str">
            <v>Influenza all persons above ≥6 months (universal recommendation)</v>
          </cell>
          <cell r="G521" t="str">
            <v>ADMIN</v>
          </cell>
          <cell r="H521" t="str">
            <v>Administrative coverage</v>
          </cell>
          <cell r="I521"/>
          <cell r="J521"/>
          <cell r="K521"/>
        </row>
        <row r="522">
          <cell r="B522" t="str">
            <v>KGZ</v>
          </cell>
          <cell r="C522" t="str">
            <v>Kyrgyzstan</v>
          </cell>
          <cell r="D522">
            <v>2022</v>
          </cell>
          <cell r="E522" t="str">
            <v>FLU_ALL</v>
          </cell>
          <cell r="F522" t="str">
            <v>Influenza all persons above ≥6 months (universal recommendation)</v>
          </cell>
          <cell r="G522" t="str">
            <v>ADMIN</v>
          </cell>
          <cell r="H522" t="str">
            <v>Administrative coverage</v>
          </cell>
          <cell r="I522"/>
          <cell r="J522"/>
          <cell r="K522"/>
        </row>
        <row r="523">
          <cell r="B523" t="str">
            <v>LAO</v>
          </cell>
          <cell r="C523" t="str">
            <v>Lao People's Democratic Republic</v>
          </cell>
          <cell r="D523">
            <v>2022</v>
          </cell>
          <cell r="E523" t="str">
            <v>FLU_ALL</v>
          </cell>
          <cell r="F523" t="str">
            <v>Influenza all persons above ≥6 months (universal recommendation)</v>
          </cell>
          <cell r="G523" t="str">
            <v>ADMIN</v>
          </cell>
          <cell r="H523" t="str">
            <v>Administrative coverage</v>
          </cell>
          <cell r="I523"/>
          <cell r="J523"/>
          <cell r="K523"/>
        </row>
        <row r="524">
          <cell r="B524" t="str">
            <v>LVA</v>
          </cell>
          <cell r="C524" t="str">
            <v>Latvia</v>
          </cell>
          <cell r="D524">
            <v>2022</v>
          </cell>
          <cell r="E524" t="str">
            <v>FLU_ALL</v>
          </cell>
          <cell r="F524" t="str">
            <v>Influenza all persons above ≥6 months (universal recommendation)</v>
          </cell>
          <cell r="G524" t="str">
            <v>ADMIN</v>
          </cell>
          <cell r="H524" t="str">
            <v>Administrative coverage</v>
          </cell>
          <cell r="I524"/>
          <cell r="J524"/>
          <cell r="K524"/>
        </row>
        <row r="525">
          <cell r="B525" t="str">
            <v>LBN</v>
          </cell>
          <cell r="C525" t="str">
            <v>Lebanon</v>
          </cell>
          <cell r="D525">
            <v>2022</v>
          </cell>
          <cell r="E525" t="str">
            <v>FLU_ALL</v>
          </cell>
          <cell r="F525" t="str">
            <v>Influenza all persons above ≥6 months (universal recommendation)</v>
          </cell>
          <cell r="G525" t="str">
            <v>ADMIN</v>
          </cell>
          <cell r="H525" t="str">
            <v>Administrative coverage</v>
          </cell>
          <cell r="I525"/>
          <cell r="J525"/>
          <cell r="K525"/>
        </row>
        <row r="526">
          <cell r="B526" t="str">
            <v>LSO</v>
          </cell>
          <cell r="C526" t="str">
            <v>Lesotho</v>
          </cell>
          <cell r="D526">
            <v>2022</v>
          </cell>
          <cell r="E526" t="str">
            <v>FLU_ALL</v>
          </cell>
          <cell r="F526" t="str">
            <v>Influenza all persons above ≥6 months (universal recommendation)</v>
          </cell>
          <cell r="G526" t="str">
            <v>ADMIN</v>
          </cell>
          <cell r="H526" t="str">
            <v>Administrative coverage</v>
          </cell>
          <cell r="I526"/>
          <cell r="J526"/>
          <cell r="K526"/>
        </row>
        <row r="527">
          <cell r="B527" t="str">
            <v>LBR</v>
          </cell>
          <cell r="C527" t="str">
            <v>Liberia</v>
          </cell>
          <cell r="D527">
            <v>2022</v>
          </cell>
          <cell r="E527" t="str">
            <v>FLU_ALL</v>
          </cell>
          <cell r="F527" t="str">
            <v>Influenza all persons above ≥6 months (universal recommendation)</v>
          </cell>
          <cell r="G527" t="str">
            <v>ADMIN</v>
          </cell>
          <cell r="H527" t="str">
            <v>Administrative coverage</v>
          </cell>
          <cell r="I527"/>
          <cell r="J527"/>
          <cell r="K527"/>
        </row>
        <row r="528">
          <cell r="B528" t="str">
            <v>LBY</v>
          </cell>
          <cell r="C528" t="str">
            <v>Libya</v>
          </cell>
          <cell r="D528">
            <v>2022</v>
          </cell>
          <cell r="E528" t="str">
            <v>FLU_ALL</v>
          </cell>
          <cell r="F528" t="str">
            <v>Influenza all persons above ≥6 months (universal recommendation)</v>
          </cell>
          <cell r="G528" t="str">
            <v>ADMIN</v>
          </cell>
          <cell r="H528" t="str">
            <v>Administrative coverage</v>
          </cell>
          <cell r="I528"/>
          <cell r="J528"/>
          <cell r="K528"/>
        </row>
        <row r="529">
          <cell r="B529" t="str">
            <v>LTU</v>
          </cell>
          <cell r="C529" t="str">
            <v>Lithuania</v>
          </cell>
          <cell r="D529">
            <v>2022</v>
          </cell>
          <cell r="E529" t="str">
            <v>FLU_ALL</v>
          </cell>
          <cell r="F529" t="str">
            <v>Influenza all persons above ≥6 months (universal recommendation)</v>
          </cell>
          <cell r="G529" t="str">
            <v>ADMIN</v>
          </cell>
          <cell r="H529" t="str">
            <v>Administrative coverage</v>
          </cell>
          <cell r="I529">
            <v>2800839</v>
          </cell>
          <cell r="J529">
            <v>232291</v>
          </cell>
          <cell r="K529">
            <v>8.2899999999999991</v>
          </cell>
        </row>
        <row r="530">
          <cell r="B530" t="str">
            <v>LUX</v>
          </cell>
          <cell r="C530" t="str">
            <v>Luxembourg</v>
          </cell>
          <cell r="D530">
            <v>2022</v>
          </cell>
          <cell r="E530" t="str">
            <v>FLU_ALL</v>
          </cell>
          <cell r="F530" t="str">
            <v>Influenza all persons above ≥6 months (universal recommendation)</v>
          </cell>
          <cell r="G530" t="str">
            <v>ADMIN</v>
          </cell>
          <cell r="H530" t="str">
            <v>Administrative coverage</v>
          </cell>
          <cell r="I530"/>
          <cell r="J530"/>
          <cell r="K530"/>
        </row>
        <row r="531">
          <cell r="B531" t="str">
            <v>MDG</v>
          </cell>
          <cell r="C531" t="str">
            <v>Madagascar</v>
          </cell>
          <cell r="D531">
            <v>2022</v>
          </cell>
          <cell r="E531" t="str">
            <v>FLU_ALL</v>
          </cell>
          <cell r="F531" t="str">
            <v>Influenza all persons above ≥6 months (universal recommendation)</v>
          </cell>
          <cell r="G531" t="str">
            <v>ADMIN</v>
          </cell>
          <cell r="H531" t="str">
            <v>Administrative coverage</v>
          </cell>
          <cell r="I531"/>
          <cell r="J531"/>
          <cell r="K531"/>
        </row>
        <row r="532">
          <cell r="B532" t="str">
            <v>MWI</v>
          </cell>
          <cell r="C532" t="str">
            <v>Malawi</v>
          </cell>
          <cell r="D532">
            <v>2022</v>
          </cell>
          <cell r="E532" t="str">
            <v>FLU_ALL</v>
          </cell>
          <cell r="F532" t="str">
            <v>Influenza all persons above ≥6 months (universal recommendation)</v>
          </cell>
          <cell r="G532" t="str">
            <v>ADMIN</v>
          </cell>
          <cell r="H532" t="str">
            <v>Administrative coverage</v>
          </cell>
          <cell r="I532"/>
          <cell r="J532"/>
          <cell r="K532"/>
        </row>
        <row r="533">
          <cell r="B533" t="str">
            <v>MYS</v>
          </cell>
          <cell r="C533" t="str">
            <v>Malaysia</v>
          </cell>
          <cell r="D533">
            <v>2022</v>
          </cell>
          <cell r="E533" t="str">
            <v>FLU_ALL</v>
          </cell>
          <cell r="F533" t="str">
            <v>Influenza all persons above ≥6 months (universal recommendation)</v>
          </cell>
          <cell r="G533" t="str">
            <v>ADMIN</v>
          </cell>
          <cell r="H533" t="str">
            <v>Administrative coverage</v>
          </cell>
          <cell r="I533"/>
          <cell r="J533"/>
          <cell r="K533"/>
        </row>
        <row r="534">
          <cell r="B534" t="str">
            <v>MDV</v>
          </cell>
          <cell r="C534" t="str">
            <v>Maldives</v>
          </cell>
          <cell r="D534">
            <v>2022</v>
          </cell>
          <cell r="E534" t="str">
            <v>FLU_ALL</v>
          </cell>
          <cell r="F534" t="str">
            <v>Influenza all persons above ≥6 months (universal recommendation)</v>
          </cell>
          <cell r="G534" t="str">
            <v>ADMIN</v>
          </cell>
          <cell r="H534" t="str">
            <v>Administrative coverage</v>
          </cell>
          <cell r="I534"/>
          <cell r="J534"/>
          <cell r="K534"/>
        </row>
        <row r="535">
          <cell r="B535" t="str">
            <v>MLI</v>
          </cell>
          <cell r="C535" t="str">
            <v>Mali</v>
          </cell>
          <cell r="D535">
            <v>2022</v>
          </cell>
          <cell r="E535" t="str">
            <v>FLU_ALL</v>
          </cell>
          <cell r="F535" t="str">
            <v>Influenza all persons above ≥6 months (universal recommendation)</v>
          </cell>
          <cell r="G535" t="str">
            <v>ADMIN</v>
          </cell>
          <cell r="H535" t="str">
            <v>Administrative coverage</v>
          </cell>
          <cell r="I535"/>
          <cell r="J535"/>
          <cell r="K535"/>
        </row>
        <row r="536">
          <cell r="B536" t="str">
            <v>MLT</v>
          </cell>
          <cell r="C536" t="str">
            <v>Malta</v>
          </cell>
          <cell r="D536">
            <v>2022</v>
          </cell>
          <cell r="E536" t="str">
            <v>FLU_ALL</v>
          </cell>
          <cell r="F536" t="str">
            <v>Influenza all persons above ≥6 months (universal recommendation)</v>
          </cell>
          <cell r="G536" t="str">
            <v>ADMIN</v>
          </cell>
          <cell r="H536" t="str">
            <v>Administrative coverage</v>
          </cell>
          <cell r="I536"/>
          <cell r="J536"/>
          <cell r="K536"/>
        </row>
        <row r="537">
          <cell r="B537" t="str">
            <v>MHL</v>
          </cell>
          <cell r="C537" t="str">
            <v>Marshall Islands</v>
          </cell>
          <cell r="D537">
            <v>2022</v>
          </cell>
          <cell r="E537" t="str">
            <v>FLU_ALL</v>
          </cell>
          <cell r="F537" t="str">
            <v>Influenza all persons above ≥6 months (universal recommendation)</v>
          </cell>
          <cell r="G537" t="str">
            <v>ADMIN</v>
          </cell>
          <cell r="H537" t="str">
            <v>Administrative coverage</v>
          </cell>
          <cell r="I537"/>
          <cell r="J537"/>
          <cell r="K537"/>
        </row>
        <row r="538">
          <cell r="B538" t="str">
            <v>MRT</v>
          </cell>
          <cell r="C538" t="str">
            <v>Mauritania</v>
          </cell>
          <cell r="D538">
            <v>2022</v>
          </cell>
          <cell r="E538" t="str">
            <v>FLU_ALL</v>
          </cell>
          <cell r="F538" t="str">
            <v>Influenza all persons above ≥6 months (universal recommendation)</v>
          </cell>
          <cell r="G538" t="str">
            <v>ADMIN</v>
          </cell>
          <cell r="H538" t="str">
            <v>Administrative coverage</v>
          </cell>
          <cell r="I538"/>
          <cell r="J538"/>
          <cell r="K538"/>
        </row>
        <row r="539">
          <cell r="B539" t="str">
            <v>MUS</v>
          </cell>
          <cell r="C539" t="str">
            <v>Mauritius</v>
          </cell>
          <cell r="D539">
            <v>2022</v>
          </cell>
          <cell r="E539" t="str">
            <v>FLU_ALL</v>
          </cell>
          <cell r="F539" t="str">
            <v>Influenza all persons above ≥6 months (universal recommendation)</v>
          </cell>
          <cell r="G539" t="str">
            <v>ADMIN</v>
          </cell>
          <cell r="H539" t="str">
            <v>Administrative coverage</v>
          </cell>
          <cell r="I539"/>
          <cell r="J539"/>
          <cell r="K539"/>
        </row>
        <row r="540">
          <cell r="B540" t="str">
            <v>MEX</v>
          </cell>
          <cell r="C540" t="str">
            <v>Mexico</v>
          </cell>
          <cell r="D540">
            <v>2022</v>
          </cell>
          <cell r="E540" t="str">
            <v>FLU_ALL</v>
          </cell>
          <cell r="F540" t="str">
            <v>Influenza all persons above ≥6 months (universal recommendation)</v>
          </cell>
          <cell r="G540" t="str">
            <v>ADMIN</v>
          </cell>
          <cell r="H540" t="str">
            <v>Administrative coverage</v>
          </cell>
          <cell r="I540"/>
          <cell r="J540"/>
          <cell r="K540"/>
        </row>
        <row r="541">
          <cell r="B541" t="str">
            <v>FSM</v>
          </cell>
          <cell r="C541" t="str">
            <v>Micronesia (Federated States of)</v>
          </cell>
          <cell r="D541">
            <v>2022</v>
          </cell>
          <cell r="E541" t="str">
            <v>FLU_ALL</v>
          </cell>
          <cell r="F541" t="str">
            <v>Influenza all persons above ≥6 months (universal recommendation)</v>
          </cell>
          <cell r="G541" t="str">
            <v>ADMIN</v>
          </cell>
          <cell r="H541" t="str">
            <v>Administrative coverage</v>
          </cell>
          <cell r="I541"/>
          <cell r="J541"/>
          <cell r="K541"/>
        </row>
        <row r="542">
          <cell r="B542" t="str">
            <v>MCO</v>
          </cell>
          <cell r="C542" t="str">
            <v>Monaco</v>
          </cell>
          <cell r="D542">
            <v>2022</v>
          </cell>
          <cell r="E542" t="str">
            <v>FLU_ALL</v>
          </cell>
          <cell r="F542" t="str">
            <v>Influenza all persons above ≥6 months (universal recommendation)</v>
          </cell>
          <cell r="G542" t="str">
            <v>ADMIN</v>
          </cell>
          <cell r="H542" t="str">
            <v>Administrative coverage</v>
          </cell>
          <cell r="I542"/>
          <cell r="J542"/>
          <cell r="K542"/>
        </row>
        <row r="543">
          <cell r="B543" t="str">
            <v>MNG</v>
          </cell>
          <cell r="C543" t="str">
            <v>Mongolia</v>
          </cell>
          <cell r="D543">
            <v>2022</v>
          </cell>
          <cell r="E543" t="str">
            <v>FLU_ALL</v>
          </cell>
          <cell r="F543" t="str">
            <v>Influenza all persons above ≥6 months (universal recommendation)</v>
          </cell>
          <cell r="G543" t="str">
            <v>ADMIN</v>
          </cell>
          <cell r="H543" t="str">
            <v>Administrative coverage</v>
          </cell>
          <cell r="I543"/>
          <cell r="J543"/>
          <cell r="K543"/>
        </row>
        <row r="544">
          <cell r="B544" t="str">
            <v>MNE</v>
          </cell>
          <cell r="C544" t="str">
            <v>Montenegro</v>
          </cell>
          <cell r="D544">
            <v>2022</v>
          </cell>
          <cell r="E544" t="str">
            <v>FLU_ALL</v>
          </cell>
          <cell r="F544" t="str">
            <v>Influenza all persons above ≥6 months (universal recommendation)</v>
          </cell>
          <cell r="G544" t="str">
            <v>ADMIN</v>
          </cell>
          <cell r="H544" t="str">
            <v>Administrative coverage</v>
          </cell>
          <cell r="I544"/>
          <cell r="J544"/>
          <cell r="K544"/>
        </row>
        <row r="545">
          <cell r="B545" t="str">
            <v>MSR</v>
          </cell>
          <cell r="C545" t="str">
            <v>Montserrat</v>
          </cell>
          <cell r="D545">
            <v>2022</v>
          </cell>
          <cell r="E545" t="str">
            <v>FLU_ALL</v>
          </cell>
          <cell r="F545" t="str">
            <v>Influenza all persons above ≥6 months (universal recommendation)</v>
          </cell>
          <cell r="G545" t="str">
            <v>ADMIN</v>
          </cell>
          <cell r="H545" t="str">
            <v>Administrative coverage</v>
          </cell>
          <cell r="I545"/>
          <cell r="J545"/>
          <cell r="K545"/>
        </row>
        <row r="546">
          <cell r="B546" t="str">
            <v>MAR</v>
          </cell>
          <cell r="C546" t="str">
            <v>Morocco</v>
          </cell>
          <cell r="D546">
            <v>2022</v>
          </cell>
          <cell r="E546" t="str">
            <v>FLU_ALL</v>
          </cell>
          <cell r="F546" t="str">
            <v>Influenza all persons above ≥6 months (universal recommendation)</v>
          </cell>
          <cell r="G546" t="str">
            <v>ADMIN</v>
          </cell>
          <cell r="H546" t="str">
            <v>Administrative coverage</v>
          </cell>
          <cell r="I546"/>
          <cell r="J546"/>
          <cell r="K546"/>
        </row>
        <row r="547">
          <cell r="B547" t="str">
            <v>MOZ</v>
          </cell>
          <cell r="C547" t="str">
            <v>Mozambique</v>
          </cell>
          <cell r="D547">
            <v>2022</v>
          </cell>
          <cell r="E547" t="str">
            <v>FLU_ALL</v>
          </cell>
          <cell r="F547" t="str">
            <v>Influenza all persons above ≥6 months (universal recommendation)</v>
          </cell>
          <cell r="G547" t="str">
            <v>ADMIN</v>
          </cell>
          <cell r="H547" t="str">
            <v>Administrative coverage</v>
          </cell>
          <cell r="I547"/>
          <cell r="J547"/>
          <cell r="K547"/>
        </row>
        <row r="548">
          <cell r="B548" t="str">
            <v>MMR</v>
          </cell>
          <cell r="C548" t="str">
            <v>Myanmar</v>
          </cell>
          <cell r="D548">
            <v>2022</v>
          </cell>
          <cell r="E548" t="str">
            <v>FLU_ALL</v>
          </cell>
          <cell r="F548" t="str">
            <v>Influenza all persons above ≥6 months (universal recommendation)</v>
          </cell>
          <cell r="G548" t="str">
            <v>ADMIN</v>
          </cell>
          <cell r="H548" t="str">
            <v>Administrative coverage</v>
          </cell>
          <cell r="I548"/>
          <cell r="J548"/>
          <cell r="K548"/>
        </row>
        <row r="549">
          <cell r="B549" t="str">
            <v>NAM</v>
          </cell>
          <cell r="C549" t="str">
            <v>Namibia</v>
          </cell>
          <cell r="D549">
            <v>2022</v>
          </cell>
          <cell r="E549" t="str">
            <v>FLU_ALL</v>
          </cell>
          <cell r="F549" t="str">
            <v>Influenza all persons above ≥6 months (universal recommendation)</v>
          </cell>
          <cell r="G549" t="str">
            <v>ADMIN</v>
          </cell>
          <cell r="H549" t="str">
            <v>Administrative coverage</v>
          </cell>
          <cell r="I549"/>
          <cell r="J549"/>
          <cell r="K549"/>
        </row>
        <row r="550">
          <cell r="B550" t="str">
            <v>NRU</v>
          </cell>
          <cell r="C550" t="str">
            <v>Nauru</v>
          </cell>
          <cell r="D550">
            <v>2022</v>
          </cell>
          <cell r="E550" t="str">
            <v>FLU_ALL</v>
          </cell>
          <cell r="F550" t="str">
            <v>Influenza all persons above ≥6 months (universal recommendation)</v>
          </cell>
          <cell r="G550" t="str">
            <v>ADMIN</v>
          </cell>
          <cell r="H550" t="str">
            <v>Administrative coverage</v>
          </cell>
          <cell r="I550"/>
          <cell r="J550"/>
          <cell r="K550"/>
        </row>
        <row r="551">
          <cell r="B551" t="str">
            <v>NPL</v>
          </cell>
          <cell r="C551" t="str">
            <v>Nepal</v>
          </cell>
          <cell r="D551">
            <v>2022</v>
          </cell>
          <cell r="E551" t="str">
            <v>FLU_ALL</v>
          </cell>
          <cell r="F551" t="str">
            <v>Influenza all persons above ≥6 months (universal recommendation)</v>
          </cell>
          <cell r="G551" t="str">
            <v>ADMIN</v>
          </cell>
          <cell r="H551" t="str">
            <v>Administrative coverage</v>
          </cell>
          <cell r="I551"/>
          <cell r="J551"/>
          <cell r="K551"/>
        </row>
        <row r="552">
          <cell r="B552" t="str">
            <v>NLD</v>
          </cell>
          <cell r="C552" t="str">
            <v>Netherlands (Kingdom of the)</v>
          </cell>
          <cell r="D552">
            <v>2022</v>
          </cell>
          <cell r="E552" t="str">
            <v>FLU_ALL</v>
          </cell>
          <cell r="F552" t="str">
            <v>Influenza all persons above ≥6 months (universal recommendation)</v>
          </cell>
          <cell r="G552" t="str">
            <v>ADMIN</v>
          </cell>
          <cell r="H552" t="str">
            <v>Administrative coverage</v>
          </cell>
          <cell r="I552"/>
          <cell r="J552"/>
          <cell r="K552"/>
        </row>
        <row r="553">
          <cell r="B553" t="str">
            <v>NCL</v>
          </cell>
          <cell r="C553" t="str">
            <v>New Caledonia</v>
          </cell>
          <cell r="D553">
            <v>2022</v>
          </cell>
          <cell r="E553" t="str">
            <v>FLU_ALL</v>
          </cell>
          <cell r="F553" t="str">
            <v>Influenza all persons above ≥6 months (universal recommendation)</v>
          </cell>
          <cell r="G553" t="str">
            <v>ADMIN</v>
          </cell>
          <cell r="H553" t="str">
            <v>Administrative coverage</v>
          </cell>
          <cell r="I553"/>
          <cell r="J553"/>
          <cell r="K553"/>
        </row>
        <row r="554">
          <cell r="B554" t="str">
            <v>NZL</v>
          </cell>
          <cell r="C554" t="str">
            <v>New Zealand</v>
          </cell>
          <cell r="D554">
            <v>2022</v>
          </cell>
          <cell r="E554" t="str">
            <v>FLU_ALL</v>
          </cell>
          <cell r="F554" t="str">
            <v>Influenza all persons above ≥6 months (universal recommendation)</v>
          </cell>
          <cell r="G554" t="str">
            <v>ADMIN</v>
          </cell>
          <cell r="H554" t="str">
            <v>Administrative coverage</v>
          </cell>
          <cell r="I554">
            <v>5251766</v>
          </cell>
          <cell r="J554">
            <v>1256566</v>
          </cell>
          <cell r="K554">
            <v>23.93</v>
          </cell>
        </row>
        <row r="555">
          <cell r="B555" t="str">
            <v>NIC</v>
          </cell>
          <cell r="C555" t="str">
            <v>Nicaragua</v>
          </cell>
          <cell r="D555">
            <v>2022</v>
          </cell>
          <cell r="E555" t="str">
            <v>FLU_ALL</v>
          </cell>
          <cell r="F555" t="str">
            <v>Influenza all persons above ≥6 months (universal recommendation)</v>
          </cell>
          <cell r="G555" t="str">
            <v>ADMIN</v>
          </cell>
          <cell r="H555" t="str">
            <v>Administrative coverage</v>
          </cell>
          <cell r="I555"/>
          <cell r="J555"/>
          <cell r="K555"/>
        </row>
        <row r="556">
          <cell r="B556" t="str">
            <v>NER</v>
          </cell>
          <cell r="C556" t="str">
            <v>Niger</v>
          </cell>
          <cell r="D556">
            <v>2022</v>
          </cell>
          <cell r="E556" t="str">
            <v>FLU_ALL</v>
          </cell>
          <cell r="F556" t="str">
            <v>Influenza all persons above ≥6 months (universal recommendation)</v>
          </cell>
          <cell r="G556" t="str">
            <v>ADMIN</v>
          </cell>
          <cell r="H556" t="str">
            <v>Administrative coverage</v>
          </cell>
          <cell r="I556"/>
          <cell r="J556"/>
          <cell r="K556"/>
        </row>
        <row r="557">
          <cell r="B557" t="str">
            <v>NGA</v>
          </cell>
          <cell r="C557" t="str">
            <v>Nigeria</v>
          </cell>
          <cell r="D557">
            <v>2022</v>
          </cell>
          <cell r="E557" t="str">
            <v>FLU_ALL</v>
          </cell>
          <cell r="F557" t="str">
            <v>Influenza all persons above ≥6 months (universal recommendation)</v>
          </cell>
          <cell r="G557" t="str">
            <v>ADMIN</v>
          </cell>
          <cell r="H557" t="str">
            <v>Administrative coverage</v>
          </cell>
          <cell r="I557"/>
          <cell r="J557"/>
          <cell r="K557"/>
        </row>
        <row r="558">
          <cell r="B558" t="str">
            <v>NIU</v>
          </cell>
          <cell r="C558" t="str">
            <v>Niue</v>
          </cell>
          <cell r="D558">
            <v>2022</v>
          </cell>
          <cell r="E558" t="str">
            <v>FLU_ALL</v>
          </cell>
          <cell r="F558" t="str">
            <v>Influenza all persons above ≥6 months (universal recommendation)</v>
          </cell>
          <cell r="G558" t="str">
            <v>ADMIN</v>
          </cell>
          <cell r="H558" t="str">
            <v>Administrative coverage</v>
          </cell>
          <cell r="I558"/>
          <cell r="J558"/>
          <cell r="K558"/>
        </row>
        <row r="559">
          <cell r="B559" t="str">
            <v>MKD</v>
          </cell>
          <cell r="C559" t="str">
            <v>North Macedonia</v>
          </cell>
          <cell r="D559">
            <v>2022</v>
          </cell>
          <cell r="E559" t="str">
            <v>FLU_ALL</v>
          </cell>
          <cell r="F559" t="str">
            <v>Influenza all persons above ≥6 months (universal recommendation)</v>
          </cell>
          <cell r="G559" t="str">
            <v>ADMIN</v>
          </cell>
          <cell r="H559" t="str">
            <v>Administrative coverage</v>
          </cell>
          <cell r="I559"/>
          <cell r="J559"/>
          <cell r="K559"/>
        </row>
        <row r="560">
          <cell r="B560" t="str">
            <v>MNP</v>
          </cell>
          <cell r="C560" t="str">
            <v>Northern Mariana Islands</v>
          </cell>
          <cell r="D560">
            <v>2022</v>
          </cell>
          <cell r="E560" t="str">
            <v>FLU_ALL</v>
          </cell>
          <cell r="F560" t="str">
            <v>Influenza all persons above ≥6 months (universal recommendation)</v>
          </cell>
          <cell r="G560" t="str">
            <v>ADMIN</v>
          </cell>
          <cell r="H560" t="str">
            <v>Administrative coverage</v>
          </cell>
          <cell r="I560"/>
          <cell r="J560"/>
          <cell r="K560"/>
        </row>
        <row r="561">
          <cell r="B561" t="str">
            <v>NOR</v>
          </cell>
          <cell r="C561" t="str">
            <v>Norway</v>
          </cell>
          <cell r="D561">
            <v>2022</v>
          </cell>
          <cell r="E561" t="str">
            <v>FLU_ALL</v>
          </cell>
          <cell r="F561" t="str">
            <v>Influenza all persons above ≥6 months (universal recommendation)</v>
          </cell>
          <cell r="G561" t="str">
            <v>ADMIN</v>
          </cell>
          <cell r="H561" t="str">
            <v>Administrative coverage</v>
          </cell>
          <cell r="I561"/>
          <cell r="J561"/>
          <cell r="K561"/>
        </row>
        <row r="562">
          <cell r="B562" t="str">
            <v>PSE</v>
          </cell>
          <cell r="C562" t="str">
            <v>occupied Palestinian territory, including east Jerusalem</v>
          </cell>
          <cell r="D562">
            <v>2022</v>
          </cell>
          <cell r="E562" t="str">
            <v>FLU_ALL</v>
          </cell>
          <cell r="F562" t="str">
            <v>Influenza all persons above ≥6 months (universal recommendation)</v>
          </cell>
          <cell r="G562" t="str">
            <v>ADMIN</v>
          </cell>
          <cell r="H562" t="str">
            <v>Administrative coverage</v>
          </cell>
          <cell r="I562"/>
          <cell r="J562"/>
          <cell r="K562"/>
        </row>
        <row r="563">
          <cell r="B563" t="str">
            <v>OMN</v>
          </cell>
          <cell r="C563" t="str">
            <v>Oman</v>
          </cell>
          <cell r="D563">
            <v>2022</v>
          </cell>
          <cell r="E563" t="str">
            <v>FLU_ALL</v>
          </cell>
          <cell r="F563" t="str">
            <v>Influenza all persons above ≥6 months (universal recommendation)</v>
          </cell>
          <cell r="G563" t="str">
            <v>ADMIN</v>
          </cell>
          <cell r="H563" t="str">
            <v>Administrative coverage</v>
          </cell>
          <cell r="I563"/>
          <cell r="J563"/>
          <cell r="K563"/>
        </row>
        <row r="564">
          <cell r="B564" t="str">
            <v>PAK</v>
          </cell>
          <cell r="C564" t="str">
            <v>Pakistan</v>
          </cell>
          <cell r="D564">
            <v>2022</v>
          </cell>
          <cell r="E564" t="str">
            <v>FLU_ALL</v>
          </cell>
          <cell r="F564" t="str">
            <v>Influenza all persons above ≥6 months (universal recommendation)</v>
          </cell>
          <cell r="G564" t="str">
            <v>ADMIN</v>
          </cell>
          <cell r="H564" t="str">
            <v>Administrative coverage</v>
          </cell>
          <cell r="I564"/>
          <cell r="J564"/>
          <cell r="K564"/>
        </row>
        <row r="565">
          <cell r="B565" t="str">
            <v>PLW</v>
          </cell>
          <cell r="C565" t="str">
            <v>Palau</v>
          </cell>
          <cell r="D565">
            <v>2022</v>
          </cell>
          <cell r="E565" t="str">
            <v>FLU_ALL</v>
          </cell>
          <cell r="F565" t="str">
            <v>Influenza all persons above ≥6 months (universal recommendation)</v>
          </cell>
          <cell r="G565" t="str">
            <v>ADMIN</v>
          </cell>
          <cell r="H565" t="str">
            <v>Administrative coverage</v>
          </cell>
          <cell r="I565"/>
          <cell r="J565"/>
          <cell r="K565"/>
        </row>
        <row r="566">
          <cell r="B566" t="str">
            <v>PAN</v>
          </cell>
          <cell r="C566" t="str">
            <v>Panama</v>
          </cell>
          <cell r="D566">
            <v>2022</v>
          </cell>
          <cell r="E566" t="str">
            <v>FLU_ALL</v>
          </cell>
          <cell r="F566" t="str">
            <v>Influenza all persons above ≥6 months (universal recommendation)</v>
          </cell>
          <cell r="G566" t="str">
            <v>ADMIN</v>
          </cell>
          <cell r="H566" t="str">
            <v>Administrative coverage</v>
          </cell>
          <cell r="I566"/>
          <cell r="J566"/>
          <cell r="K566"/>
        </row>
        <row r="567">
          <cell r="B567" t="str">
            <v>PNG</v>
          </cell>
          <cell r="C567" t="str">
            <v>Papua New Guinea</v>
          </cell>
          <cell r="D567">
            <v>2022</v>
          </cell>
          <cell r="E567" t="str">
            <v>FLU_ALL</v>
          </cell>
          <cell r="F567" t="str">
            <v>Influenza all persons above ≥6 months (universal recommendation)</v>
          </cell>
          <cell r="G567" t="str">
            <v>ADMIN</v>
          </cell>
          <cell r="H567" t="str">
            <v>Administrative coverage</v>
          </cell>
          <cell r="I567"/>
          <cell r="J567"/>
          <cell r="K567"/>
        </row>
        <row r="568">
          <cell r="B568" t="str">
            <v>PRY</v>
          </cell>
          <cell r="C568" t="str">
            <v>Paraguay</v>
          </cell>
          <cell r="D568">
            <v>2022</v>
          </cell>
          <cell r="E568" t="str">
            <v>FLU_ALL</v>
          </cell>
          <cell r="F568" t="str">
            <v>Influenza all persons above ≥6 months (universal recommendation)</v>
          </cell>
          <cell r="G568" t="str">
            <v>ADMIN</v>
          </cell>
          <cell r="H568" t="str">
            <v>Administrative coverage</v>
          </cell>
          <cell r="I568"/>
          <cell r="J568"/>
          <cell r="K568"/>
        </row>
        <row r="569">
          <cell r="B569" t="str">
            <v>PER</v>
          </cell>
          <cell r="C569" t="str">
            <v>Peru</v>
          </cell>
          <cell r="D569">
            <v>2022</v>
          </cell>
          <cell r="E569" t="str">
            <v>FLU_ALL</v>
          </cell>
          <cell r="F569" t="str">
            <v>Influenza all persons above ≥6 months (universal recommendation)</v>
          </cell>
          <cell r="G569" t="str">
            <v>ADMIN</v>
          </cell>
          <cell r="H569" t="str">
            <v>Administrative coverage</v>
          </cell>
          <cell r="I569"/>
          <cell r="J569"/>
          <cell r="K569"/>
        </row>
        <row r="570">
          <cell r="B570" t="str">
            <v>PHL</v>
          </cell>
          <cell r="C570" t="str">
            <v>Philippines</v>
          </cell>
          <cell r="D570">
            <v>2022</v>
          </cell>
          <cell r="E570" t="str">
            <v>FLU_ALL</v>
          </cell>
          <cell r="F570" t="str">
            <v>Influenza all persons above ≥6 months (universal recommendation)</v>
          </cell>
          <cell r="G570" t="str">
            <v>ADMIN</v>
          </cell>
          <cell r="H570" t="str">
            <v>Administrative coverage</v>
          </cell>
          <cell r="I570"/>
          <cell r="J570"/>
          <cell r="K570"/>
        </row>
        <row r="571">
          <cell r="B571" t="str">
            <v>POL</v>
          </cell>
          <cell r="C571" t="str">
            <v>Poland</v>
          </cell>
          <cell r="D571">
            <v>2022</v>
          </cell>
          <cell r="E571" t="str">
            <v>FLU_ALL</v>
          </cell>
          <cell r="F571" t="str">
            <v>Influenza all persons above ≥6 months (universal recommendation)</v>
          </cell>
          <cell r="G571" t="str">
            <v>ADMIN</v>
          </cell>
          <cell r="H571" t="str">
            <v>Administrative coverage</v>
          </cell>
          <cell r="I571"/>
          <cell r="J571"/>
          <cell r="K571"/>
        </row>
        <row r="572">
          <cell r="B572" t="str">
            <v>PRT</v>
          </cell>
          <cell r="C572" t="str">
            <v>Portugal</v>
          </cell>
          <cell r="D572">
            <v>2022</v>
          </cell>
          <cell r="E572" t="str">
            <v>FLU_ALL</v>
          </cell>
          <cell r="F572" t="str">
            <v>Influenza all persons above ≥6 months (universal recommendation)</v>
          </cell>
          <cell r="G572" t="str">
            <v>ADMIN</v>
          </cell>
          <cell r="H572" t="str">
            <v>Administrative coverage</v>
          </cell>
          <cell r="I572"/>
          <cell r="J572"/>
          <cell r="K572"/>
        </row>
        <row r="573">
          <cell r="B573" t="str">
            <v>QAT</v>
          </cell>
          <cell r="C573" t="str">
            <v>Qatar</v>
          </cell>
          <cell r="D573">
            <v>2022</v>
          </cell>
          <cell r="E573" t="str">
            <v>FLU_ALL</v>
          </cell>
          <cell r="F573" t="str">
            <v>Influenza all persons above ≥6 months (universal recommendation)</v>
          </cell>
          <cell r="G573" t="str">
            <v>ADMIN</v>
          </cell>
          <cell r="H573" t="str">
            <v>Administrative coverage</v>
          </cell>
          <cell r="I573"/>
          <cell r="J573"/>
          <cell r="K573"/>
        </row>
        <row r="574">
          <cell r="B574" t="str">
            <v>KOR</v>
          </cell>
          <cell r="C574" t="str">
            <v>Republic of Korea</v>
          </cell>
          <cell r="D574">
            <v>2022</v>
          </cell>
          <cell r="E574" t="str">
            <v>FLU_ALL</v>
          </cell>
          <cell r="F574" t="str">
            <v>Influenza all persons above ≥6 months (universal recommendation)</v>
          </cell>
          <cell r="G574" t="str">
            <v>ADMIN</v>
          </cell>
          <cell r="H574" t="str">
            <v>Administrative coverage</v>
          </cell>
          <cell r="I574"/>
          <cell r="J574"/>
          <cell r="K574"/>
        </row>
        <row r="575">
          <cell r="B575" t="str">
            <v>MDA</v>
          </cell>
          <cell r="C575" t="str">
            <v>Republic of Moldova</v>
          </cell>
          <cell r="D575">
            <v>2022</v>
          </cell>
          <cell r="E575" t="str">
            <v>FLU_ALL</v>
          </cell>
          <cell r="F575" t="str">
            <v>Influenza all persons above ≥6 months (universal recommendation)</v>
          </cell>
          <cell r="G575" t="str">
            <v>ADMIN</v>
          </cell>
          <cell r="H575" t="str">
            <v>Administrative coverage</v>
          </cell>
          <cell r="I575"/>
          <cell r="J575"/>
          <cell r="K575"/>
        </row>
        <row r="576">
          <cell r="B576" t="str">
            <v>ROU</v>
          </cell>
          <cell r="C576" t="str">
            <v>Romania</v>
          </cell>
          <cell r="D576">
            <v>2022</v>
          </cell>
          <cell r="E576" t="str">
            <v>FLU_ALL</v>
          </cell>
          <cell r="F576" t="str">
            <v>Influenza all persons above ≥6 months (universal recommendation)</v>
          </cell>
          <cell r="G576" t="str">
            <v>ADMIN</v>
          </cell>
          <cell r="H576" t="str">
            <v>Administrative coverage</v>
          </cell>
          <cell r="I576"/>
          <cell r="J576"/>
          <cell r="K576"/>
        </row>
        <row r="577">
          <cell r="B577" t="str">
            <v>RUS</v>
          </cell>
          <cell r="C577" t="str">
            <v>Russian Federation</v>
          </cell>
          <cell r="D577">
            <v>2022</v>
          </cell>
          <cell r="E577" t="str">
            <v>FLU_ALL</v>
          </cell>
          <cell r="F577" t="str">
            <v>Influenza all persons above ≥6 months (universal recommendation)</v>
          </cell>
          <cell r="G577" t="str">
            <v>ADMIN</v>
          </cell>
          <cell r="H577" t="str">
            <v>Administrative coverage</v>
          </cell>
          <cell r="I577"/>
          <cell r="J577"/>
          <cell r="K577"/>
        </row>
        <row r="578">
          <cell r="B578" t="str">
            <v>RWA</v>
          </cell>
          <cell r="C578" t="str">
            <v>Rwanda</v>
          </cell>
          <cell r="D578">
            <v>2022</v>
          </cell>
          <cell r="E578" t="str">
            <v>FLU_ALL</v>
          </cell>
          <cell r="F578" t="str">
            <v>Influenza all persons above ≥6 months (universal recommendation)</v>
          </cell>
          <cell r="G578" t="str">
            <v>ADMIN</v>
          </cell>
          <cell r="H578" t="str">
            <v>Administrative coverage</v>
          </cell>
          <cell r="I578"/>
          <cell r="J578"/>
          <cell r="K578"/>
        </row>
        <row r="579">
          <cell r="B579" t="str">
            <v>KNA</v>
          </cell>
          <cell r="C579" t="str">
            <v>Saint Kitts and Nevis</v>
          </cell>
          <cell r="D579">
            <v>2022</v>
          </cell>
          <cell r="E579" t="str">
            <v>FLU_ALL</v>
          </cell>
          <cell r="F579" t="str">
            <v>Influenza all persons above ≥6 months (universal recommendation)</v>
          </cell>
          <cell r="G579" t="str">
            <v>ADMIN</v>
          </cell>
          <cell r="H579" t="str">
            <v>Administrative coverage</v>
          </cell>
          <cell r="I579"/>
          <cell r="J579"/>
          <cell r="K579"/>
        </row>
        <row r="580">
          <cell r="B580" t="str">
            <v>LCA</v>
          </cell>
          <cell r="C580" t="str">
            <v>Saint Lucia</v>
          </cell>
          <cell r="D580">
            <v>2022</v>
          </cell>
          <cell r="E580" t="str">
            <v>FLU_ALL</v>
          </cell>
          <cell r="F580" t="str">
            <v>Influenza all persons above ≥6 months (universal recommendation)</v>
          </cell>
          <cell r="G580" t="str">
            <v>ADMIN</v>
          </cell>
          <cell r="H580" t="str">
            <v>Administrative coverage</v>
          </cell>
          <cell r="I580"/>
          <cell r="J580"/>
          <cell r="K580"/>
        </row>
        <row r="581">
          <cell r="B581" t="str">
            <v>VCT</v>
          </cell>
          <cell r="C581" t="str">
            <v>Saint Vincent and the Grenadines</v>
          </cell>
          <cell r="D581">
            <v>2022</v>
          </cell>
          <cell r="E581" t="str">
            <v>FLU_ALL</v>
          </cell>
          <cell r="F581" t="str">
            <v>Influenza all persons above ≥6 months (universal recommendation)</v>
          </cell>
          <cell r="G581" t="str">
            <v>ADMIN</v>
          </cell>
          <cell r="H581" t="str">
            <v>Administrative coverage</v>
          </cell>
          <cell r="I581"/>
          <cell r="J581"/>
          <cell r="K581"/>
        </row>
        <row r="582">
          <cell r="B582" t="str">
            <v>WSM</v>
          </cell>
          <cell r="C582" t="str">
            <v>Samoa</v>
          </cell>
          <cell r="D582">
            <v>2022</v>
          </cell>
          <cell r="E582" t="str">
            <v>FLU_ALL</v>
          </cell>
          <cell r="F582" t="str">
            <v>Influenza all persons above ≥6 months (universal recommendation)</v>
          </cell>
          <cell r="G582" t="str">
            <v>ADMIN</v>
          </cell>
          <cell r="H582" t="str">
            <v>Administrative coverage</v>
          </cell>
          <cell r="I582"/>
          <cell r="J582"/>
          <cell r="K582"/>
        </row>
        <row r="583">
          <cell r="B583" t="str">
            <v>SMR</v>
          </cell>
          <cell r="C583" t="str">
            <v>San Marino</v>
          </cell>
          <cell r="D583">
            <v>2022</v>
          </cell>
          <cell r="E583" t="str">
            <v>FLU_ALL</v>
          </cell>
          <cell r="F583" t="str">
            <v>Influenza all persons above ≥6 months (universal recommendation)</v>
          </cell>
          <cell r="G583" t="str">
            <v>ADMIN</v>
          </cell>
          <cell r="H583" t="str">
            <v>Administrative coverage</v>
          </cell>
          <cell r="I583"/>
          <cell r="J583"/>
          <cell r="K583"/>
        </row>
        <row r="584">
          <cell r="B584" t="str">
            <v>SAU</v>
          </cell>
          <cell r="C584" t="str">
            <v>Saudi Arabia</v>
          </cell>
          <cell r="D584">
            <v>2022</v>
          </cell>
          <cell r="E584" t="str">
            <v>FLU_ALL</v>
          </cell>
          <cell r="F584" t="str">
            <v>Influenza all persons above ≥6 months (universal recommendation)</v>
          </cell>
          <cell r="G584" t="str">
            <v>ADMIN</v>
          </cell>
          <cell r="H584" t="str">
            <v>Administrative coverage</v>
          </cell>
          <cell r="I584">
            <v>34212810</v>
          </cell>
          <cell r="J584">
            <v>3120453</v>
          </cell>
          <cell r="K584">
            <v>9.1199999999999992</v>
          </cell>
        </row>
        <row r="585">
          <cell r="B585" t="str">
            <v>SEN</v>
          </cell>
          <cell r="C585" t="str">
            <v>Senegal</v>
          </cell>
          <cell r="D585">
            <v>2022</v>
          </cell>
          <cell r="E585" t="str">
            <v>FLU_ALL</v>
          </cell>
          <cell r="F585" t="str">
            <v>Influenza all persons above ≥6 months (universal recommendation)</v>
          </cell>
          <cell r="G585" t="str">
            <v>ADMIN</v>
          </cell>
          <cell r="H585" t="str">
            <v>Administrative coverage</v>
          </cell>
          <cell r="I585"/>
          <cell r="J585"/>
          <cell r="K585"/>
        </row>
        <row r="586">
          <cell r="B586" t="str">
            <v>SRB</v>
          </cell>
          <cell r="C586" t="str">
            <v>Serbia</v>
          </cell>
          <cell r="D586">
            <v>2022</v>
          </cell>
          <cell r="E586" t="str">
            <v>FLU_ALL</v>
          </cell>
          <cell r="F586" t="str">
            <v>Influenza all persons above ≥6 months (universal recommendation)</v>
          </cell>
          <cell r="G586" t="str">
            <v>ADMIN</v>
          </cell>
          <cell r="H586" t="str">
            <v>Administrative coverage</v>
          </cell>
          <cell r="I586"/>
          <cell r="J586"/>
          <cell r="K586"/>
        </row>
        <row r="587">
          <cell r="B587" t="str">
            <v>SYC</v>
          </cell>
          <cell r="C587" t="str">
            <v>Seychelles</v>
          </cell>
          <cell r="D587">
            <v>2022</v>
          </cell>
          <cell r="E587" t="str">
            <v>FLU_ALL</v>
          </cell>
          <cell r="F587" t="str">
            <v>Influenza all persons above ≥6 months (universal recommendation)</v>
          </cell>
          <cell r="G587" t="str">
            <v>ADMIN</v>
          </cell>
          <cell r="H587" t="str">
            <v>Administrative coverage</v>
          </cell>
          <cell r="I587"/>
          <cell r="J587"/>
          <cell r="K587"/>
        </row>
        <row r="588">
          <cell r="B588" t="str">
            <v>SLE</v>
          </cell>
          <cell r="C588" t="str">
            <v>Sierra Leone</v>
          </cell>
          <cell r="D588">
            <v>2022</v>
          </cell>
          <cell r="E588" t="str">
            <v>FLU_ALL</v>
          </cell>
          <cell r="F588" t="str">
            <v>Influenza all persons above ≥6 months (universal recommendation)</v>
          </cell>
          <cell r="G588" t="str">
            <v>ADMIN</v>
          </cell>
          <cell r="H588" t="str">
            <v>Administrative coverage</v>
          </cell>
          <cell r="I588"/>
          <cell r="J588"/>
          <cell r="K588"/>
        </row>
        <row r="589">
          <cell r="B589" t="str">
            <v>SGP</v>
          </cell>
          <cell r="C589" t="str">
            <v>Singapore</v>
          </cell>
          <cell r="D589">
            <v>2022</v>
          </cell>
          <cell r="E589" t="str">
            <v>FLU_ALL</v>
          </cell>
          <cell r="F589" t="str">
            <v>Influenza all persons above ≥6 months (universal recommendation)</v>
          </cell>
          <cell r="G589" t="str">
            <v>ADMIN</v>
          </cell>
          <cell r="H589" t="str">
            <v>Administrative coverage</v>
          </cell>
          <cell r="I589"/>
          <cell r="J589"/>
          <cell r="K589"/>
        </row>
        <row r="590">
          <cell r="B590" t="str">
            <v>SVK</v>
          </cell>
          <cell r="C590" t="str">
            <v>Slovakia</v>
          </cell>
          <cell r="D590">
            <v>2022</v>
          </cell>
          <cell r="E590" t="str">
            <v>FLU_ALL</v>
          </cell>
          <cell r="F590" t="str">
            <v>Influenza all persons above ≥6 months (universal recommendation)</v>
          </cell>
          <cell r="G590" t="str">
            <v>ADMIN</v>
          </cell>
          <cell r="H590" t="str">
            <v>Administrative coverage</v>
          </cell>
          <cell r="I590">
            <v>5434712</v>
          </cell>
          <cell r="J590">
            <v>325820</v>
          </cell>
          <cell r="K590">
            <v>6</v>
          </cell>
        </row>
        <row r="591">
          <cell r="B591" t="str">
            <v>SVN</v>
          </cell>
          <cell r="C591" t="str">
            <v>Slovenia</v>
          </cell>
          <cell r="D591">
            <v>2022</v>
          </cell>
          <cell r="E591" t="str">
            <v>FLU_ALL</v>
          </cell>
          <cell r="F591" t="str">
            <v>Influenza all persons above ≥6 months (universal recommendation)</v>
          </cell>
          <cell r="G591" t="str">
            <v>ADMIN</v>
          </cell>
          <cell r="H591" t="str">
            <v>Administrative coverage</v>
          </cell>
          <cell r="I591"/>
          <cell r="J591"/>
          <cell r="K591"/>
        </row>
        <row r="592">
          <cell r="B592" t="str">
            <v>SLB</v>
          </cell>
          <cell r="C592" t="str">
            <v>Solomon Islands</v>
          </cell>
          <cell r="D592">
            <v>2022</v>
          </cell>
          <cell r="E592" t="str">
            <v>FLU_ALL</v>
          </cell>
          <cell r="F592" t="str">
            <v>Influenza all persons above ≥6 months (universal recommendation)</v>
          </cell>
          <cell r="G592" t="str">
            <v>ADMIN</v>
          </cell>
          <cell r="H592" t="str">
            <v>Administrative coverage</v>
          </cell>
          <cell r="I592"/>
          <cell r="J592"/>
          <cell r="K592"/>
        </row>
        <row r="593">
          <cell r="B593" t="str">
            <v>SOM</v>
          </cell>
          <cell r="C593" t="str">
            <v>Somalia</v>
          </cell>
          <cell r="D593">
            <v>2022</v>
          </cell>
          <cell r="E593" t="str">
            <v>FLU_ALL</v>
          </cell>
          <cell r="F593" t="str">
            <v>Influenza all persons above ≥6 months (universal recommendation)</v>
          </cell>
          <cell r="G593" t="str">
            <v>ADMIN</v>
          </cell>
          <cell r="H593" t="str">
            <v>Administrative coverage</v>
          </cell>
          <cell r="I593"/>
          <cell r="J593"/>
          <cell r="K593"/>
        </row>
        <row r="594">
          <cell r="B594" t="str">
            <v>ZAF</v>
          </cell>
          <cell r="C594" t="str">
            <v>South Africa</v>
          </cell>
          <cell r="D594">
            <v>2022</v>
          </cell>
          <cell r="E594" t="str">
            <v>FLU_ALL</v>
          </cell>
          <cell r="F594" t="str">
            <v>Influenza all persons above ≥6 months (universal recommendation)</v>
          </cell>
          <cell r="G594" t="str">
            <v>ADMIN</v>
          </cell>
          <cell r="H594" t="str">
            <v>Administrative coverage</v>
          </cell>
          <cell r="I594"/>
          <cell r="J594"/>
          <cell r="K594"/>
        </row>
        <row r="595">
          <cell r="B595" t="str">
            <v>SSD</v>
          </cell>
          <cell r="C595" t="str">
            <v>South Sudan</v>
          </cell>
          <cell r="D595">
            <v>2022</v>
          </cell>
          <cell r="E595" t="str">
            <v>FLU_ALL</v>
          </cell>
          <cell r="F595" t="str">
            <v>Influenza all persons above ≥6 months (universal recommendation)</v>
          </cell>
          <cell r="G595" t="str">
            <v>ADMIN</v>
          </cell>
          <cell r="H595" t="str">
            <v>Administrative coverage</v>
          </cell>
          <cell r="I595"/>
          <cell r="J595"/>
          <cell r="K595"/>
        </row>
        <row r="596">
          <cell r="B596" t="str">
            <v>ESP</v>
          </cell>
          <cell r="C596" t="str">
            <v>Spain</v>
          </cell>
          <cell r="D596">
            <v>2022</v>
          </cell>
          <cell r="E596" t="str">
            <v>FLU_ALL</v>
          </cell>
          <cell r="F596" t="str">
            <v>Influenza all persons above ≥6 months (universal recommendation)</v>
          </cell>
          <cell r="G596" t="str">
            <v>ADMIN</v>
          </cell>
          <cell r="H596" t="str">
            <v>Administrative coverage</v>
          </cell>
          <cell r="I596"/>
          <cell r="J596"/>
          <cell r="K596"/>
        </row>
        <row r="597">
          <cell r="B597" t="str">
            <v>LKA</v>
          </cell>
          <cell r="C597" t="str">
            <v>Sri Lanka</v>
          </cell>
          <cell r="D597">
            <v>2022</v>
          </cell>
          <cell r="E597" t="str">
            <v>FLU_ALL</v>
          </cell>
          <cell r="F597" t="str">
            <v>Influenza all persons above ≥6 months (universal recommendation)</v>
          </cell>
          <cell r="G597" t="str">
            <v>ADMIN</v>
          </cell>
          <cell r="H597" t="str">
            <v>Administrative coverage</v>
          </cell>
          <cell r="I597"/>
          <cell r="J597"/>
          <cell r="K597"/>
        </row>
        <row r="598">
          <cell r="B598" t="str">
            <v>SDN</v>
          </cell>
          <cell r="C598" t="str">
            <v>Sudan</v>
          </cell>
          <cell r="D598">
            <v>2022</v>
          </cell>
          <cell r="E598" t="str">
            <v>FLU_ALL</v>
          </cell>
          <cell r="F598" t="str">
            <v>Influenza all persons above ≥6 months (universal recommendation)</v>
          </cell>
          <cell r="G598" t="str">
            <v>ADMIN</v>
          </cell>
          <cell r="H598" t="str">
            <v>Administrative coverage</v>
          </cell>
          <cell r="I598"/>
          <cell r="J598"/>
          <cell r="K598"/>
        </row>
        <row r="599">
          <cell r="B599" t="str">
            <v>SUR</v>
          </cell>
          <cell r="C599" t="str">
            <v>Suriname</v>
          </cell>
          <cell r="D599">
            <v>2022</v>
          </cell>
          <cell r="E599" t="str">
            <v>FLU_ALL</v>
          </cell>
          <cell r="F599" t="str">
            <v>Influenza all persons above ≥6 months (universal recommendation)</v>
          </cell>
          <cell r="G599" t="str">
            <v>ADMIN</v>
          </cell>
          <cell r="H599" t="str">
            <v>Administrative coverage</v>
          </cell>
          <cell r="I599"/>
          <cell r="J599"/>
          <cell r="K599"/>
        </row>
        <row r="600">
          <cell r="B600" t="str">
            <v>SWE</v>
          </cell>
          <cell r="C600" t="str">
            <v>Sweden</v>
          </cell>
          <cell r="D600">
            <v>2022</v>
          </cell>
          <cell r="E600" t="str">
            <v>FLU_ALL</v>
          </cell>
          <cell r="F600" t="str">
            <v>Influenza all persons above ≥6 months (universal recommendation)</v>
          </cell>
          <cell r="G600" t="str">
            <v>ADMIN</v>
          </cell>
          <cell r="H600" t="str">
            <v>Administrative coverage</v>
          </cell>
          <cell r="I600"/>
          <cell r="J600"/>
          <cell r="K600"/>
        </row>
        <row r="601">
          <cell r="B601" t="str">
            <v>CHE</v>
          </cell>
          <cell r="C601" t="str">
            <v>Switzerland</v>
          </cell>
          <cell r="D601">
            <v>2022</v>
          </cell>
          <cell r="E601" t="str">
            <v>FLU_ALL</v>
          </cell>
          <cell r="F601" t="str">
            <v>Influenza all persons above ≥6 months (universal recommendation)</v>
          </cell>
          <cell r="G601" t="str">
            <v>ADMIN</v>
          </cell>
          <cell r="H601" t="str">
            <v>Administrative coverage</v>
          </cell>
          <cell r="I601"/>
          <cell r="J601"/>
          <cell r="K601"/>
        </row>
        <row r="602">
          <cell r="B602" t="str">
            <v>SYR</v>
          </cell>
          <cell r="C602" t="str">
            <v>Syrian Arab Republic</v>
          </cell>
          <cell r="D602">
            <v>2022</v>
          </cell>
          <cell r="E602" t="str">
            <v>FLU_ALL</v>
          </cell>
          <cell r="F602" t="str">
            <v>Influenza all persons above ≥6 months (universal recommendation)</v>
          </cell>
          <cell r="G602" t="str">
            <v>ADMIN</v>
          </cell>
          <cell r="H602" t="str">
            <v>Administrative coverage</v>
          </cell>
          <cell r="I602"/>
          <cell r="J602"/>
          <cell r="K602"/>
        </row>
        <row r="603">
          <cell r="B603" t="str">
            <v>TJK</v>
          </cell>
          <cell r="C603" t="str">
            <v>Tajikistan</v>
          </cell>
          <cell r="D603">
            <v>2022</v>
          </cell>
          <cell r="E603" t="str">
            <v>FLU_ALL</v>
          </cell>
          <cell r="F603" t="str">
            <v>Influenza all persons above ≥6 months (universal recommendation)</v>
          </cell>
          <cell r="G603" t="str">
            <v>ADMIN</v>
          </cell>
          <cell r="H603" t="str">
            <v>Administrative coverage</v>
          </cell>
          <cell r="I603"/>
          <cell r="J603"/>
          <cell r="K603"/>
        </row>
        <row r="604">
          <cell r="B604" t="str">
            <v>THA</v>
          </cell>
          <cell r="C604" t="str">
            <v>Thailand</v>
          </cell>
          <cell r="D604">
            <v>2022</v>
          </cell>
          <cell r="E604" t="str">
            <v>FLU_ALL</v>
          </cell>
          <cell r="F604" t="str">
            <v>Influenza all persons above ≥6 months (universal recommendation)</v>
          </cell>
          <cell r="G604" t="str">
            <v>ADMIN</v>
          </cell>
          <cell r="H604" t="str">
            <v>Administrative coverage</v>
          </cell>
          <cell r="I604"/>
          <cell r="J604"/>
          <cell r="K604"/>
        </row>
        <row r="605">
          <cell r="B605" t="str">
            <v>TLS</v>
          </cell>
          <cell r="C605" t="str">
            <v>Timor-Leste</v>
          </cell>
          <cell r="D605">
            <v>2022</v>
          </cell>
          <cell r="E605" t="str">
            <v>FLU_ALL</v>
          </cell>
          <cell r="F605" t="str">
            <v>Influenza all persons above ≥6 months (universal recommendation)</v>
          </cell>
          <cell r="G605" t="str">
            <v>ADMIN</v>
          </cell>
          <cell r="H605" t="str">
            <v>Administrative coverage</v>
          </cell>
          <cell r="I605"/>
          <cell r="J605"/>
          <cell r="K605"/>
        </row>
        <row r="606">
          <cell r="B606" t="str">
            <v>TGO</v>
          </cell>
          <cell r="C606" t="str">
            <v>Togo</v>
          </cell>
          <cell r="D606">
            <v>2022</v>
          </cell>
          <cell r="E606" t="str">
            <v>FLU_ALL</v>
          </cell>
          <cell r="F606" t="str">
            <v>Influenza all persons above ≥6 months (universal recommendation)</v>
          </cell>
          <cell r="G606" t="str">
            <v>ADMIN</v>
          </cell>
          <cell r="H606" t="str">
            <v>Administrative coverage</v>
          </cell>
          <cell r="I606"/>
          <cell r="J606"/>
          <cell r="K606"/>
        </row>
        <row r="607">
          <cell r="B607" t="str">
            <v>TKL</v>
          </cell>
          <cell r="C607" t="str">
            <v>Tokelau</v>
          </cell>
          <cell r="D607">
            <v>2022</v>
          </cell>
          <cell r="E607" t="str">
            <v>FLU_ALL</v>
          </cell>
          <cell r="F607" t="str">
            <v>Influenza all persons above ≥6 months (universal recommendation)</v>
          </cell>
          <cell r="G607" t="str">
            <v>ADMIN</v>
          </cell>
          <cell r="H607" t="str">
            <v>Administrative coverage</v>
          </cell>
          <cell r="I607"/>
          <cell r="J607"/>
          <cell r="K607"/>
        </row>
        <row r="608">
          <cell r="B608" t="str">
            <v>TON</v>
          </cell>
          <cell r="C608" t="str">
            <v>Tonga</v>
          </cell>
          <cell r="D608">
            <v>2022</v>
          </cell>
          <cell r="E608" t="str">
            <v>FLU_ALL</v>
          </cell>
          <cell r="F608" t="str">
            <v>Influenza all persons above ≥6 months (universal recommendation)</v>
          </cell>
          <cell r="G608" t="str">
            <v>ADMIN</v>
          </cell>
          <cell r="H608" t="str">
            <v>Administrative coverage</v>
          </cell>
          <cell r="I608"/>
          <cell r="J608"/>
          <cell r="K608"/>
        </row>
        <row r="609">
          <cell r="B609" t="str">
            <v>TTO</v>
          </cell>
          <cell r="C609" t="str">
            <v>Trinidad and Tobago</v>
          </cell>
          <cell r="D609">
            <v>2022</v>
          </cell>
          <cell r="E609" t="str">
            <v>FLU_ALL</v>
          </cell>
          <cell r="F609" t="str">
            <v>Influenza all persons above ≥6 months (universal recommendation)</v>
          </cell>
          <cell r="G609" t="str">
            <v>ADMIN</v>
          </cell>
          <cell r="H609" t="str">
            <v>Administrative coverage</v>
          </cell>
          <cell r="I609"/>
          <cell r="J609"/>
          <cell r="K609"/>
        </row>
        <row r="610">
          <cell r="B610" t="str">
            <v>TUN</v>
          </cell>
          <cell r="C610" t="str">
            <v>Tunisia</v>
          </cell>
          <cell r="D610">
            <v>2022</v>
          </cell>
          <cell r="E610" t="str">
            <v>FLU_ALL</v>
          </cell>
          <cell r="F610" t="str">
            <v>Influenza all persons above ≥6 months (universal recommendation)</v>
          </cell>
          <cell r="G610" t="str">
            <v>ADMIN</v>
          </cell>
          <cell r="H610" t="str">
            <v>Administrative coverage</v>
          </cell>
          <cell r="I610"/>
          <cell r="J610"/>
          <cell r="K610"/>
        </row>
        <row r="611">
          <cell r="B611" t="str">
            <v>TUR</v>
          </cell>
          <cell r="C611" t="str">
            <v>Türkiye</v>
          </cell>
          <cell r="D611">
            <v>2022</v>
          </cell>
          <cell r="E611" t="str">
            <v>FLU_ALL</v>
          </cell>
          <cell r="F611" t="str">
            <v>Influenza all persons above ≥6 months (universal recommendation)</v>
          </cell>
          <cell r="G611" t="str">
            <v>ADMIN</v>
          </cell>
          <cell r="H611" t="str">
            <v>Administrative coverage</v>
          </cell>
          <cell r="I611"/>
          <cell r="J611"/>
          <cell r="K611"/>
        </row>
        <row r="612">
          <cell r="B612" t="str">
            <v>TKM</v>
          </cell>
          <cell r="C612" t="str">
            <v>Turkmenistan</v>
          </cell>
          <cell r="D612">
            <v>2022</v>
          </cell>
          <cell r="E612" t="str">
            <v>FLU_ALL</v>
          </cell>
          <cell r="F612" t="str">
            <v>Influenza all persons above ≥6 months (universal recommendation)</v>
          </cell>
          <cell r="G612" t="str">
            <v>ADMIN</v>
          </cell>
          <cell r="H612" t="str">
            <v>Administrative coverage</v>
          </cell>
          <cell r="I612"/>
          <cell r="J612">
            <v>39161</v>
          </cell>
          <cell r="K612"/>
        </row>
        <row r="613">
          <cell r="B613" t="str">
            <v>TCA</v>
          </cell>
          <cell r="C613" t="str">
            <v>Turks and Caicos Islands</v>
          </cell>
          <cell r="D613">
            <v>2022</v>
          </cell>
          <cell r="E613" t="str">
            <v>FLU_ALL</v>
          </cell>
          <cell r="F613" t="str">
            <v>Influenza all persons above ≥6 months (universal recommendation)</v>
          </cell>
          <cell r="G613" t="str">
            <v>ADMIN</v>
          </cell>
          <cell r="H613" t="str">
            <v>Administrative coverage</v>
          </cell>
          <cell r="I613"/>
          <cell r="J613"/>
          <cell r="K613"/>
        </row>
        <row r="614">
          <cell r="B614" t="str">
            <v>TUV</v>
          </cell>
          <cell r="C614" t="str">
            <v>Tuvalu</v>
          </cell>
          <cell r="D614">
            <v>2022</v>
          </cell>
          <cell r="E614" t="str">
            <v>FLU_ALL</v>
          </cell>
          <cell r="F614" t="str">
            <v>Influenza all persons above ≥6 months (universal recommendation)</v>
          </cell>
          <cell r="G614" t="str">
            <v>ADMIN</v>
          </cell>
          <cell r="H614" t="str">
            <v>Administrative coverage</v>
          </cell>
          <cell r="I614"/>
          <cell r="J614"/>
          <cell r="K614"/>
        </row>
        <row r="615">
          <cell r="B615" t="str">
            <v>UGA</v>
          </cell>
          <cell r="C615" t="str">
            <v>Uganda</v>
          </cell>
          <cell r="D615">
            <v>2022</v>
          </cell>
          <cell r="E615" t="str">
            <v>FLU_ALL</v>
          </cell>
          <cell r="F615" t="str">
            <v>Influenza all persons above ≥6 months (universal recommendation)</v>
          </cell>
          <cell r="G615" t="str">
            <v>ADMIN</v>
          </cell>
          <cell r="H615" t="str">
            <v>Administrative coverage</v>
          </cell>
          <cell r="I615"/>
          <cell r="J615"/>
          <cell r="K615"/>
        </row>
        <row r="616">
          <cell r="B616" t="str">
            <v>UKR</v>
          </cell>
          <cell r="C616" t="str">
            <v>Ukraine</v>
          </cell>
          <cell r="D616">
            <v>2022</v>
          </cell>
          <cell r="E616" t="str">
            <v>FLU_ALL</v>
          </cell>
          <cell r="F616" t="str">
            <v>Influenza all persons above ≥6 months (universal recommendation)</v>
          </cell>
          <cell r="G616" t="str">
            <v>ADMIN</v>
          </cell>
          <cell r="H616" t="str">
            <v>Administrative coverage</v>
          </cell>
          <cell r="I616">
            <v>28244390</v>
          </cell>
          <cell r="J616">
            <v>68676</v>
          </cell>
          <cell r="K616">
            <v>0.24</v>
          </cell>
        </row>
        <row r="617">
          <cell r="B617" t="str">
            <v>ARE</v>
          </cell>
          <cell r="C617" t="str">
            <v>United Arab Emirates</v>
          </cell>
          <cell r="D617">
            <v>2022</v>
          </cell>
          <cell r="E617" t="str">
            <v>FLU_ALL</v>
          </cell>
          <cell r="F617" t="str">
            <v>Influenza all persons above ≥6 months (universal recommendation)</v>
          </cell>
          <cell r="G617" t="str">
            <v>ADMIN</v>
          </cell>
          <cell r="H617" t="str">
            <v>Administrative coverage</v>
          </cell>
          <cell r="I617"/>
          <cell r="J617"/>
          <cell r="K617"/>
        </row>
        <row r="618">
          <cell r="B618" t="str">
            <v>GBR</v>
          </cell>
          <cell r="C618" t="str">
            <v>United Kingdom of Great Britain and Northern Ireland</v>
          </cell>
          <cell r="D618">
            <v>2022</v>
          </cell>
          <cell r="E618" t="str">
            <v>FLU_ALL</v>
          </cell>
          <cell r="F618" t="str">
            <v>Influenza all persons above ≥6 months (universal recommendation)</v>
          </cell>
          <cell r="G618" t="str">
            <v>ADMIN</v>
          </cell>
          <cell r="H618" t="str">
            <v>Administrative coverage</v>
          </cell>
          <cell r="I618"/>
          <cell r="J618"/>
          <cell r="K618"/>
        </row>
        <row r="619">
          <cell r="B619" t="str">
            <v>TZA</v>
          </cell>
          <cell r="C619" t="str">
            <v>United Republic of Tanzania</v>
          </cell>
          <cell r="D619">
            <v>2022</v>
          </cell>
          <cell r="E619" t="str">
            <v>FLU_ALL</v>
          </cell>
          <cell r="F619" t="str">
            <v>Influenza all persons above ≥6 months (universal recommendation)</v>
          </cell>
          <cell r="G619" t="str">
            <v>ADMIN</v>
          </cell>
          <cell r="H619" t="str">
            <v>Administrative coverage</v>
          </cell>
          <cell r="I619"/>
          <cell r="J619"/>
          <cell r="K619"/>
        </row>
        <row r="620">
          <cell r="B620" t="str">
            <v>USA</v>
          </cell>
          <cell r="C620" t="str">
            <v>United States of America</v>
          </cell>
          <cell r="D620">
            <v>2022</v>
          </cell>
          <cell r="E620" t="str">
            <v>FLU_ALL</v>
          </cell>
          <cell r="F620" t="str">
            <v>Influenza all persons above ≥6 months (universal recommendation)</v>
          </cell>
          <cell r="G620" t="str">
            <v>ADMIN</v>
          </cell>
          <cell r="H620" t="str">
            <v>Administrative coverage</v>
          </cell>
          <cell r="I620"/>
          <cell r="J620"/>
          <cell r="K620"/>
        </row>
        <row r="621">
          <cell r="B621" t="str">
            <v>URY</v>
          </cell>
          <cell r="C621" t="str">
            <v>Uruguay</v>
          </cell>
          <cell r="D621">
            <v>2022</v>
          </cell>
          <cell r="E621" t="str">
            <v>FLU_ALL</v>
          </cell>
          <cell r="F621" t="str">
            <v>Influenza all persons above ≥6 months (universal recommendation)</v>
          </cell>
          <cell r="G621" t="str">
            <v>ADMIN</v>
          </cell>
          <cell r="H621" t="str">
            <v>Administrative coverage</v>
          </cell>
          <cell r="I621"/>
          <cell r="J621"/>
          <cell r="K621"/>
        </row>
        <row r="622">
          <cell r="B622" t="str">
            <v>UZB</v>
          </cell>
          <cell r="C622" t="str">
            <v>Uzbekistan</v>
          </cell>
          <cell r="D622">
            <v>2022</v>
          </cell>
          <cell r="E622" t="str">
            <v>FLU_ALL</v>
          </cell>
          <cell r="F622" t="str">
            <v>Influenza all persons above ≥6 months (universal recommendation)</v>
          </cell>
          <cell r="G622" t="str">
            <v>ADMIN</v>
          </cell>
          <cell r="H622" t="str">
            <v>Administrative coverage</v>
          </cell>
          <cell r="I622"/>
          <cell r="J622"/>
          <cell r="K622"/>
        </row>
        <row r="623">
          <cell r="B623" t="str">
            <v>VUT</v>
          </cell>
          <cell r="C623" t="str">
            <v>Vanuatu</v>
          </cell>
          <cell r="D623">
            <v>2022</v>
          </cell>
          <cell r="E623" t="str">
            <v>FLU_ALL</v>
          </cell>
          <cell r="F623" t="str">
            <v>Influenza all persons above ≥6 months (universal recommendation)</v>
          </cell>
          <cell r="G623" t="str">
            <v>ADMIN</v>
          </cell>
          <cell r="H623" t="str">
            <v>Administrative coverage</v>
          </cell>
          <cell r="I623"/>
          <cell r="J623"/>
          <cell r="K623"/>
        </row>
        <row r="624">
          <cell r="B624" t="str">
            <v>VEN</v>
          </cell>
          <cell r="C624" t="str">
            <v>Venezuela (Bolivarian Republic of)</v>
          </cell>
          <cell r="D624">
            <v>2022</v>
          </cell>
          <cell r="E624" t="str">
            <v>FLU_ALL</v>
          </cell>
          <cell r="F624" t="str">
            <v>Influenza all persons above ≥6 months (universal recommendation)</v>
          </cell>
          <cell r="G624" t="str">
            <v>ADMIN</v>
          </cell>
          <cell r="H624" t="str">
            <v>Administrative coverage</v>
          </cell>
          <cell r="I624"/>
          <cell r="J624"/>
          <cell r="K624"/>
        </row>
        <row r="625">
          <cell r="B625" t="str">
            <v>VNM</v>
          </cell>
          <cell r="C625" t="str">
            <v>Viet Nam</v>
          </cell>
          <cell r="D625">
            <v>2022</v>
          </cell>
          <cell r="E625" t="str">
            <v>FLU_ALL</v>
          </cell>
          <cell r="F625" t="str">
            <v>Influenza all persons above ≥6 months (universal recommendation)</v>
          </cell>
          <cell r="G625" t="str">
            <v>ADMIN</v>
          </cell>
          <cell r="H625" t="str">
            <v>Administrative coverage</v>
          </cell>
          <cell r="I625"/>
          <cell r="J625"/>
          <cell r="K625"/>
        </row>
        <row r="626">
          <cell r="B626" t="str">
            <v>YEM</v>
          </cell>
          <cell r="C626" t="str">
            <v>Yemen</v>
          </cell>
          <cell r="D626">
            <v>2022</v>
          </cell>
          <cell r="E626" t="str">
            <v>FLU_ALL</v>
          </cell>
          <cell r="F626" t="str">
            <v>Influenza all persons above ≥6 months (universal recommendation)</v>
          </cell>
          <cell r="G626" t="str">
            <v>ADMIN</v>
          </cell>
          <cell r="H626" t="str">
            <v>Administrative coverage</v>
          </cell>
          <cell r="I626"/>
          <cell r="J626"/>
          <cell r="K626"/>
        </row>
        <row r="627">
          <cell r="B627" t="str">
            <v>ZMB</v>
          </cell>
          <cell r="C627" t="str">
            <v>Zambia</v>
          </cell>
          <cell r="D627">
            <v>2022</v>
          </cell>
          <cell r="E627" t="str">
            <v>FLU_ALL</v>
          </cell>
          <cell r="F627" t="str">
            <v>Influenza all persons above ≥6 months (universal recommendation)</v>
          </cell>
          <cell r="G627" t="str">
            <v>ADMIN</v>
          </cell>
          <cell r="H627" t="str">
            <v>Administrative coverage</v>
          </cell>
          <cell r="I627"/>
          <cell r="J627"/>
          <cell r="K627"/>
        </row>
        <row r="628">
          <cell r="B628" t="str">
            <v>ZWE</v>
          </cell>
          <cell r="C628" t="str">
            <v>Zimbabwe</v>
          </cell>
          <cell r="D628">
            <v>2022</v>
          </cell>
          <cell r="E628" t="str">
            <v>FLU_ALL</v>
          </cell>
          <cell r="F628" t="str">
            <v>Influenza all persons above ≥6 months (universal recommendation)</v>
          </cell>
          <cell r="G628" t="str">
            <v>ADMIN</v>
          </cell>
          <cell r="H628" t="str">
            <v>Administrative coverage</v>
          </cell>
          <cell r="I628"/>
          <cell r="J628"/>
          <cell r="K628"/>
        </row>
      </sheetData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Glossary"/>
      <sheetName val="Meta data"/>
      <sheetName val="Links"/>
    </sheetNames>
    <sheetDataSet>
      <sheetData sheetId="0">
        <row r="2">
          <cell r="B2" t="str">
            <v>AFG</v>
          </cell>
          <cell r="C2" t="str">
            <v>Afghanistan</v>
          </cell>
          <cell r="D2">
            <v>2024</v>
          </cell>
          <cell r="E2" t="str">
            <v>FLU_ELDERLY</v>
          </cell>
          <cell r="F2" t="str">
            <v>Influenza older persons</v>
          </cell>
          <cell r="G2" t="str">
            <v>ADMIN</v>
          </cell>
          <cell r="H2" t="str">
            <v>Administrative coverage</v>
          </cell>
          <cell r="I2"/>
          <cell r="J2"/>
          <cell r="K2"/>
        </row>
        <row r="3">
          <cell r="B3" t="str">
            <v>ALB</v>
          </cell>
          <cell r="C3" t="str">
            <v>Albania</v>
          </cell>
          <cell r="D3">
            <v>2024</v>
          </cell>
          <cell r="E3" t="str">
            <v>FLU_ELDERLY</v>
          </cell>
          <cell r="F3" t="str">
            <v>Influenza older persons</v>
          </cell>
          <cell r="G3" t="str">
            <v>ADMIN</v>
          </cell>
          <cell r="H3" t="str">
            <v>Administrative coverage</v>
          </cell>
          <cell r="I3">
            <v>649610</v>
          </cell>
          <cell r="J3">
            <v>154061</v>
          </cell>
          <cell r="K3">
            <v>23.72</v>
          </cell>
        </row>
        <row r="4">
          <cell r="B4" t="str">
            <v>DZA</v>
          </cell>
          <cell r="C4" t="str">
            <v>Algeria</v>
          </cell>
          <cell r="D4">
            <v>2024</v>
          </cell>
          <cell r="E4" t="str">
            <v>FLU_ELDERLY</v>
          </cell>
          <cell r="F4" t="str">
            <v>Influenza older persons</v>
          </cell>
          <cell r="G4" t="str">
            <v>ADMIN</v>
          </cell>
          <cell r="H4" t="str">
            <v>Administrative coverage</v>
          </cell>
          <cell r="I4"/>
          <cell r="J4">
            <v>565125</v>
          </cell>
          <cell r="K4"/>
        </row>
        <row r="5">
          <cell r="B5" t="str">
            <v>AND</v>
          </cell>
          <cell r="C5" t="str">
            <v>Andorra</v>
          </cell>
          <cell r="D5">
            <v>2024</v>
          </cell>
          <cell r="E5" t="str">
            <v>FLU_ELDERLY</v>
          </cell>
          <cell r="F5" t="str">
            <v>Influenza older persons</v>
          </cell>
          <cell r="G5" t="str">
            <v>ADMIN</v>
          </cell>
          <cell r="H5" t="str">
            <v>Administrative coverage</v>
          </cell>
          <cell r="I5">
            <v>19448</v>
          </cell>
          <cell r="J5">
            <v>5319</v>
          </cell>
          <cell r="K5">
            <v>27.34</v>
          </cell>
        </row>
        <row r="6">
          <cell r="B6" t="str">
            <v>AGO</v>
          </cell>
          <cell r="C6" t="str">
            <v>Angola</v>
          </cell>
          <cell r="D6">
            <v>2024</v>
          </cell>
          <cell r="E6" t="str">
            <v>FLU_ELDERLY</v>
          </cell>
          <cell r="F6" t="str">
            <v>Influenza older persons</v>
          </cell>
          <cell r="G6" t="str">
            <v>ADMIN</v>
          </cell>
          <cell r="H6" t="str">
            <v>Administrative coverage</v>
          </cell>
          <cell r="I6"/>
          <cell r="J6"/>
          <cell r="K6"/>
        </row>
        <row r="7">
          <cell r="B7" t="str">
            <v>AIA</v>
          </cell>
          <cell r="C7" t="str">
            <v>Anguilla</v>
          </cell>
          <cell r="D7">
            <v>2024</v>
          </cell>
          <cell r="E7" t="str">
            <v>FLU_ELDERLY</v>
          </cell>
          <cell r="F7" t="str">
            <v>Influenza older persons</v>
          </cell>
          <cell r="G7" t="str">
            <v>ADMIN</v>
          </cell>
          <cell r="H7" t="str">
            <v>Administrative coverage</v>
          </cell>
          <cell r="I7"/>
          <cell r="J7">
            <v>32</v>
          </cell>
          <cell r="K7"/>
        </row>
        <row r="8">
          <cell r="B8" t="str">
            <v>ATG</v>
          </cell>
          <cell r="C8" t="str">
            <v>Antigua and Barbuda</v>
          </cell>
          <cell r="D8">
            <v>2024</v>
          </cell>
          <cell r="E8" t="str">
            <v>FLU_ELDERLY</v>
          </cell>
          <cell r="F8" t="str">
            <v>Influenza older persons</v>
          </cell>
          <cell r="G8" t="str">
            <v>ADMIN</v>
          </cell>
          <cell r="H8" t="str">
            <v>Administrative coverage</v>
          </cell>
          <cell r="I8"/>
          <cell r="J8"/>
          <cell r="K8"/>
        </row>
        <row r="9">
          <cell r="B9" t="str">
            <v>ARG</v>
          </cell>
          <cell r="C9" t="str">
            <v>Argentina</v>
          </cell>
          <cell r="D9">
            <v>2024</v>
          </cell>
          <cell r="E9" t="str">
            <v>FLU_ELDERLY</v>
          </cell>
          <cell r="F9" t="str">
            <v>Influenza older persons</v>
          </cell>
          <cell r="G9" t="str">
            <v>ADMIN</v>
          </cell>
          <cell r="H9" t="str">
            <v>Administrative coverage</v>
          </cell>
          <cell r="I9"/>
          <cell r="J9"/>
          <cell r="K9"/>
        </row>
        <row r="10">
          <cell r="B10" t="str">
            <v>ARM</v>
          </cell>
          <cell r="C10" t="str">
            <v>Armenia</v>
          </cell>
          <cell r="D10">
            <v>2024</v>
          </cell>
          <cell r="E10" t="str">
            <v>FLU_ELDERLY</v>
          </cell>
          <cell r="F10" t="str">
            <v>Influenza older persons</v>
          </cell>
          <cell r="G10" t="str">
            <v>ADMIN</v>
          </cell>
          <cell r="H10" t="str">
            <v>Administrative coverage</v>
          </cell>
          <cell r="I10">
            <v>320143</v>
          </cell>
          <cell r="J10">
            <v>64460</v>
          </cell>
          <cell r="K10">
            <v>20.13</v>
          </cell>
        </row>
        <row r="11">
          <cell r="B11" t="str">
            <v>ABW</v>
          </cell>
          <cell r="C11" t="str">
            <v>Aruba</v>
          </cell>
          <cell r="D11">
            <v>2024</v>
          </cell>
          <cell r="E11" t="str">
            <v>FLU_ELDERLY</v>
          </cell>
          <cell r="F11" t="str">
            <v>Influenza older persons</v>
          </cell>
          <cell r="G11" t="str">
            <v>ADMIN</v>
          </cell>
          <cell r="H11" t="str">
            <v>Administrative coverage</v>
          </cell>
          <cell r="I11"/>
          <cell r="J11"/>
          <cell r="K11"/>
        </row>
        <row r="12">
          <cell r="B12" t="str">
            <v>AUS</v>
          </cell>
          <cell r="C12" t="str">
            <v>Australia</v>
          </cell>
          <cell r="D12">
            <v>2024</v>
          </cell>
          <cell r="E12" t="str">
            <v>FLU_ELDERLY</v>
          </cell>
          <cell r="F12" t="str">
            <v>Influenza older persons</v>
          </cell>
          <cell r="G12" t="str">
            <v>ADMIN</v>
          </cell>
          <cell r="H12" t="str">
            <v>Administrative coverage</v>
          </cell>
          <cell r="I12"/>
          <cell r="J12">
            <v>3229690</v>
          </cell>
          <cell r="K12">
            <v>61.1</v>
          </cell>
        </row>
        <row r="13">
          <cell r="B13" t="str">
            <v>AUT</v>
          </cell>
          <cell r="C13" t="str">
            <v>Austria</v>
          </cell>
          <cell r="D13">
            <v>2024</v>
          </cell>
          <cell r="E13" t="str">
            <v>FLU_ELDERLY</v>
          </cell>
          <cell r="F13" t="str">
            <v>Influenza older persons</v>
          </cell>
          <cell r="G13" t="str">
            <v>ADMIN</v>
          </cell>
          <cell r="H13" t="str">
            <v>Administrative coverage</v>
          </cell>
          <cell r="I13"/>
          <cell r="J13"/>
          <cell r="K13"/>
        </row>
        <row r="14">
          <cell r="B14" t="str">
            <v>AZE</v>
          </cell>
          <cell r="C14" t="str">
            <v>Azerbaijan</v>
          </cell>
          <cell r="D14">
            <v>2024</v>
          </cell>
          <cell r="E14" t="str">
            <v>FLU_ELDERLY</v>
          </cell>
          <cell r="F14" t="str">
            <v>Influenza older persons</v>
          </cell>
          <cell r="G14" t="str">
            <v>ADMIN</v>
          </cell>
          <cell r="H14" t="str">
            <v>Administrative coverage</v>
          </cell>
          <cell r="I14">
            <v>824735</v>
          </cell>
          <cell r="J14">
            <v>2987</v>
          </cell>
          <cell r="K14">
            <v>0.36</v>
          </cell>
        </row>
        <row r="15">
          <cell r="B15" t="str">
            <v>BHS</v>
          </cell>
          <cell r="C15" t="str">
            <v>Bahamas</v>
          </cell>
          <cell r="D15">
            <v>2024</v>
          </cell>
          <cell r="E15" t="str">
            <v>FLU_ELDERLY</v>
          </cell>
          <cell r="F15" t="str">
            <v>Influenza older persons</v>
          </cell>
          <cell r="G15" t="str">
            <v>ADMIN</v>
          </cell>
          <cell r="H15" t="str">
            <v>Administrative coverage</v>
          </cell>
          <cell r="I15"/>
          <cell r="J15">
            <v>2005</v>
          </cell>
          <cell r="K15"/>
        </row>
        <row r="16">
          <cell r="B16" t="str">
            <v>BHR</v>
          </cell>
          <cell r="C16" t="str">
            <v>Bahrain</v>
          </cell>
          <cell r="D16">
            <v>2024</v>
          </cell>
          <cell r="E16" t="str">
            <v>FLU_ELDERLY</v>
          </cell>
          <cell r="F16" t="str">
            <v>Influenza older persons</v>
          </cell>
          <cell r="G16" t="str">
            <v>ADMIN</v>
          </cell>
          <cell r="H16" t="str">
            <v>Administrative coverage</v>
          </cell>
          <cell r="I16"/>
          <cell r="J16">
            <v>5459</v>
          </cell>
          <cell r="K16"/>
        </row>
        <row r="17">
          <cell r="B17" t="str">
            <v>BGD</v>
          </cell>
          <cell r="C17" t="str">
            <v>Bangladesh</v>
          </cell>
          <cell r="D17">
            <v>2024</v>
          </cell>
          <cell r="E17" t="str">
            <v>FLU_ELDERLY</v>
          </cell>
          <cell r="F17" t="str">
            <v>Influenza older persons</v>
          </cell>
          <cell r="G17" t="str">
            <v>ADMIN</v>
          </cell>
          <cell r="H17" t="str">
            <v>Administrative coverage</v>
          </cell>
          <cell r="I17"/>
          <cell r="J17"/>
          <cell r="K17"/>
        </row>
        <row r="18">
          <cell r="B18" t="str">
            <v>BRB</v>
          </cell>
          <cell r="C18" t="str">
            <v>Barbados</v>
          </cell>
          <cell r="D18">
            <v>2024</v>
          </cell>
          <cell r="E18" t="str">
            <v>FLU_ELDERLY</v>
          </cell>
          <cell r="F18" t="str">
            <v>Influenza older persons</v>
          </cell>
          <cell r="G18" t="str">
            <v>ADMIN</v>
          </cell>
          <cell r="H18" t="str">
            <v>Administrative coverage</v>
          </cell>
          <cell r="I18">
            <v>49455</v>
          </cell>
          <cell r="J18"/>
          <cell r="K18"/>
        </row>
        <row r="19">
          <cell r="B19" t="str">
            <v>BLR</v>
          </cell>
          <cell r="C19" t="str">
            <v>Belarus</v>
          </cell>
          <cell r="D19">
            <v>2024</v>
          </cell>
          <cell r="E19" t="str">
            <v>FLU_ELDERLY</v>
          </cell>
          <cell r="F19" t="str">
            <v>Influenza older persons</v>
          </cell>
          <cell r="G19" t="str">
            <v>ADMIN</v>
          </cell>
          <cell r="H19" t="str">
            <v>Administrative coverage</v>
          </cell>
          <cell r="I19">
            <v>956670</v>
          </cell>
          <cell r="J19">
            <v>381978</v>
          </cell>
          <cell r="K19">
            <v>39.93</v>
          </cell>
        </row>
        <row r="20">
          <cell r="B20" t="str">
            <v>BEL</v>
          </cell>
          <cell r="C20" t="str">
            <v>Belgium</v>
          </cell>
          <cell r="D20">
            <v>2024</v>
          </cell>
          <cell r="E20" t="str">
            <v>FLU_ELDERLY</v>
          </cell>
          <cell r="F20" t="str">
            <v>Influenza older persons</v>
          </cell>
          <cell r="G20" t="str">
            <v>ADMIN</v>
          </cell>
          <cell r="H20" t="str">
            <v>Administrative coverage</v>
          </cell>
          <cell r="I20"/>
          <cell r="J20"/>
          <cell r="K20"/>
        </row>
        <row r="21">
          <cell r="B21" t="str">
            <v>BLZ</v>
          </cell>
          <cell r="C21" t="str">
            <v>Belize</v>
          </cell>
          <cell r="D21">
            <v>2024</v>
          </cell>
          <cell r="E21" t="str">
            <v>FLU_ELDERLY</v>
          </cell>
          <cell r="F21" t="str">
            <v>Influenza older persons</v>
          </cell>
          <cell r="G21" t="str">
            <v>ADMIN</v>
          </cell>
          <cell r="H21" t="str">
            <v>Administrative coverage</v>
          </cell>
          <cell r="I21">
            <v>22525</v>
          </cell>
          <cell r="J21">
            <v>365</v>
          </cell>
          <cell r="K21">
            <v>1.62</v>
          </cell>
        </row>
        <row r="22">
          <cell r="B22" t="str">
            <v>BEN</v>
          </cell>
          <cell r="C22" t="str">
            <v>Benin</v>
          </cell>
          <cell r="D22">
            <v>2024</v>
          </cell>
          <cell r="E22" t="str">
            <v>FLU_ELDERLY</v>
          </cell>
          <cell r="F22" t="str">
            <v>Influenza older persons</v>
          </cell>
          <cell r="G22" t="str">
            <v>ADMIN</v>
          </cell>
          <cell r="H22" t="str">
            <v>Administrative coverage</v>
          </cell>
          <cell r="I22"/>
          <cell r="J22"/>
          <cell r="K22"/>
        </row>
        <row r="23">
          <cell r="B23" t="str">
            <v>BMU</v>
          </cell>
          <cell r="C23" t="str">
            <v>Bermuda</v>
          </cell>
          <cell r="D23">
            <v>2024</v>
          </cell>
          <cell r="E23" t="str">
            <v>FLU_ELDERLY</v>
          </cell>
          <cell r="F23" t="str">
            <v>Influenza older persons</v>
          </cell>
          <cell r="G23" t="str">
            <v>ADMIN</v>
          </cell>
          <cell r="H23" t="str">
            <v>Administrative coverage</v>
          </cell>
          <cell r="I23">
            <v>14680</v>
          </cell>
          <cell r="J23">
            <v>1036</v>
          </cell>
          <cell r="K23">
            <v>7.06</v>
          </cell>
        </row>
        <row r="24">
          <cell r="B24" t="str">
            <v>BTN</v>
          </cell>
          <cell r="C24" t="str">
            <v>Bhutan</v>
          </cell>
          <cell r="D24">
            <v>2024</v>
          </cell>
          <cell r="E24" t="str">
            <v>FLU_ELDERLY</v>
          </cell>
          <cell r="F24" t="str">
            <v>Influenza older persons</v>
          </cell>
          <cell r="G24" t="str">
            <v>ADMIN</v>
          </cell>
          <cell r="H24" t="str">
            <v>Administrative coverage</v>
          </cell>
          <cell r="I24">
            <v>51217</v>
          </cell>
          <cell r="J24">
            <v>41049</v>
          </cell>
          <cell r="K24">
            <v>80.150000000000006</v>
          </cell>
        </row>
        <row r="25">
          <cell r="B25" t="str">
            <v>BOL</v>
          </cell>
          <cell r="C25" t="str">
            <v>Bolivia (Plurinational State of)</v>
          </cell>
          <cell r="D25">
            <v>2024</v>
          </cell>
          <cell r="E25" t="str">
            <v>FLU_ELDERLY</v>
          </cell>
          <cell r="F25" t="str">
            <v>Influenza older persons</v>
          </cell>
          <cell r="G25" t="str">
            <v>ADMIN</v>
          </cell>
          <cell r="H25" t="str">
            <v>Administrative coverage</v>
          </cell>
          <cell r="I25">
            <v>653625</v>
          </cell>
          <cell r="J25">
            <v>340816</v>
          </cell>
          <cell r="K25">
            <v>52.14</v>
          </cell>
        </row>
        <row r="26">
          <cell r="B26" t="str">
            <v>BON</v>
          </cell>
          <cell r="C26" t="str">
            <v>Bonaire</v>
          </cell>
          <cell r="D26">
            <v>2024</v>
          </cell>
          <cell r="E26" t="str">
            <v>FLU_ELDERLY</v>
          </cell>
          <cell r="F26" t="str">
            <v>Influenza older persons</v>
          </cell>
          <cell r="G26" t="str">
            <v>ADMIN</v>
          </cell>
          <cell r="H26" t="str">
            <v>Administrative coverage</v>
          </cell>
          <cell r="I26">
            <v>5844</v>
          </cell>
          <cell r="J26"/>
          <cell r="K26"/>
        </row>
        <row r="27">
          <cell r="B27" t="str">
            <v>BIH</v>
          </cell>
          <cell r="C27" t="str">
            <v>Bosnia and Herzegovina</v>
          </cell>
          <cell r="D27">
            <v>2024</v>
          </cell>
          <cell r="E27" t="str">
            <v>FLU_ELDERLY</v>
          </cell>
          <cell r="F27" t="str">
            <v>Influenza older persons</v>
          </cell>
          <cell r="G27" t="str">
            <v>ADMIN</v>
          </cell>
          <cell r="H27" t="str">
            <v>Administrative coverage</v>
          </cell>
          <cell r="I27"/>
          <cell r="J27"/>
          <cell r="K27"/>
        </row>
        <row r="28">
          <cell r="B28" t="str">
            <v>BWA</v>
          </cell>
          <cell r="C28" t="str">
            <v>Botswana</v>
          </cell>
          <cell r="D28">
            <v>2024</v>
          </cell>
          <cell r="E28" t="str">
            <v>FLU_ELDERLY</v>
          </cell>
          <cell r="F28" t="str">
            <v>Influenza older persons</v>
          </cell>
          <cell r="G28" t="str">
            <v>ADMIN</v>
          </cell>
          <cell r="H28" t="str">
            <v>Administrative coverage</v>
          </cell>
          <cell r="I28"/>
          <cell r="J28"/>
          <cell r="K28"/>
        </row>
        <row r="29">
          <cell r="B29" t="str">
            <v>BRA</v>
          </cell>
          <cell r="C29" t="str">
            <v>Brazil</v>
          </cell>
          <cell r="D29">
            <v>2024</v>
          </cell>
          <cell r="E29" t="str">
            <v>FLU_ELDERLY</v>
          </cell>
          <cell r="F29" t="str">
            <v>Influenza older persons</v>
          </cell>
          <cell r="G29" t="str">
            <v>ADMIN</v>
          </cell>
          <cell r="H29" t="str">
            <v>Administrative coverage</v>
          </cell>
          <cell r="I29">
            <v>34169614</v>
          </cell>
          <cell r="J29">
            <v>15513327</v>
          </cell>
          <cell r="K29">
            <v>45.4</v>
          </cell>
        </row>
        <row r="30">
          <cell r="B30" t="str">
            <v>VGB</v>
          </cell>
          <cell r="C30" t="str">
            <v>British Virgin Islands</v>
          </cell>
          <cell r="D30">
            <v>2024</v>
          </cell>
          <cell r="E30" t="str">
            <v>FLU_ELDERLY</v>
          </cell>
          <cell r="F30" t="str">
            <v>Influenza older persons</v>
          </cell>
          <cell r="G30" t="str">
            <v>ADMIN</v>
          </cell>
          <cell r="H30" t="str">
            <v>Administrative coverage</v>
          </cell>
          <cell r="I30"/>
          <cell r="J30">
            <v>25</v>
          </cell>
          <cell r="K30"/>
        </row>
        <row r="31">
          <cell r="B31" t="str">
            <v>BRN</v>
          </cell>
          <cell r="C31" t="str">
            <v>Brunei Darussalam</v>
          </cell>
          <cell r="D31">
            <v>2024</v>
          </cell>
          <cell r="E31" t="str">
            <v>FLU_ELDERLY</v>
          </cell>
          <cell r="F31" t="str">
            <v>Influenza older persons</v>
          </cell>
          <cell r="G31" t="str">
            <v>ADMIN</v>
          </cell>
          <cell r="H31" t="str">
            <v>Administrative coverage</v>
          </cell>
          <cell r="I31"/>
          <cell r="J31"/>
          <cell r="K31"/>
        </row>
        <row r="32">
          <cell r="B32" t="str">
            <v>BGR</v>
          </cell>
          <cell r="C32" t="str">
            <v>Bulgaria</v>
          </cell>
          <cell r="D32">
            <v>2024</v>
          </cell>
          <cell r="E32" t="str">
            <v>FLU_ELDERLY</v>
          </cell>
          <cell r="F32" t="str">
            <v>Influenza older persons</v>
          </cell>
          <cell r="G32" t="str">
            <v>ADMIN</v>
          </cell>
          <cell r="H32" t="str">
            <v>Administrative coverage</v>
          </cell>
          <cell r="I32">
            <v>1530909</v>
          </cell>
          <cell r="J32">
            <v>329116</v>
          </cell>
          <cell r="K32">
            <v>21.5</v>
          </cell>
        </row>
        <row r="33">
          <cell r="B33" t="str">
            <v>BFA</v>
          </cell>
          <cell r="C33" t="str">
            <v>Burkina Faso</v>
          </cell>
          <cell r="D33">
            <v>2024</v>
          </cell>
          <cell r="E33" t="str">
            <v>FLU_ELDERLY</v>
          </cell>
          <cell r="F33" t="str">
            <v>Influenza older persons</v>
          </cell>
          <cell r="G33" t="str">
            <v>ADMIN</v>
          </cell>
          <cell r="H33" t="str">
            <v>Administrative coverage</v>
          </cell>
          <cell r="I33"/>
          <cell r="J33"/>
          <cell r="K33"/>
        </row>
        <row r="34">
          <cell r="B34" t="str">
            <v>BDI</v>
          </cell>
          <cell r="C34" t="str">
            <v>Burundi</v>
          </cell>
          <cell r="D34">
            <v>2024</v>
          </cell>
          <cell r="E34" t="str">
            <v>FLU_ELDERLY</v>
          </cell>
          <cell r="F34" t="str">
            <v>Influenza older persons</v>
          </cell>
          <cell r="G34" t="str">
            <v>ADMIN</v>
          </cell>
          <cell r="H34" t="str">
            <v>Administrative coverage</v>
          </cell>
          <cell r="I34"/>
          <cell r="J34"/>
          <cell r="K34"/>
        </row>
        <row r="35">
          <cell r="B35" t="str">
            <v>CPV</v>
          </cell>
          <cell r="C35" t="str">
            <v>Cabo Verde</v>
          </cell>
          <cell r="D35">
            <v>2024</v>
          </cell>
          <cell r="E35" t="str">
            <v>FLU_ELDERLY</v>
          </cell>
          <cell r="F35" t="str">
            <v>Influenza older persons</v>
          </cell>
          <cell r="G35" t="str">
            <v>ADMIN</v>
          </cell>
          <cell r="H35" t="str">
            <v>Administrative coverage</v>
          </cell>
          <cell r="I35"/>
          <cell r="J35"/>
          <cell r="K35"/>
        </row>
        <row r="36">
          <cell r="B36" t="str">
            <v>KHM</v>
          </cell>
          <cell r="C36" t="str">
            <v>Cambodia</v>
          </cell>
          <cell r="D36">
            <v>2024</v>
          </cell>
          <cell r="E36" t="str">
            <v>FLU_ELDERLY</v>
          </cell>
          <cell r="F36" t="str">
            <v>Influenza older persons</v>
          </cell>
          <cell r="G36" t="str">
            <v>ADMIN</v>
          </cell>
          <cell r="H36" t="str">
            <v>Administrative coverage</v>
          </cell>
          <cell r="I36"/>
          <cell r="J36"/>
          <cell r="K36"/>
        </row>
        <row r="37">
          <cell r="B37" t="str">
            <v>CMR</v>
          </cell>
          <cell r="C37" t="str">
            <v>Cameroon</v>
          </cell>
          <cell r="D37">
            <v>2024</v>
          </cell>
          <cell r="E37" t="str">
            <v>FLU_ELDERLY</v>
          </cell>
          <cell r="F37" t="str">
            <v>Influenza older persons</v>
          </cell>
          <cell r="G37" t="str">
            <v>ADMIN</v>
          </cell>
          <cell r="H37" t="str">
            <v>Administrative coverage</v>
          </cell>
          <cell r="I37"/>
          <cell r="J37"/>
          <cell r="K37"/>
        </row>
        <row r="38">
          <cell r="B38" t="str">
            <v>CAN</v>
          </cell>
          <cell r="C38" t="str">
            <v>Canada</v>
          </cell>
          <cell r="D38">
            <v>2024</v>
          </cell>
          <cell r="E38" t="str">
            <v>FLU_ELDERLY</v>
          </cell>
          <cell r="F38" t="str">
            <v>Influenza older persons</v>
          </cell>
          <cell r="G38" t="str">
            <v>ADMIN</v>
          </cell>
          <cell r="H38" t="str">
            <v>Administrative coverage</v>
          </cell>
          <cell r="I38"/>
          <cell r="J38"/>
          <cell r="K38">
            <v>73.7</v>
          </cell>
        </row>
        <row r="39">
          <cell r="B39" t="str">
            <v>CYM</v>
          </cell>
          <cell r="C39" t="str">
            <v>Cayman Islands</v>
          </cell>
          <cell r="D39">
            <v>2024</v>
          </cell>
          <cell r="E39" t="str">
            <v>FLU_ELDERLY</v>
          </cell>
          <cell r="F39" t="str">
            <v>Influenza older persons</v>
          </cell>
          <cell r="G39" t="str">
            <v>ADMIN</v>
          </cell>
          <cell r="H39" t="str">
            <v>Administrative coverage</v>
          </cell>
          <cell r="I39"/>
          <cell r="J39">
            <v>800</v>
          </cell>
          <cell r="K39"/>
        </row>
        <row r="40">
          <cell r="B40" t="str">
            <v>CAF</v>
          </cell>
          <cell r="C40" t="str">
            <v>Central African Republic</v>
          </cell>
          <cell r="D40">
            <v>2024</v>
          </cell>
          <cell r="E40" t="str">
            <v>FLU_ELDERLY</v>
          </cell>
          <cell r="F40" t="str">
            <v>Influenza older persons</v>
          </cell>
          <cell r="G40" t="str">
            <v>ADMIN</v>
          </cell>
          <cell r="H40" t="str">
            <v>Administrative coverage</v>
          </cell>
          <cell r="I40"/>
          <cell r="J40"/>
          <cell r="K40"/>
        </row>
        <row r="41">
          <cell r="B41" t="str">
            <v>TCD</v>
          </cell>
          <cell r="C41" t="str">
            <v>Chad</v>
          </cell>
          <cell r="D41">
            <v>2024</v>
          </cell>
          <cell r="E41" t="str">
            <v>FLU_ELDERLY</v>
          </cell>
          <cell r="F41" t="str">
            <v>Influenza older persons</v>
          </cell>
          <cell r="G41" t="str">
            <v>ADMIN</v>
          </cell>
          <cell r="H41" t="str">
            <v>Administrative coverage</v>
          </cell>
          <cell r="I41"/>
          <cell r="J41"/>
          <cell r="K41"/>
        </row>
        <row r="42">
          <cell r="B42" t="str">
            <v>CHL</v>
          </cell>
          <cell r="C42" t="str">
            <v>Chile</v>
          </cell>
          <cell r="D42">
            <v>2024</v>
          </cell>
          <cell r="E42" t="str">
            <v>FLU_ELDERLY</v>
          </cell>
          <cell r="F42" t="str">
            <v>Influenza older persons</v>
          </cell>
          <cell r="G42" t="str">
            <v>ADMIN</v>
          </cell>
          <cell r="H42" t="str">
            <v>Administrative coverage</v>
          </cell>
          <cell r="I42">
            <v>3857662</v>
          </cell>
          <cell r="J42">
            <v>2508351</v>
          </cell>
          <cell r="K42">
            <v>65.02</v>
          </cell>
        </row>
        <row r="43">
          <cell r="B43" t="str">
            <v>CHN</v>
          </cell>
          <cell r="C43" t="str">
            <v>China</v>
          </cell>
          <cell r="D43">
            <v>2024</v>
          </cell>
          <cell r="E43" t="str">
            <v>FLU_ELDERLY</v>
          </cell>
          <cell r="F43" t="str">
            <v>Influenza older persons</v>
          </cell>
          <cell r="G43" t="str">
            <v>ADMIN</v>
          </cell>
          <cell r="H43" t="str">
            <v>Administrative coverage</v>
          </cell>
          <cell r="I43"/>
          <cell r="J43"/>
          <cell r="K43"/>
        </row>
        <row r="44">
          <cell r="B44" t="str">
            <v>HKG</v>
          </cell>
          <cell r="C44" t="str">
            <v>China, Hong Kong SAR</v>
          </cell>
          <cell r="D44">
            <v>2024</v>
          </cell>
          <cell r="E44" t="str">
            <v>FLU_ELDERLY</v>
          </cell>
          <cell r="F44" t="str">
            <v>Influenza older persons</v>
          </cell>
          <cell r="G44" t="str">
            <v>ADMIN</v>
          </cell>
          <cell r="H44" t="str">
            <v>Administrative coverage</v>
          </cell>
          <cell r="I44">
            <v>3402600</v>
          </cell>
          <cell r="J44">
            <v>1143400</v>
          </cell>
          <cell r="K44">
            <v>33.6</v>
          </cell>
        </row>
        <row r="45">
          <cell r="B45" t="str">
            <v>MAC</v>
          </cell>
          <cell r="C45" t="str">
            <v>China, Macao SAR</v>
          </cell>
          <cell r="D45">
            <v>2024</v>
          </cell>
          <cell r="E45" t="str">
            <v>FLU_ELDERLY</v>
          </cell>
          <cell r="F45" t="str">
            <v>Influenza older persons</v>
          </cell>
          <cell r="G45" t="str">
            <v>ADMIN</v>
          </cell>
          <cell r="H45" t="str">
            <v>Administrative coverage</v>
          </cell>
          <cell r="I45">
            <v>95600</v>
          </cell>
          <cell r="J45">
            <v>62223</v>
          </cell>
          <cell r="K45">
            <v>65.09</v>
          </cell>
        </row>
        <row r="46">
          <cell r="B46" t="str">
            <v>COL</v>
          </cell>
          <cell r="C46" t="str">
            <v>Colombia</v>
          </cell>
          <cell r="D46">
            <v>2024</v>
          </cell>
          <cell r="E46" t="str">
            <v>FLU_ELDERLY</v>
          </cell>
          <cell r="F46" t="str">
            <v>Influenza older persons</v>
          </cell>
          <cell r="G46" t="str">
            <v>ADMIN</v>
          </cell>
          <cell r="H46" t="str">
            <v>Administrative coverage</v>
          </cell>
          <cell r="I46">
            <v>2367399</v>
          </cell>
          <cell r="J46">
            <v>1448708</v>
          </cell>
          <cell r="K46">
            <v>61.19</v>
          </cell>
        </row>
        <row r="47">
          <cell r="B47" t="str">
            <v>COM</v>
          </cell>
          <cell r="C47" t="str">
            <v>Comoros</v>
          </cell>
          <cell r="D47">
            <v>2024</v>
          </cell>
          <cell r="E47" t="str">
            <v>FLU_ELDERLY</v>
          </cell>
          <cell r="F47" t="str">
            <v>Influenza older persons</v>
          </cell>
          <cell r="G47" t="str">
            <v>ADMIN</v>
          </cell>
          <cell r="H47" t="str">
            <v>Administrative coverage</v>
          </cell>
          <cell r="I47"/>
          <cell r="J47"/>
          <cell r="K47"/>
        </row>
        <row r="48">
          <cell r="B48" t="str">
            <v>COG</v>
          </cell>
          <cell r="C48" t="str">
            <v>Congo</v>
          </cell>
          <cell r="D48">
            <v>2024</v>
          </cell>
          <cell r="E48" t="str">
            <v>FLU_ELDERLY</v>
          </cell>
          <cell r="F48" t="str">
            <v>Influenza older persons</v>
          </cell>
          <cell r="G48" t="str">
            <v>ADMIN</v>
          </cell>
          <cell r="H48" t="str">
            <v>Administrative coverage</v>
          </cell>
          <cell r="I48"/>
          <cell r="J48"/>
          <cell r="K48"/>
        </row>
        <row r="49">
          <cell r="B49" t="str">
            <v>COK</v>
          </cell>
          <cell r="C49" t="str">
            <v>Cook Islands</v>
          </cell>
          <cell r="D49">
            <v>2024</v>
          </cell>
          <cell r="E49" t="str">
            <v>FLU_ELDERLY</v>
          </cell>
          <cell r="F49" t="str">
            <v>Influenza older persons</v>
          </cell>
          <cell r="G49" t="str">
            <v>ADMIN</v>
          </cell>
          <cell r="H49" t="str">
            <v>Administrative coverage</v>
          </cell>
          <cell r="I49"/>
          <cell r="J49"/>
          <cell r="K49"/>
        </row>
        <row r="50">
          <cell r="B50" t="str">
            <v>CRI</v>
          </cell>
          <cell r="C50" t="str">
            <v>Costa Rica</v>
          </cell>
          <cell r="D50">
            <v>2024</v>
          </cell>
          <cell r="E50" t="str">
            <v>FLU_ELDERLY</v>
          </cell>
          <cell r="F50" t="str">
            <v>Influenza older persons</v>
          </cell>
          <cell r="G50" t="str">
            <v>ADMIN</v>
          </cell>
          <cell r="H50" t="str">
            <v>Administrative coverage</v>
          </cell>
          <cell r="I50">
            <v>977233</v>
          </cell>
          <cell r="J50">
            <v>430346</v>
          </cell>
          <cell r="K50">
            <v>44.04</v>
          </cell>
        </row>
        <row r="51">
          <cell r="B51" t="str">
            <v>CIV</v>
          </cell>
          <cell r="C51" t="str">
            <v>Côte d'Ivoire</v>
          </cell>
          <cell r="D51">
            <v>2024</v>
          </cell>
          <cell r="E51" t="str">
            <v>FLU_ELDERLY</v>
          </cell>
          <cell r="F51" t="str">
            <v>Influenza older persons</v>
          </cell>
          <cell r="G51" t="str">
            <v>ADMIN</v>
          </cell>
          <cell r="H51" t="str">
            <v>Administrative coverage</v>
          </cell>
          <cell r="I51"/>
          <cell r="J51">
            <v>402</v>
          </cell>
          <cell r="K51"/>
        </row>
        <row r="52">
          <cell r="B52" t="str">
            <v>HRV</v>
          </cell>
          <cell r="C52" t="str">
            <v>Croatia</v>
          </cell>
          <cell r="D52">
            <v>2024</v>
          </cell>
          <cell r="E52" t="str">
            <v>FLU_ELDERLY</v>
          </cell>
          <cell r="F52" t="str">
            <v>Influenza older persons</v>
          </cell>
          <cell r="G52" t="str">
            <v>ADMIN</v>
          </cell>
          <cell r="H52" t="str">
            <v>Administrative coverage</v>
          </cell>
          <cell r="I52">
            <v>869239</v>
          </cell>
          <cell r="J52">
            <v>242634</v>
          </cell>
          <cell r="K52">
            <v>27.91</v>
          </cell>
        </row>
        <row r="53">
          <cell r="B53" t="str">
            <v>CUB</v>
          </cell>
          <cell r="C53" t="str">
            <v>Cuba</v>
          </cell>
          <cell r="D53">
            <v>2024</v>
          </cell>
          <cell r="E53" t="str">
            <v>FLU_ELDERLY</v>
          </cell>
          <cell r="F53" t="str">
            <v>Influenza older persons</v>
          </cell>
          <cell r="G53" t="str">
            <v>ADMIN</v>
          </cell>
          <cell r="H53" t="str">
            <v>Administrative coverage</v>
          </cell>
          <cell r="I53">
            <v>180348</v>
          </cell>
          <cell r="J53">
            <v>180300</v>
          </cell>
          <cell r="K53">
            <v>99.97</v>
          </cell>
        </row>
        <row r="54">
          <cell r="B54" t="str">
            <v>CYP</v>
          </cell>
          <cell r="C54" t="str">
            <v>Cyprus</v>
          </cell>
          <cell r="D54">
            <v>2024</v>
          </cell>
          <cell r="E54" t="str">
            <v>FLU_ELDERLY</v>
          </cell>
          <cell r="F54" t="str">
            <v>Influenza older persons</v>
          </cell>
          <cell r="G54" t="str">
            <v>ADMIN</v>
          </cell>
          <cell r="H54" t="str">
            <v>Administrative coverage</v>
          </cell>
          <cell r="I54"/>
          <cell r="J54">
            <v>65602</v>
          </cell>
          <cell r="K54">
            <v>65</v>
          </cell>
        </row>
        <row r="55">
          <cell r="B55" t="str">
            <v>CZE</v>
          </cell>
          <cell r="C55" t="str">
            <v>Czechia</v>
          </cell>
          <cell r="D55">
            <v>2024</v>
          </cell>
          <cell r="E55" t="str">
            <v>FLU_ELDERLY</v>
          </cell>
          <cell r="F55" t="str">
            <v>Influenza older persons</v>
          </cell>
          <cell r="G55" t="str">
            <v>ADMIN</v>
          </cell>
          <cell r="H55" t="str">
            <v>Administrative coverage</v>
          </cell>
          <cell r="I55">
            <v>2237322</v>
          </cell>
          <cell r="J55">
            <v>569138</v>
          </cell>
          <cell r="K55">
            <v>25.44</v>
          </cell>
        </row>
        <row r="56">
          <cell r="B56" t="str">
            <v>PRK</v>
          </cell>
          <cell r="C56" t="str">
            <v>Democratic People's Republic of Korea</v>
          </cell>
          <cell r="D56">
            <v>2024</v>
          </cell>
          <cell r="E56" t="str">
            <v>FLU_ELDERLY</v>
          </cell>
          <cell r="F56" t="str">
            <v>Influenza older persons</v>
          </cell>
          <cell r="G56" t="str">
            <v>ADMIN</v>
          </cell>
          <cell r="H56" t="str">
            <v>Administrative coverage</v>
          </cell>
          <cell r="I56"/>
          <cell r="J56"/>
          <cell r="K56"/>
        </row>
        <row r="57">
          <cell r="B57" t="str">
            <v>COD</v>
          </cell>
          <cell r="C57" t="str">
            <v>Democratic Republic of the Congo</v>
          </cell>
          <cell r="D57">
            <v>2024</v>
          </cell>
          <cell r="E57" t="str">
            <v>FLU_ELDERLY</v>
          </cell>
          <cell r="F57" t="str">
            <v>Influenza older persons</v>
          </cell>
          <cell r="G57" t="str">
            <v>ADMIN</v>
          </cell>
          <cell r="H57" t="str">
            <v>Administrative coverage</v>
          </cell>
          <cell r="I57"/>
          <cell r="J57"/>
          <cell r="K57"/>
        </row>
        <row r="58">
          <cell r="B58" t="str">
            <v>DNK</v>
          </cell>
          <cell r="C58" t="str">
            <v>Denmark</v>
          </cell>
          <cell r="D58">
            <v>2024</v>
          </cell>
          <cell r="E58" t="str">
            <v>FLU_ELDERLY</v>
          </cell>
          <cell r="F58" t="str">
            <v>Influenza older persons</v>
          </cell>
          <cell r="G58" t="str">
            <v>ADMIN</v>
          </cell>
          <cell r="H58" t="str">
            <v>Administrative coverage</v>
          </cell>
          <cell r="I58">
            <v>1211398</v>
          </cell>
          <cell r="J58">
            <v>916025</v>
          </cell>
          <cell r="K58">
            <v>75.62</v>
          </cell>
        </row>
        <row r="59">
          <cell r="B59" t="str">
            <v>DJI</v>
          </cell>
          <cell r="C59" t="str">
            <v>Djibouti</v>
          </cell>
          <cell r="D59">
            <v>2024</v>
          </cell>
          <cell r="E59" t="str">
            <v>FLU_ELDERLY</v>
          </cell>
          <cell r="F59" t="str">
            <v>Influenza older persons</v>
          </cell>
          <cell r="G59" t="str">
            <v>ADMIN</v>
          </cell>
          <cell r="H59" t="str">
            <v>Administrative coverage</v>
          </cell>
          <cell r="I59"/>
          <cell r="J59"/>
          <cell r="K59"/>
        </row>
        <row r="60">
          <cell r="B60" t="str">
            <v>DMA</v>
          </cell>
          <cell r="C60" t="str">
            <v>Dominica</v>
          </cell>
          <cell r="D60">
            <v>2024</v>
          </cell>
          <cell r="E60" t="str">
            <v>FLU_ELDERLY</v>
          </cell>
          <cell r="F60" t="str">
            <v>Influenza older persons</v>
          </cell>
          <cell r="G60" t="str">
            <v>ADMIN</v>
          </cell>
          <cell r="H60" t="str">
            <v>Administrative coverage</v>
          </cell>
          <cell r="I60"/>
          <cell r="J60"/>
          <cell r="K60"/>
        </row>
        <row r="61">
          <cell r="B61" t="str">
            <v>DOM</v>
          </cell>
          <cell r="C61" t="str">
            <v>Dominican Republic</v>
          </cell>
          <cell r="D61">
            <v>2024</v>
          </cell>
          <cell r="E61" t="str">
            <v>FLU_ELDERLY</v>
          </cell>
          <cell r="F61" t="str">
            <v>Influenza older persons</v>
          </cell>
          <cell r="G61" t="str">
            <v>ADMIN</v>
          </cell>
          <cell r="H61" t="str">
            <v>Administrative coverage</v>
          </cell>
          <cell r="I61">
            <v>60000</v>
          </cell>
          <cell r="J61">
            <v>30813</v>
          </cell>
          <cell r="K61">
            <v>51.36</v>
          </cell>
        </row>
        <row r="62">
          <cell r="B62" t="str">
            <v>ECU</v>
          </cell>
          <cell r="C62" t="str">
            <v>Ecuador</v>
          </cell>
          <cell r="D62">
            <v>2024</v>
          </cell>
          <cell r="E62" t="str">
            <v>FLU_ELDERLY</v>
          </cell>
          <cell r="F62" t="str">
            <v>Influenza older persons</v>
          </cell>
          <cell r="G62" t="str">
            <v>ADMIN</v>
          </cell>
          <cell r="H62" t="str">
            <v>Administrative coverage</v>
          </cell>
          <cell r="I62">
            <v>885953</v>
          </cell>
          <cell r="J62">
            <v>292158</v>
          </cell>
          <cell r="K62">
            <v>32.979999999999997</v>
          </cell>
        </row>
        <row r="63">
          <cell r="B63" t="str">
            <v>EGY</v>
          </cell>
          <cell r="C63" t="str">
            <v>Egypt</v>
          </cell>
          <cell r="D63">
            <v>2024</v>
          </cell>
          <cell r="E63" t="str">
            <v>FLU_ELDERLY</v>
          </cell>
          <cell r="F63" t="str">
            <v>Influenza older persons</v>
          </cell>
          <cell r="G63" t="str">
            <v>ADMIN</v>
          </cell>
          <cell r="H63" t="str">
            <v>Administrative coverage</v>
          </cell>
          <cell r="I63"/>
          <cell r="J63">
            <v>45814</v>
          </cell>
          <cell r="K63"/>
        </row>
        <row r="64">
          <cell r="B64" t="str">
            <v>SLV</v>
          </cell>
          <cell r="C64" t="str">
            <v>El Salvador</v>
          </cell>
          <cell r="D64">
            <v>2024</v>
          </cell>
          <cell r="E64" t="str">
            <v>FLU_ELDERLY</v>
          </cell>
          <cell r="F64" t="str">
            <v>Influenza older persons</v>
          </cell>
          <cell r="G64" t="str">
            <v>ADMIN</v>
          </cell>
          <cell r="H64" t="str">
            <v>Administrative coverage</v>
          </cell>
          <cell r="I64">
            <v>837992</v>
          </cell>
          <cell r="J64">
            <v>386237</v>
          </cell>
          <cell r="K64">
            <v>46.09</v>
          </cell>
        </row>
        <row r="65">
          <cell r="B65" t="str">
            <v>GNQ</v>
          </cell>
          <cell r="C65" t="str">
            <v>Equatorial Guinea</v>
          </cell>
          <cell r="D65">
            <v>2024</v>
          </cell>
          <cell r="E65" t="str">
            <v>FLU_ELDERLY</v>
          </cell>
          <cell r="F65" t="str">
            <v>Influenza older persons</v>
          </cell>
          <cell r="G65" t="str">
            <v>ADMIN</v>
          </cell>
          <cell r="H65" t="str">
            <v>Administrative coverage</v>
          </cell>
          <cell r="I65"/>
          <cell r="J65"/>
          <cell r="K65"/>
        </row>
        <row r="66">
          <cell r="B66" t="str">
            <v>ERI</v>
          </cell>
          <cell r="C66" t="str">
            <v>Eritrea</v>
          </cell>
          <cell r="D66">
            <v>2024</v>
          </cell>
          <cell r="E66" t="str">
            <v>FLU_ELDERLY</v>
          </cell>
          <cell r="F66" t="str">
            <v>Influenza older persons</v>
          </cell>
          <cell r="G66" t="str">
            <v>ADMIN</v>
          </cell>
          <cell r="H66" t="str">
            <v>Administrative coverage</v>
          </cell>
          <cell r="I66"/>
          <cell r="J66"/>
          <cell r="K66"/>
        </row>
        <row r="67">
          <cell r="B67" t="str">
            <v>EST</v>
          </cell>
          <cell r="C67" t="str">
            <v>Estonia</v>
          </cell>
          <cell r="D67">
            <v>2024</v>
          </cell>
          <cell r="E67" t="str">
            <v>FLU_ELDERLY</v>
          </cell>
          <cell r="F67" t="str">
            <v>Influenza older persons</v>
          </cell>
          <cell r="G67" t="str">
            <v>ADMIN</v>
          </cell>
          <cell r="H67" t="str">
            <v>Administrative coverage</v>
          </cell>
          <cell r="I67">
            <v>368944</v>
          </cell>
          <cell r="J67">
            <v>95203</v>
          </cell>
          <cell r="K67">
            <v>25.8</v>
          </cell>
        </row>
        <row r="68">
          <cell r="B68" t="str">
            <v>SWZ</v>
          </cell>
          <cell r="C68" t="str">
            <v>Eswatini</v>
          </cell>
          <cell r="D68">
            <v>2024</v>
          </cell>
          <cell r="E68" t="str">
            <v>FLU_ELDERLY</v>
          </cell>
          <cell r="F68" t="str">
            <v>Influenza older persons</v>
          </cell>
          <cell r="G68" t="str">
            <v>ADMIN</v>
          </cell>
          <cell r="H68" t="str">
            <v>Administrative coverage</v>
          </cell>
          <cell r="I68"/>
          <cell r="J68"/>
          <cell r="K68"/>
        </row>
        <row r="69">
          <cell r="B69" t="str">
            <v>ETH</v>
          </cell>
          <cell r="C69" t="str">
            <v>Ethiopia</v>
          </cell>
          <cell r="D69">
            <v>2024</v>
          </cell>
          <cell r="E69" t="str">
            <v>FLU_ELDERLY</v>
          </cell>
          <cell r="F69" t="str">
            <v>Influenza older persons</v>
          </cell>
          <cell r="G69" t="str">
            <v>ADMIN</v>
          </cell>
          <cell r="H69" t="str">
            <v>Administrative coverage</v>
          </cell>
          <cell r="I69"/>
          <cell r="J69"/>
          <cell r="K69"/>
        </row>
        <row r="70">
          <cell r="B70" t="str">
            <v>FJI</v>
          </cell>
          <cell r="C70" t="str">
            <v>Fiji</v>
          </cell>
          <cell r="D70">
            <v>2024</v>
          </cell>
          <cell r="E70" t="str">
            <v>FLU_ELDERLY</v>
          </cell>
          <cell r="F70" t="str">
            <v>Influenza older persons</v>
          </cell>
          <cell r="G70" t="str">
            <v>ADMIN</v>
          </cell>
          <cell r="H70" t="str">
            <v>Administrative coverage</v>
          </cell>
          <cell r="I70"/>
          <cell r="J70"/>
          <cell r="K70"/>
        </row>
        <row r="71">
          <cell r="B71" t="str">
            <v>FIN</v>
          </cell>
          <cell r="C71" t="str">
            <v>Finland</v>
          </cell>
          <cell r="D71">
            <v>2024</v>
          </cell>
          <cell r="E71" t="str">
            <v>FLU_ELDERLY</v>
          </cell>
          <cell r="F71" t="str">
            <v>Influenza older persons</v>
          </cell>
          <cell r="G71" t="str">
            <v>ADMIN</v>
          </cell>
          <cell r="H71" t="str">
            <v>Administrative coverage</v>
          </cell>
          <cell r="I71"/>
          <cell r="J71"/>
          <cell r="K71">
            <v>61.3</v>
          </cell>
        </row>
        <row r="72">
          <cell r="B72" t="str">
            <v>FRA</v>
          </cell>
          <cell r="C72" t="str">
            <v>France</v>
          </cell>
          <cell r="D72">
            <v>2024</v>
          </cell>
          <cell r="E72" t="str">
            <v>FLU_ELDERLY</v>
          </cell>
          <cell r="F72" t="str">
            <v>Influenza older persons</v>
          </cell>
          <cell r="G72" t="str">
            <v>ADMIN</v>
          </cell>
          <cell r="H72" t="str">
            <v>Administrative coverage</v>
          </cell>
          <cell r="I72"/>
          <cell r="J72"/>
          <cell r="K72">
            <v>53.7</v>
          </cell>
        </row>
        <row r="73">
          <cell r="B73" t="str">
            <v>PYF</v>
          </cell>
          <cell r="C73" t="str">
            <v>French Polynesia</v>
          </cell>
          <cell r="D73">
            <v>2024</v>
          </cell>
          <cell r="E73" t="str">
            <v>FLU_ELDERLY</v>
          </cell>
          <cell r="F73" t="str">
            <v>Influenza older persons</v>
          </cell>
          <cell r="G73" t="str">
            <v>ADMIN</v>
          </cell>
          <cell r="H73" t="str">
            <v>Administrative coverage</v>
          </cell>
          <cell r="I73"/>
          <cell r="J73"/>
          <cell r="K73"/>
        </row>
        <row r="74">
          <cell r="B74" t="str">
            <v>GAB</v>
          </cell>
          <cell r="C74" t="str">
            <v>Gabon</v>
          </cell>
          <cell r="D74">
            <v>2024</v>
          </cell>
          <cell r="E74" t="str">
            <v>FLU_ELDERLY</v>
          </cell>
          <cell r="F74" t="str">
            <v>Influenza older persons</v>
          </cell>
          <cell r="G74" t="str">
            <v>ADMIN</v>
          </cell>
          <cell r="H74" t="str">
            <v>Administrative coverage</v>
          </cell>
          <cell r="I74"/>
          <cell r="J74"/>
          <cell r="K74"/>
        </row>
        <row r="75">
          <cell r="B75" t="str">
            <v>GMB</v>
          </cell>
          <cell r="C75" t="str">
            <v>Gambia</v>
          </cell>
          <cell r="D75">
            <v>2024</v>
          </cell>
          <cell r="E75" t="str">
            <v>FLU_ELDERLY</v>
          </cell>
          <cell r="F75" t="str">
            <v>Influenza older persons</v>
          </cell>
          <cell r="G75" t="str">
            <v>ADMIN</v>
          </cell>
          <cell r="H75" t="str">
            <v>Administrative coverage</v>
          </cell>
          <cell r="I75"/>
          <cell r="J75"/>
          <cell r="K75"/>
        </row>
        <row r="76">
          <cell r="B76" t="str">
            <v>GEO</v>
          </cell>
          <cell r="C76" t="str">
            <v>Georgia</v>
          </cell>
          <cell r="D76">
            <v>2024</v>
          </cell>
          <cell r="E76" t="str">
            <v>FLU_ELDERLY</v>
          </cell>
          <cell r="F76" t="str">
            <v>Influenza older persons</v>
          </cell>
          <cell r="G76" t="str">
            <v>ADMIN</v>
          </cell>
          <cell r="H76" t="str">
            <v>Administrative coverage</v>
          </cell>
          <cell r="I76">
            <v>555900</v>
          </cell>
          <cell r="J76">
            <v>60653</v>
          </cell>
          <cell r="K76">
            <v>10.91</v>
          </cell>
        </row>
        <row r="77">
          <cell r="B77" t="str">
            <v>DEU</v>
          </cell>
          <cell r="C77" t="str">
            <v>Germany</v>
          </cell>
          <cell r="D77">
            <v>2024</v>
          </cell>
          <cell r="E77" t="str">
            <v>FLU_ELDERLY</v>
          </cell>
          <cell r="F77" t="str">
            <v>Influenza older persons</v>
          </cell>
          <cell r="G77" t="str">
            <v>ADMIN</v>
          </cell>
          <cell r="H77" t="str">
            <v>Administrative coverage</v>
          </cell>
          <cell r="I77"/>
          <cell r="J77"/>
          <cell r="K77">
            <v>38.200000000000003</v>
          </cell>
        </row>
        <row r="78">
          <cell r="B78" t="str">
            <v>GHA</v>
          </cell>
          <cell r="C78" t="str">
            <v>Ghana</v>
          </cell>
          <cell r="D78">
            <v>2024</v>
          </cell>
          <cell r="E78" t="str">
            <v>FLU_ELDERLY</v>
          </cell>
          <cell r="F78" t="str">
            <v>Influenza older persons</v>
          </cell>
          <cell r="G78" t="str">
            <v>ADMIN</v>
          </cell>
          <cell r="H78" t="str">
            <v>Administrative coverage</v>
          </cell>
          <cell r="I78"/>
          <cell r="J78"/>
          <cell r="K78"/>
        </row>
        <row r="79">
          <cell r="B79" t="str">
            <v>GRC</v>
          </cell>
          <cell r="C79" t="str">
            <v>Greece</v>
          </cell>
          <cell r="D79">
            <v>2024</v>
          </cell>
          <cell r="E79" t="str">
            <v>FLU_ELDERLY</v>
          </cell>
          <cell r="F79" t="str">
            <v>Influenza older persons</v>
          </cell>
          <cell r="G79" t="str">
            <v>ADMIN</v>
          </cell>
          <cell r="H79" t="str">
            <v>Administrative coverage</v>
          </cell>
          <cell r="I79">
            <v>2947501</v>
          </cell>
          <cell r="J79">
            <v>1794287</v>
          </cell>
          <cell r="K79">
            <v>60.9</v>
          </cell>
        </row>
        <row r="80">
          <cell r="B80" t="str">
            <v>GRD</v>
          </cell>
          <cell r="C80" t="str">
            <v>Grenada</v>
          </cell>
          <cell r="D80">
            <v>2024</v>
          </cell>
          <cell r="E80" t="str">
            <v>FLU_ELDERLY</v>
          </cell>
          <cell r="F80" t="str">
            <v>Influenza older persons</v>
          </cell>
          <cell r="G80" t="str">
            <v>ADMIN</v>
          </cell>
          <cell r="H80" t="str">
            <v>Administrative coverage</v>
          </cell>
          <cell r="I80"/>
          <cell r="J80">
            <v>109</v>
          </cell>
          <cell r="K80"/>
        </row>
        <row r="81">
          <cell r="B81" t="str">
            <v>GUM</v>
          </cell>
          <cell r="C81" t="str">
            <v>Guam</v>
          </cell>
          <cell r="D81">
            <v>2024</v>
          </cell>
          <cell r="E81" t="str">
            <v>FLU_ELDERLY</v>
          </cell>
          <cell r="F81" t="str">
            <v>Influenza older persons</v>
          </cell>
          <cell r="G81" t="str">
            <v>ADMIN</v>
          </cell>
          <cell r="H81" t="str">
            <v>Administrative coverage</v>
          </cell>
          <cell r="I81"/>
          <cell r="J81"/>
          <cell r="K81"/>
        </row>
        <row r="82">
          <cell r="B82" t="str">
            <v>GTM</v>
          </cell>
          <cell r="C82" t="str">
            <v>Guatemala</v>
          </cell>
          <cell r="D82">
            <v>2024</v>
          </cell>
          <cell r="E82" t="str">
            <v>FLU_ELDERLY</v>
          </cell>
          <cell r="F82" t="str">
            <v>Influenza older persons</v>
          </cell>
          <cell r="G82" t="str">
            <v>ADMIN</v>
          </cell>
          <cell r="H82" t="str">
            <v>Administrative coverage</v>
          </cell>
          <cell r="I82">
            <v>1317437</v>
          </cell>
          <cell r="J82">
            <v>86133</v>
          </cell>
          <cell r="K82">
            <v>6.54</v>
          </cell>
        </row>
        <row r="83">
          <cell r="B83" t="str">
            <v>GIN</v>
          </cell>
          <cell r="C83" t="str">
            <v>Guinea</v>
          </cell>
          <cell r="D83">
            <v>2024</v>
          </cell>
          <cell r="E83" t="str">
            <v>FLU_ELDERLY</v>
          </cell>
          <cell r="F83" t="str">
            <v>Influenza older persons</v>
          </cell>
          <cell r="G83" t="str">
            <v>ADMIN</v>
          </cell>
          <cell r="H83" t="str">
            <v>Administrative coverage</v>
          </cell>
          <cell r="I83"/>
          <cell r="J83"/>
          <cell r="K83"/>
        </row>
        <row r="84">
          <cell r="B84" t="str">
            <v>GNB</v>
          </cell>
          <cell r="C84" t="str">
            <v>Guinea-Bissau</v>
          </cell>
          <cell r="D84">
            <v>2024</v>
          </cell>
          <cell r="E84" t="str">
            <v>FLU_ELDERLY</v>
          </cell>
          <cell r="F84" t="str">
            <v>Influenza older persons</v>
          </cell>
          <cell r="G84" t="str">
            <v>ADMIN</v>
          </cell>
          <cell r="H84" t="str">
            <v>Administrative coverage</v>
          </cell>
          <cell r="I84"/>
          <cell r="J84"/>
          <cell r="K84"/>
        </row>
        <row r="85">
          <cell r="B85" t="str">
            <v>GUY</v>
          </cell>
          <cell r="C85" t="str">
            <v>Guyana</v>
          </cell>
          <cell r="D85">
            <v>2024</v>
          </cell>
          <cell r="E85" t="str">
            <v>FLU_ELDERLY</v>
          </cell>
          <cell r="F85" t="str">
            <v>Influenza older persons</v>
          </cell>
          <cell r="G85" t="str">
            <v>ADMIN</v>
          </cell>
          <cell r="H85" t="str">
            <v>Administrative coverage</v>
          </cell>
          <cell r="I85"/>
          <cell r="J85"/>
          <cell r="K85"/>
        </row>
        <row r="86">
          <cell r="B86" t="str">
            <v>HTI</v>
          </cell>
          <cell r="C86" t="str">
            <v>Haiti</v>
          </cell>
          <cell r="D86">
            <v>2024</v>
          </cell>
          <cell r="E86" t="str">
            <v>FLU_ELDERLY</v>
          </cell>
          <cell r="F86" t="str">
            <v>Influenza older persons</v>
          </cell>
          <cell r="G86" t="str">
            <v>ADMIN</v>
          </cell>
          <cell r="H86" t="str">
            <v>Administrative coverage</v>
          </cell>
          <cell r="I86"/>
          <cell r="J86"/>
          <cell r="K86"/>
        </row>
        <row r="87">
          <cell r="B87" t="str">
            <v>HND</v>
          </cell>
          <cell r="C87" t="str">
            <v>Honduras</v>
          </cell>
          <cell r="D87">
            <v>2024</v>
          </cell>
          <cell r="E87" t="str">
            <v>FLU_ELDERLY</v>
          </cell>
          <cell r="F87" t="str">
            <v>Influenza older persons</v>
          </cell>
          <cell r="G87" t="str">
            <v>ADMIN</v>
          </cell>
          <cell r="H87" t="str">
            <v>Administrative coverage</v>
          </cell>
          <cell r="I87">
            <v>686284</v>
          </cell>
          <cell r="J87">
            <v>427943</v>
          </cell>
          <cell r="K87">
            <v>62.36</v>
          </cell>
        </row>
        <row r="88">
          <cell r="B88" t="str">
            <v>HUN</v>
          </cell>
          <cell r="C88" t="str">
            <v>Hungary</v>
          </cell>
          <cell r="D88">
            <v>2024</v>
          </cell>
          <cell r="E88" t="str">
            <v>FLU_ELDERLY</v>
          </cell>
          <cell r="F88" t="str">
            <v>Influenza older persons</v>
          </cell>
          <cell r="G88" t="str">
            <v>ADMIN</v>
          </cell>
          <cell r="H88" t="str">
            <v>Administrative coverage</v>
          </cell>
          <cell r="I88">
            <v>2529072</v>
          </cell>
          <cell r="J88">
            <v>376779</v>
          </cell>
          <cell r="K88">
            <v>14.9</v>
          </cell>
        </row>
        <row r="89">
          <cell r="B89" t="str">
            <v>ISL</v>
          </cell>
          <cell r="C89" t="str">
            <v>Iceland</v>
          </cell>
          <cell r="D89">
            <v>2024</v>
          </cell>
          <cell r="E89" t="str">
            <v>FLU_ELDERLY</v>
          </cell>
          <cell r="F89" t="str">
            <v>Influenza older persons</v>
          </cell>
          <cell r="G89" t="str">
            <v>ADMIN</v>
          </cell>
          <cell r="H89" t="str">
            <v>Administrative coverage</v>
          </cell>
          <cell r="I89">
            <v>83127</v>
          </cell>
          <cell r="J89">
            <v>40647</v>
          </cell>
          <cell r="K89">
            <v>48.9</v>
          </cell>
        </row>
        <row r="90">
          <cell r="B90" t="str">
            <v>IND</v>
          </cell>
          <cell r="C90" t="str">
            <v>India</v>
          </cell>
          <cell r="D90">
            <v>2024</v>
          </cell>
          <cell r="E90" t="str">
            <v>FLU_ELDERLY</v>
          </cell>
          <cell r="F90" t="str">
            <v>Influenza older persons</v>
          </cell>
          <cell r="G90" t="str">
            <v>ADMIN</v>
          </cell>
          <cell r="H90" t="str">
            <v>Administrative coverage</v>
          </cell>
          <cell r="I90"/>
          <cell r="J90"/>
          <cell r="K90"/>
        </row>
        <row r="91">
          <cell r="B91" t="str">
            <v>IDN</v>
          </cell>
          <cell r="C91" t="str">
            <v>Indonesia</v>
          </cell>
          <cell r="D91">
            <v>2024</v>
          </cell>
          <cell r="E91" t="str">
            <v>FLU_ELDERLY</v>
          </cell>
          <cell r="F91" t="str">
            <v>Influenza older persons</v>
          </cell>
          <cell r="G91" t="str">
            <v>ADMIN</v>
          </cell>
          <cell r="H91" t="str">
            <v>Administrative coverage</v>
          </cell>
          <cell r="I91"/>
          <cell r="J91"/>
          <cell r="K91"/>
        </row>
        <row r="92">
          <cell r="B92" t="str">
            <v>IRN</v>
          </cell>
          <cell r="C92" t="str">
            <v>Iran (Islamic Republic of)</v>
          </cell>
          <cell r="D92">
            <v>2024</v>
          </cell>
          <cell r="E92" t="str">
            <v>FLU_ELDERLY</v>
          </cell>
          <cell r="F92" t="str">
            <v>Influenza older persons</v>
          </cell>
          <cell r="G92" t="str">
            <v>ADMIN</v>
          </cell>
          <cell r="H92" t="str">
            <v>Administrative coverage</v>
          </cell>
          <cell r="I92">
            <v>9000000</v>
          </cell>
          <cell r="J92"/>
          <cell r="K92"/>
        </row>
        <row r="93">
          <cell r="B93" t="str">
            <v>IRQ</v>
          </cell>
          <cell r="C93" t="str">
            <v>Iraq</v>
          </cell>
          <cell r="D93">
            <v>2024</v>
          </cell>
          <cell r="E93" t="str">
            <v>FLU_ELDERLY</v>
          </cell>
          <cell r="F93" t="str">
            <v>Influenza older persons</v>
          </cell>
          <cell r="G93" t="str">
            <v>ADMIN</v>
          </cell>
          <cell r="H93" t="str">
            <v>Administrative coverage</v>
          </cell>
          <cell r="I93">
            <v>2222717</v>
          </cell>
          <cell r="J93"/>
          <cell r="K93"/>
        </row>
        <row r="94">
          <cell r="B94" t="str">
            <v>IRL</v>
          </cell>
          <cell r="C94" t="str">
            <v>Ireland</v>
          </cell>
          <cell r="D94">
            <v>2024</v>
          </cell>
          <cell r="E94" t="str">
            <v>FLU_ELDERLY</v>
          </cell>
          <cell r="F94" t="str">
            <v>Influenza older persons</v>
          </cell>
          <cell r="G94" t="str">
            <v>ADMIN</v>
          </cell>
          <cell r="H94" t="str">
            <v>Administrative coverage</v>
          </cell>
          <cell r="I94">
            <v>743087</v>
          </cell>
          <cell r="J94">
            <v>562601</v>
          </cell>
          <cell r="K94">
            <v>75.709999999999994</v>
          </cell>
        </row>
        <row r="95">
          <cell r="B95" t="str">
            <v>ITA</v>
          </cell>
          <cell r="C95" t="str">
            <v>Italy</v>
          </cell>
          <cell r="D95">
            <v>2024</v>
          </cell>
          <cell r="E95" t="str">
            <v>FLU_ELDERLY</v>
          </cell>
          <cell r="F95" t="str">
            <v>Influenza older persons</v>
          </cell>
          <cell r="G95" t="str">
            <v>ADMIN</v>
          </cell>
          <cell r="H95" t="str">
            <v>Administrative coverage</v>
          </cell>
          <cell r="I95"/>
          <cell r="J95"/>
          <cell r="K95">
            <v>53.3</v>
          </cell>
        </row>
        <row r="96">
          <cell r="B96" t="str">
            <v>JAM</v>
          </cell>
          <cell r="C96" t="str">
            <v>Jamaica</v>
          </cell>
          <cell r="D96">
            <v>2024</v>
          </cell>
          <cell r="E96" t="str">
            <v>FLU_ELDERLY</v>
          </cell>
          <cell r="F96" t="str">
            <v>Influenza older persons</v>
          </cell>
          <cell r="G96" t="str">
            <v>ADMIN</v>
          </cell>
          <cell r="H96" t="str">
            <v>Administrative coverage</v>
          </cell>
          <cell r="I96"/>
          <cell r="J96">
            <v>1031</v>
          </cell>
          <cell r="K96"/>
        </row>
        <row r="97">
          <cell r="B97" t="str">
            <v>JPN</v>
          </cell>
          <cell r="C97" t="str">
            <v>Japan</v>
          </cell>
          <cell r="D97">
            <v>2024</v>
          </cell>
          <cell r="E97" t="str">
            <v>FLU_ELDERLY</v>
          </cell>
          <cell r="F97" t="str">
            <v>Influenza older persons</v>
          </cell>
          <cell r="G97" t="str">
            <v>ADMIN</v>
          </cell>
          <cell r="H97" t="str">
            <v>Administrative coverage</v>
          </cell>
          <cell r="I97"/>
          <cell r="J97"/>
          <cell r="K97"/>
        </row>
        <row r="98">
          <cell r="B98" t="str">
            <v>JOR</v>
          </cell>
          <cell r="C98" t="str">
            <v>Jordan</v>
          </cell>
          <cell r="D98">
            <v>2024</v>
          </cell>
          <cell r="E98" t="str">
            <v>FLU_ELDERLY</v>
          </cell>
          <cell r="F98" t="str">
            <v>Influenza older persons</v>
          </cell>
          <cell r="G98" t="str">
            <v>ADMIN</v>
          </cell>
          <cell r="H98" t="str">
            <v>Administrative coverage</v>
          </cell>
          <cell r="I98">
            <v>641685</v>
          </cell>
          <cell r="J98">
            <v>2453</v>
          </cell>
          <cell r="K98">
            <v>0.38</v>
          </cell>
        </row>
        <row r="99">
          <cell r="B99" t="str">
            <v>KAZ</v>
          </cell>
          <cell r="C99" t="str">
            <v>Kazakhstan</v>
          </cell>
          <cell r="D99">
            <v>2024</v>
          </cell>
          <cell r="E99" t="str">
            <v>FLU_ELDERLY</v>
          </cell>
          <cell r="F99" t="str">
            <v>Influenza older persons</v>
          </cell>
          <cell r="G99" t="str">
            <v>ADMIN</v>
          </cell>
          <cell r="H99" t="str">
            <v>Administrative coverage</v>
          </cell>
          <cell r="I99">
            <v>1863883</v>
          </cell>
          <cell r="J99">
            <v>461671</v>
          </cell>
          <cell r="K99">
            <v>24.77</v>
          </cell>
        </row>
        <row r="100">
          <cell r="B100" t="str">
            <v>KEN</v>
          </cell>
          <cell r="C100" t="str">
            <v>Kenya</v>
          </cell>
          <cell r="D100">
            <v>2024</v>
          </cell>
          <cell r="E100" t="str">
            <v>FLU_ELDERLY</v>
          </cell>
          <cell r="F100" t="str">
            <v>Influenza older persons</v>
          </cell>
          <cell r="G100" t="str">
            <v>ADMIN</v>
          </cell>
          <cell r="H100" t="str">
            <v>Administrative coverage</v>
          </cell>
          <cell r="I100">
            <v>2949565</v>
          </cell>
          <cell r="J100"/>
          <cell r="K100"/>
        </row>
        <row r="101">
          <cell r="B101" t="str">
            <v>KIR</v>
          </cell>
          <cell r="C101" t="str">
            <v>Kiribati</v>
          </cell>
          <cell r="D101">
            <v>2024</v>
          </cell>
          <cell r="E101" t="str">
            <v>FLU_ELDERLY</v>
          </cell>
          <cell r="F101" t="str">
            <v>Influenza older persons</v>
          </cell>
          <cell r="G101" t="str">
            <v>ADMIN</v>
          </cell>
          <cell r="H101" t="str">
            <v>Administrative coverage</v>
          </cell>
          <cell r="I101"/>
          <cell r="J101"/>
          <cell r="K101"/>
        </row>
        <row r="102">
          <cell r="B102" t="str">
            <v>XKX</v>
          </cell>
          <cell r="C102" t="str">
            <v>Kosovo (in accordance with UN Security Council resolution 1244 (1999))</v>
          </cell>
          <cell r="D102">
            <v>2024</v>
          </cell>
          <cell r="E102" t="str">
            <v>FLU_ELDERLY</v>
          </cell>
          <cell r="F102" t="str">
            <v>Influenza older persons</v>
          </cell>
          <cell r="G102" t="str">
            <v>ADMIN</v>
          </cell>
          <cell r="H102" t="str">
            <v>Administrative coverage</v>
          </cell>
          <cell r="I102"/>
          <cell r="J102">
            <v>44572</v>
          </cell>
          <cell r="K102"/>
        </row>
        <row r="103">
          <cell r="B103" t="str">
            <v>KWT</v>
          </cell>
          <cell r="C103" t="str">
            <v>Kuwait</v>
          </cell>
          <cell r="D103">
            <v>2024</v>
          </cell>
          <cell r="E103" t="str">
            <v>FLU_ELDERLY</v>
          </cell>
          <cell r="F103" t="str">
            <v>Influenza older persons</v>
          </cell>
          <cell r="G103" t="str">
            <v>ADMIN</v>
          </cell>
          <cell r="H103" t="str">
            <v>Administrative coverage</v>
          </cell>
          <cell r="I103"/>
          <cell r="J103">
            <v>8349</v>
          </cell>
          <cell r="K103"/>
        </row>
        <row r="104">
          <cell r="B104" t="str">
            <v>KGZ</v>
          </cell>
          <cell r="C104" t="str">
            <v>Kyrgyzstan</v>
          </cell>
          <cell r="D104">
            <v>2024</v>
          </cell>
          <cell r="E104" t="str">
            <v>FLU_ELDERLY</v>
          </cell>
          <cell r="F104" t="str">
            <v>Influenza older persons</v>
          </cell>
          <cell r="G104" t="str">
            <v>ADMIN</v>
          </cell>
          <cell r="H104" t="str">
            <v>Administrative coverage</v>
          </cell>
          <cell r="I104">
            <v>114158</v>
          </cell>
          <cell r="J104">
            <v>6556</v>
          </cell>
          <cell r="K104">
            <v>6</v>
          </cell>
        </row>
        <row r="105">
          <cell r="B105" t="str">
            <v>LAO</v>
          </cell>
          <cell r="C105" t="str">
            <v>Lao People's Democratic Republic</v>
          </cell>
          <cell r="D105">
            <v>2024</v>
          </cell>
          <cell r="E105" t="str">
            <v>FLU_ELDERLY</v>
          </cell>
          <cell r="F105" t="str">
            <v>Influenza older persons</v>
          </cell>
          <cell r="G105" t="str">
            <v>ADMIN</v>
          </cell>
          <cell r="H105" t="str">
            <v>Administrative coverage</v>
          </cell>
          <cell r="I105"/>
          <cell r="J105"/>
          <cell r="K105"/>
        </row>
        <row r="106">
          <cell r="B106" t="str">
            <v>LVA</v>
          </cell>
          <cell r="C106" t="str">
            <v>Latvia</v>
          </cell>
          <cell r="D106">
            <v>2024</v>
          </cell>
          <cell r="E106" t="str">
            <v>FLU_ELDERLY</v>
          </cell>
          <cell r="F106" t="str">
            <v>Influenza older persons</v>
          </cell>
          <cell r="G106" t="str">
            <v>ADMIN</v>
          </cell>
          <cell r="H106" t="str">
            <v>Administrative coverage</v>
          </cell>
          <cell r="I106">
            <v>397235</v>
          </cell>
          <cell r="J106">
            <v>64819</v>
          </cell>
          <cell r="K106">
            <v>16.32</v>
          </cell>
        </row>
        <row r="107">
          <cell r="B107" t="str">
            <v>LBN</v>
          </cell>
          <cell r="C107" t="str">
            <v>Lebanon</v>
          </cell>
          <cell r="D107">
            <v>2024</v>
          </cell>
          <cell r="E107" t="str">
            <v>FLU_ELDERLY</v>
          </cell>
          <cell r="F107" t="str">
            <v>Influenza older persons</v>
          </cell>
          <cell r="G107" t="str">
            <v>ADMIN</v>
          </cell>
          <cell r="H107" t="str">
            <v>Administrative coverage</v>
          </cell>
          <cell r="I107"/>
          <cell r="J107">
            <v>1174</v>
          </cell>
          <cell r="K107"/>
        </row>
        <row r="108">
          <cell r="B108" t="str">
            <v>LSO</v>
          </cell>
          <cell r="C108" t="str">
            <v>Lesotho</v>
          </cell>
          <cell r="D108">
            <v>2024</v>
          </cell>
          <cell r="E108" t="str">
            <v>FLU_ELDERLY</v>
          </cell>
          <cell r="F108" t="str">
            <v>Influenza older persons</v>
          </cell>
          <cell r="G108" t="str">
            <v>ADMIN</v>
          </cell>
          <cell r="H108" t="str">
            <v>Administrative coverage</v>
          </cell>
          <cell r="I108"/>
          <cell r="J108"/>
          <cell r="K108"/>
        </row>
        <row r="109">
          <cell r="B109" t="str">
            <v>LBR</v>
          </cell>
          <cell r="C109" t="str">
            <v>Liberia</v>
          </cell>
          <cell r="D109">
            <v>2024</v>
          </cell>
          <cell r="E109" t="str">
            <v>FLU_ELDERLY</v>
          </cell>
          <cell r="F109" t="str">
            <v>Influenza older persons</v>
          </cell>
          <cell r="G109" t="str">
            <v>ADMIN</v>
          </cell>
          <cell r="H109" t="str">
            <v>Administrative coverage</v>
          </cell>
          <cell r="I109"/>
          <cell r="J109"/>
          <cell r="K109"/>
        </row>
        <row r="110">
          <cell r="B110" t="str">
            <v>LBY</v>
          </cell>
          <cell r="C110" t="str">
            <v>Libya</v>
          </cell>
          <cell r="D110">
            <v>2024</v>
          </cell>
          <cell r="E110" t="str">
            <v>FLU_ELDERLY</v>
          </cell>
          <cell r="F110" t="str">
            <v>Influenza older persons</v>
          </cell>
          <cell r="G110" t="str">
            <v>ADMIN</v>
          </cell>
          <cell r="H110" t="str">
            <v>Administrative coverage</v>
          </cell>
          <cell r="I110"/>
          <cell r="J110">
            <v>128185</v>
          </cell>
          <cell r="K110"/>
        </row>
        <row r="111">
          <cell r="B111" t="str">
            <v>LTU</v>
          </cell>
          <cell r="C111" t="str">
            <v>Lithuania</v>
          </cell>
          <cell r="D111">
            <v>2024</v>
          </cell>
          <cell r="E111" t="str">
            <v>FLU_ELDERLY</v>
          </cell>
          <cell r="F111" t="str">
            <v>Influenza older persons</v>
          </cell>
          <cell r="G111" t="str">
            <v>ADMIN</v>
          </cell>
          <cell r="H111" t="str">
            <v>Administrative coverage</v>
          </cell>
          <cell r="I111">
            <v>579325</v>
          </cell>
          <cell r="J111">
            <v>131539</v>
          </cell>
          <cell r="K111">
            <v>22.71</v>
          </cell>
        </row>
        <row r="112">
          <cell r="B112" t="str">
            <v>LUX</v>
          </cell>
          <cell r="C112" t="str">
            <v>Luxembourg</v>
          </cell>
          <cell r="D112">
            <v>2024</v>
          </cell>
          <cell r="E112" t="str">
            <v>FLU_ELDERLY</v>
          </cell>
          <cell r="F112" t="str">
            <v>Influenza older persons</v>
          </cell>
          <cell r="G112" t="str">
            <v>ADMIN</v>
          </cell>
          <cell r="H112" t="str">
            <v>Administrative coverage</v>
          </cell>
          <cell r="I112">
            <v>95668</v>
          </cell>
          <cell r="J112">
            <v>40396</v>
          </cell>
          <cell r="K112">
            <v>42.23</v>
          </cell>
        </row>
        <row r="113">
          <cell r="B113" t="str">
            <v>MDG</v>
          </cell>
          <cell r="C113" t="str">
            <v>Madagascar</v>
          </cell>
          <cell r="D113">
            <v>2024</v>
          </cell>
          <cell r="E113" t="str">
            <v>FLU_ELDERLY</v>
          </cell>
          <cell r="F113" t="str">
            <v>Influenza older persons</v>
          </cell>
          <cell r="G113" t="str">
            <v>ADMIN</v>
          </cell>
          <cell r="H113" t="str">
            <v>Administrative coverage</v>
          </cell>
          <cell r="I113"/>
          <cell r="J113"/>
          <cell r="K113"/>
        </row>
        <row r="114">
          <cell r="B114" t="str">
            <v>MWI</v>
          </cell>
          <cell r="C114" t="str">
            <v>Malawi</v>
          </cell>
          <cell r="D114">
            <v>2024</v>
          </cell>
          <cell r="E114" t="str">
            <v>FLU_ELDERLY</v>
          </cell>
          <cell r="F114" t="str">
            <v>Influenza older persons</v>
          </cell>
          <cell r="G114" t="str">
            <v>ADMIN</v>
          </cell>
          <cell r="H114" t="str">
            <v>Administrative coverage</v>
          </cell>
          <cell r="I114"/>
          <cell r="J114"/>
          <cell r="K114"/>
        </row>
        <row r="115">
          <cell r="B115" t="str">
            <v>MYS</v>
          </cell>
          <cell r="C115" t="str">
            <v>Malaysia</v>
          </cell>
          <cell r="D115">
            <v>2024</v>
          </cell>
          <cell r="E115" t="str">
            <v>FLU_ELDERLY</v>
          </cell>
          <cell r="F115" t="str">
            <v>Influenza older persons</v>
          </cell>
          <cell r="G115" t="str">
            <v>ADMIN</v>
          </cell>
          <cell r="H115" t="str">
            <v>Administrative coverage</v>
          </cell>
          <cell r="I115"/>
          <cell r="J115"/>
          <cell r="K115"/>
        </row>
        <row r="116">
          <cell r="B116" t="str">
            <v>MDV</v>
          </cell>
          <cell r="C116" t="str">
            <v>Maldives</v>
          </cell>
          <cell r="D116">
            <v>2024</v>
          </cell>
          <cell r="E116" t="str">
            <v>FLU_ELDERLY</v>
          </cell>
          <cell r="F116" t="str">
            <v>Influenza older persons</v>
          </cell>
          <cell r="G116" t="str">
            <v>ADMIN</v>
          </cell>
          <cell r="H116" t="str">
            <v>Administrative coverage</v>
          </cell>
          <cell r="I116"/>
          <cell r="J116"/>
          <cell r="K116"/>
        </row>
        <row r="117">
          <cell r="B117" t="str">
            <v>MLI</v>
          </cell>
          <cell r="C117" t="str">
            <v>Mali</v>
          </cell>
          <cell r="D117">
            <v>2024</v>
          </cell>
          <cell r="E117" t="str">
            <v>FLU_ELDERLY</v>
          </cell>
          <cell r="F117" t="str">
            <v>Influenza older persons</v>
          </cell>
          <cell r="G117" t="str">
            <v>ADMIN</v>
          </cell>
          <cell r="H117" t="str">
            <v>Administrative coverage</v>
          </cell>
          <cell r="I117"/>
          <cell r="J117"/>
          <cell r="K117"/>
        </row>
        <row r="118">
          <cell r="B118" t="str">
            <v>MLT</v>
          </cell>
          <cell r="C118" t="str">
            <v>Malta</v>
          </cell>
          <cell r="D118">
            <v>2024</v>
          </cell>
          <cell r="E118" t="str">
            <v>FLU_ELDERLY</v>
          </cell>
          <cell r="F118" t="str">
            <v>Influenza older persons</v>
          </cell>
          <cell r="G118" t="str">
            <v>ADMIN</v>
          </cell>
          <cell r="H118" t="str">
            <v>Administrative coverage</v>
          </cell>
          <cell r="I118">
            <v>80000</v>
          </cell>
          <cell r="J118">
            <v>70313</v>
          </cell>
          <cell r="K118">
            <v>87.89</v>
          </cell>
        </row>
        <row r="119">
          <cell r="B119" t="str">
            <v>MHL</v>
          </cell>
          <cell r="C119" t="str">
            <v>Marshall Islands</v>
          </cell>
          <cell r="D119">
            <v>2024</v>
          </cell>
          <cell r="E119" t="str">
            <v>FLU_ELDERLY</v>
          </cell>
          <cell r="F119" t="str">
            <v>Influenza older persons</v>
          </cell>
          <cell r="G119" t="str">
            <v>ADMIN</v>
          </cell>
          <cell r="H119" t="str">
            <v>Administrative coverage</v>
          </cell>
          <cell r="I119"/>
          <cell r="J119"/>
          <cell r="K119"/>
        </row>
        <row r="120">
          <cell r="B120" t="str">
            <v>MRT</v>
          </cell>
          <cell r="C120" t="str">
            <v>Mauritania</v>
          </cell>
          <cell r="D120">
            <v>2024</v>
          </cell>
          <cell r="E120" t="str">
            <v>FLU_ELDERLY</v>
          </cell>
          <cell r="F120" t="str">
            <v>Influenza older persons</v>
          </cell>
          <cell r="G120" t="str">
            <v>ADMIN</v>
          </cell>
          <cell r="H120" t="str">
            <v>Administrative coverage</v>
          </cell>
          <cell r="I120"/>
          <cell r="J120"/>
          <cell r="K120"/>
        </row>
        <row r="121">
          <cell r="B121" t="str">
            <v>MUS</v>
          </cell>
          <cell r="C121" t="str">
            <v>Mauritius</v>
          </cell>
          <cell r="D121">
            <v>2024</v>
          </cell>
          <cell r="E121" t="str">
            <v>FLU_ELDERLY</v>
          </cell>
          <cell r="F121" t="str">
            <v>Influenza older persons</v>
          </cell>
          <cell r="G121" t="str">
            <v>ADMIN</v>
          </cell>
          <cell r="H121" t="str">
            <v>Administrative coverage</v>
          </cell>
          <cell r="I121">
            <v>257562</v>
          </cell>
          <cell r="J121">
            <v>94084</v>
          </cell>
          <cell r="K121">
            <v>36.53</v>
          </cell>
        </row>
        <row r="122">
          <cell r="B122" t="str">
            <v>MEX</v>
          </cell>
          <cell r="C122" t="str">
            <v>Mexico</v>
          </cell>
          <cell r="D122">
            <v>2024</v>
          </cell>
          <cell r="E122" t="str">
            <v>FLU_ELDERLY</v>
          </cell>
          <cell r="F122" t="str">
            <v>Influenza older persons</v>
          </cell>
          <cell r="G122" t="str">
            <v>ADMIN</v>
          </cell>
          <cell r="H122" t="str">
            <v>Administrative coverage</v>
          </cell>
          <cell r="I122"/>
          <cell r="J122"/>
          <cell r="K122"/>
        </row>
        <row r="123">
          <cell r="B123" t="str">
            <v>FSM</v>
          </cell>
          <cell r="C123" t="str">
            <v>Micronesia (Federated States of)</v>
          </cell>
          <cell r="D123">
            <v>2024</v>
          </cell>
          <cell r="E123" t="str">
            <v>FLU_ELDERLY</v>
          </cell>
          <cell r="F123" t="str">
            <v>Influenza older persons</v>
          </cell>
          <cell r="G123" t="str">
            <v>ADMIN</v>
          </cell>
          <cell r="H123" t="str">
            <v>Administrative coverage</v>
          </cell>
          <cell r="I123"/>
          <cell r="J123"/>
          <cell r="K123"/>
        </row>
        <row r="124">
          <cell r="B124" t="str">
            <v>MCO</v>
          </cell>
          <cell r="C124" t="str">
            <v>Monaco</v>
          </cell>
          <cell r="D124">
            <v>2024</v>
          </cell>
          <cell r="E124" t="str">
            <v>FLU_ELDERLY</v>
          </cell>
          <cell r="F124" t="str">
            <v>Influenza older persons</v>
          </cell>
          <cell r="G124" t="str">
            <v>ADMIN</v>
          </cell>
          <cell r="H124" t="str">
            <v>Administrative coverage</v>
          </cell>
          <cell r="I124"/>
          <cell r="J124"/>
          <cell r="K124"/>
        </row>
        <row r="125">
          <cell r="B125" t="str">
            <v>MNG</v>
          </cell>
          <cell r="C125" t="str">
            <v>Mongolia</v>
          </cell>
          <cell r="D125">
            <v>2024</v>
          </cell>
          <cell r="E125" t="str">
            <v>FLU_ELDERLY</v>
          </cell>
          <cell r="F125" t="str">
            <v>Influenza older persons</v>
          </cell>
          <cell r="G125" t="str">
            <v>ADMIN</v>
          </cell>
          <cell r="H125" t="str">
            <v>Administrative coverage</v>
          </cell>
          <cell r="I125">
            <v>88543</v>
          </cell>
          <cell r="J125">
            <v>88543</v>
          </cell>
          <cell r="K125">
            <v>100</v>
          </cell>
        </row>
        <row r="126">
          <cell r="B126" t="str">
            <v>MNE</v>
          </cell>
          <cell r="C126" t="str">
            <v>Montenegro</v>
          </cell>
          <cell r="D126">
            <v>2024</v>
          </cell>
          <cell r="E126" t="str">
            <v>FLU_ELDERLY</v>
          </cell>
          <cell r="F126" t="str">
            <v>Influenza older persons</v>
          </cell>
          <cell r="G126" t="str">
            <v>ADMIN</v>
          </cell>
          <cell r="H126" t="str">
            <v>Administrative coverage</v>
          </cell>
          <cell r="I126">
            <v>105008</v>
          </cell>
          <cell r="J126">
            <v>10358</v>
          </cell>
          <cell r="K126">
            <v>9.86</v>
          </cell>
        </row>
        <row r="127">
          <cell r="B127" t="str">
            <v>MSR</v>
          </cell>
          <cell r="C127" t="str">
            <v>Montserrat</v>
          </cell>
          <cell r="D127">
            <v>2024</v>
          </cell>
          <cell r="E127" t="str">
            <v>FLU_ELDERLY</v>
          </cell>
          <cell r="F127" t="str">
            <v>Influenza older persons</v>
          </cell>
          <cell r="G127" t="str">
            <v>ADMIN</v>
          </cell>
          <cell r="H127" t="str">
            <v>Administrative coverage</v>
          </cell>
          <cell r="I127"/>
          <cell r="J127">
            <v>0</v>
          </cell>
          <cell r="K127">
            <v>0</v>
          </cell>
        </row>
        <row r="128">
          <cell r="B128" t="str">
            <v>MAR</v>
          </cell>
          <cell r="C128" t="str">
            <v>Morocco</v>
          </cell>
          <cell r="D128">
            <v>2024</v>
          </cell>
          <cell r="E128" t="str">
            <v>FLU_ELDERLY</v>
          </cell>
          <cell r="F128" t="str">
            <v>Influenza older persons</v>
          </cell>
          <cell r="G128" t="str">
            <v>ADMIN</v>
          </cell>
          <cell r="H128" t="str">
            <v>Administrative coverage</v>
          </cell>
          <cell r="I128"/>
          <cell r="J128"/>
          <cell r="K128"/>
        </row>
        <row r="129">
          <cell r="B129" t="str">
            <v>MOZ</v>
          </cell>
          <cell r="C129" t="str">
            <v>Mozambique</v>
          </cell>
          <cell r="D129">
            <v>2024</v>
          </cell>
          <cell r="E129" t="str">
            <v>FLU_ELDERLY</v>
          </cell>
          <cell r="F129" t="str">
            <v>Influenza older persons</v>
          </cell>
          <cell r="G129" t="str">
            <v>ADMIN</v>
          </cell>
          <cell r="H129" t="str">
            <v>Administrative coverage</v>
          </cell>
          <cell r="I129"/>
          <cell r="J129"/>
          <cell r="K129"/>
        </row>
        <row r="130">
          <cell r="B130" t="str">
            <v>MMR</v>
          </cell>
          <cell r="C130" t="str">
            <v>Myanmar</v>
          </cell>
          <cell r="D130">
            <v>2024</v>
          </cell>
          <cell r="E130" t="str">
            <v>FLU_ELDERLY</v>
          </cell>
          <cell r="F130" t="str">
            <v>Influenza older persons</v>
          </cell>
          <cell r="G130" t="str">
            <v>ADMIN</v>
          </cell>
          <cell r="H130" t="str">
            <v>Administrative coverage</v>
          </cell>
          <cell r="I130"/>
          <cell r="J130"/>
          <cell r="K130"/>
        </row>
        <row r="131">
          <cell r="B131" t="str">
            <v>NAM</v>
          </cell>
          <cell r="C131" t="str">
            <v>Namibia</v>
          </cell>
          <cell r="D131">
            <v>2024</v>
          </cell>
          <cell r="E131" t="str">
            <v>FLU_ELDERLY</v>
          </cell>
          <cell r="F131" t="str">
            <v>Influenza older persons</v>
          </cell>
          <cell r="G131" t="str">
            <v>ADMIN</v>
          </cell>
          <cell r="H131" t="str">
            <v>Administrative coverage</v>
          </cell>
          <cell r="I131"/>
          <cell r="J131"/>
          <cell r="K131"/>
        </row>
        <row r="132">
          <cell r="B132" t="str">
            <v>NRU</v>
          </cell>
          <cell r="C132" t="str">
            <v>Nauru</v>
          </cell>
          <cell r="D132">
            <v>2024</v>
          </cell>
          <cell r="E132" t="str">
            <v>FLU_ELDERLY</v>
          </cell>
          <cell r="F132" t="str">
            <v>Influenza older persons</v>
          </cell>
          <cell r="G132" t="str">
            <v>ADMIN</v>
          </cell>
          <cell r="H132" t="str">
            <v>Administrative coverage</v>
          </cell>
          <cell r="I132"/>
          <cell r="J132"/>
          <cell r="K132"/>
        </row>
        <row r="133">
          <cell r="B133" t="str">
            <v>NPL</v>
          </cell>
          <cell r="C133" t="str">
            <v>Nepal</v>
          </cell>
          <cell r="D133">
            <v>2024</v>
          </cell>
          <cell r="E133" t="str">
            <v>FLU_ELDERLY</v>
          </cell>
          <cell r="F133" t="str">
            <v>Influenza older persons</v>
          </cell>
          <cell r="G133" t="str">
            <v>ADMIN</v>
          </cell>
          <cell r="H133" t="str">
            <v>Administrative coverage</v>
          </cell>
          <cell r="I133"/>
          <cell r="J133"/>
          <cell r="K133"/>
        </row>
        <row r="134">
          <cell r="B134" t="str">
            <v>NLD</v>
          </cell>
          <cell r="C134" t="str">
            <v>Netherlands (Kingdom of the)</v>
          </cell>
          <cell r="D134">
            <v>2024</v>
          </cell>
          <cell r="E134" t="str">
            <v>FLU_ELDERLY</v>
          </cell>
          <cell r="F134" t="str">
            <v>Influenza older persons</v>
          </cell>
          <cell r="G134" t="str">
            <v>ADMIN</v>
          </cell>
          <cell r="H134" t="str">
            <v>Administrative coverage</v>
          </cell>
          <cell r="I134"/>
          <cell r="J134"/>
          <cell r="K134">
            <v>59.7</v>
          </cell>
        </row>
        <row r="135">
          <cell r="B135" t="str">
            <v>NCL</v>
          </cell>
          <cell r="C135" t="str">
            <v>New Caledonia</v>
          </cell>
          <cell r="D135">
            <v>2024</v>
          </cell>
          <cell r="E135" t="str">
            <v>FLU_ELDERLY</v>
          </cell>
          <cell r="F135" t="str">
            <v>Influenza older persons</v>
          </cell>
          <cell r="G135" t="str">
            <v>ADMIN</v>
          </cell>
          <cell r="H135" t="str">
            <v>Administrative coverage</v>
          </cell>
          <cell r="I135"/>
          <cell r="J135"/>
          <cell r="K135"/>
        </row>
        <row r="136">
          <cell r="B136" t="str">
            <v>NZL</v>
          </cell>
          <cell r="C136" t="str">
            <v>New Zealand</v>
          </cell>
          <cell r="D136">
            <v>2024</v>
          </cell>
          <cell r="E136" t="str">
            <v>FLU_ELDERLY</v>
          </cell>
          <cell r="F136" t="str">
            <v>Influenza older persons</v>
          </cell>
          <cell r="G136" t="str">
            <v>ADMIN</v>
          </cell>
          <cell r="H136" t="str">
            <v>Administrative coverage</v>
          </cell>
          <cell r="I136">
            <v>900405</v>
          </cell>
          <cell r="J136">
            <v>549545</v>
          </cell>
          <cell r="K136">
            <v>61.03</v>
          </cell>
        </row>
        <row r="137">
          <cell r="B137" t="str">
            <v>NIC</v>
          </cell>
          <cell r="C137" t="str">
            <v>Nicaragua</v>
          </cell>
          <cell r="D137">
            <v>2024</v>
          </cell>
          <cell r="E137" t="str">
            <v>FLU_ELDERLY</v>
          </cell>
          <cell r="F137" t="str">
            <v>Influenza older persons</v>
          </cell>
          <cell r="G137" t="str">
            <v>ADMIN</v>
          </cell>
          <cell r="H137" t="str">
            <v>Administrative coverage</v>
          </cell>
          <cell r="I137"/>
          <cell r="J137"/>
          <cell r="K137"/>
        </row>
        <row r="138">
          <cell r="B138" t="str">
            <v>NER</v>
          </cell>
          <cell r="C138" t="str">
            <v>Niger</v>
          </cell>
          <cell r="D138">
            <v>2024</v>
          </cell>
          <cell r="E138" t="str">
            <v>FLU_ELDERLY</v>
          </cell>
          <cell r="F138" t="str">
            <v>Influenza older persons</v>
          </cell>
          <cell r="G138" t="str">
            <v>ADMIN</v>
          </cell>
          <cell r="H138" t="str">
            <v>Administrative coverage</v>
          </cell>
          <cell r="I138"/>
          <cell r="J138"/>
          <cell r="K138"/>
        </row>
        <row r="139">
          <cell r="B139" t="str">
            <v>NGA</v>
          </cell>
          <cell r="C139" t="str">
            <v>Nigeria</v>
          </cell>
          <cell r="D139">
            <v>2024</v>
          </cell>
          <cell r="E139" t="str">
            <v>FLU_ELDERLY</v>
          </cell>
          <cell r="F139" t="str">
            <v>Influenza older persons</v>
          </cell>
          <cell r="G139" t="str">
            <v>ADMIN</v>
          </cell>
          <cell r="H139" t="str">
            <v>Administrative coverage</v>
          </cell>
          <cell r="I139"/>
          <cell r="J139"/>
          <cell r="K139"/>
        </row>
        <row r="140">
          <cell r="B140" t="str">
            <v>NIU</v>
          </cell>
          <cell r="C140" t="str">
            <v>Niue</v>
          </cell>
          <cell r="D140">
            <v>2024</v>
          </cell>
          <cell r="E140" t="str">
            <v>FLU_ELDERLY</v>
          </cell>
          <cell r="F140" t="str">
            <v>Influenza older persons</v>
          </cell>
          <cell r="G140" t="str">
            <v>ADMIN</v>
          </cell>
          <cell r="H140" t="str">
            <v>Administrative coverage</v>
          </cell>
          <cell r="I140"/>
          <cell r="J140"/>
          <cell r="K140"/>
        </row>
        <row r="141">
          <cell r="B141" t="str">
            <v>MKD</v>
          </cell>
          <cell r="C141" t="str">
            <v>North Macedonia</v>
          </cell>
          <cell r="D141">
            <v>2024</v>
          </cell>
          <cell r="E141" t="str">
            <v>FLU_ELDERLY</v>
          </cell>
          <cell r="F141" t="str">
            <v>Influenza older persons</v>
          </cell>
          <cell r="G141" t="str">
            <v>ADMIN</v>
          </cell>
          <cell r="H141" t="str">
            <v>Administrative coverage</v>
          </cell>
          <cell r="I141">
            <v>315331</v>
          </cell>
          <cell r="J141">
            <v>37826</v>
          </cell>
          <cell r="K141">
            <v>12</v>
          </cell>
        </row>
        <row r="142">
          <cell r="B142" t="str">
            <v>MNP</v>
          </cell>
          <cell r="C142" t="str">
            <v>Northern Mariana Islands</v>
          </cell>
          <cell r="D142">
            <v>2024</v>
          </cell>
          <cell r="E142" t="str">
            <v>FLU_ELDERLY</v>
          </cell>
          <cell r="F142" t="str">
            <v>Influenza older persons</v>
          </cell>
          <cell r="G142" t="str">
            <v>ADMIN</v>
          </cell>
          <cell r="H142" t="str">
            <v>Administrative coverage</v>
          </cell>
          <cell r="I142"/>
          <cell r="J142"/>
          <cell r="K142"/>
        </row>
        <row r="143">
          <cell r="B143" t="str">
            <v>NOR</v>
          </cell>
          <cell r="C143" t="str">
            <v>Norway</v>
          </cell>
          <cell r="D143">
            <v>2024</v>
          </cell>
          <cell r="E143" t="str">
            <v>FLU_ELDERLY</v>
          </cell>
          <cell r="F143" t="str">
            <v>Influenza older persons</v>
          </cell>
          <cell r="G143" t="str">
            <v>ADMIN</v>
          </cell>
          <cell r="H143" t="str">
            <v>Administrative coverage</v>
          </cell>
          <cell r="I143"/>
          <cell r="J143"/>
          <cell r="K143">
            <v>65</v>
          </cell>
        </row>
        <row r="144">
          <cell r="B144" t="str">
            <v>PSE</v>
          </cell>
          <cell r="C144" t="str">
            <v>occupied Palestinian territory, including east Jerusalem</v>
          </cell>
          <cell r="D144">
            <v>2024</v>
          </cell>
          <cell r="E144" t="str">
            <v>FLU_ELDERLY</v>
          </cell>
          <cell r="F144" t="str">
            <v>Influenza older persons</v>
          </cell>
          <cell r="G144" t="str">
            <v>ADMIN</v>
          </cell>
          <cell r="H144" t="str">
            <v>Administrative coverage</v>
          </cell>
          <cell r="I144"/>
          <cell r="J144">
            <v>4491</v>
          </cell>
          <cell r="K144"/>
        </row>
        <row r="145">
          <cell r="B145" t="str">
            <v>OMN</v>
          </cell>
          <cell r="C145" t="str">
            <v>Oman</v>
          </cell>
          <cell r="D145">
            <v>2024</v>
          </cell>
          <cell r="E145" t="str">
            <v>FLU_ELDERLY</v>
          </cell>
          <cell r="F145" t="str">
            <v>Influenza older persons</v>
          </cell>
          <cell r="G145" t="str">
            <v>ADMIN</v>
          </cell>
          <cell r="H145" t="str">
            <v>Administrative coverage</v>
          </cell>
          <cell r="I145">
            <v>80120</v>
          </cell>
          <cell r="J145">
            <v>74390</v>
          </cell>
          <cell r="K145">
            <v>92.85</v>
          </cell>
        </row>
        <row r="146">
          <cell r="B146" t="str">
            <v>PAK</v>
          </cell>
          <cell r="C146" t="str">
            <v>Pakistan</v>
          </cell>
          <cell r="D146">
            <v>2024</v>
          </cell>
          <cell r="E146" t="str">
            <v>FLU_ELDERLY</v>
          </cell>
          <cell r="F146" t="str">
            <v>Influenza older persons</v>
          </cell>
          <cell r="G146" t="str">
            <v>ADMIN</v>
          </cell>
          <cell r="H146" t="str">
            <v>Administrative coverage</v>
          </cell>
          <cell r="I146"/>
          <cell r="J146"/>
          <cell r="K146"/>
        </row>
        <row r="147">
          <cell r="B147" t="str">
            <v>PLW</v>
          </cell>
          <cell r="C147" t="str">
            <v>Palau</v>
          </cell>
          <cell r="D147">
            <v>2024</v>
          </cell>
          <cell r="E147" t="str">
            <v>FLU_ELDERLY</v>
          </cell>
          <cell r="F147" t="str">
            <v>Influenza older persons</v>
          </cell>
          <cell r="G147" t="str">
            <v>ADMIN</v>
          </cell>
          <cell r="H147" t="str">
            <v>Administrative coverage</v>
          </cell>
          <cell r="I147"/>
          <cell r="J147"/>
          <cell r="K147"/>
        </row>
        <row r="148">
          <cell r="B148" t="str">
            <v>PAN</v>
          </cell>
          <cell r="C148" t="str">
            <v>Panama</v>
          </cell>
          <cell r="D148">
            <v>2024</v>
          </cell>
          <cell r="E148" t="str">
            <v>FLU_ELDERLY</v>
          </cell>
          <cell r="F148" t="str">
            <v>Influenza older persons</v>
          </cell>
          <cell r="G148" t="str">
            <v>ADMIN</v>
          </cell>
          <cell r="H148" t="str">
            <v>Administrative coverage</v>
          </cell>
          <cell r="I148">
            <v>334448</v>
          </cell>
          <cell r="J148">
            <v>202815</v>
          </cell>
          <cell r="K148">
            <v>60.64</v>
          </cell>
        </row>
        <row r="149">
          <cell r="B149" t="str">
            <v>PNG</v>
          </cell>
          <cell r="C149" t="str">
            <v>Papua New Guinea</v>
          </cell>
          <cell r="D149">
            <v>2024</v>
          </cell>
          <cell r="E149" t="str">
            <v>FLU_ELDERLY</v>
          </cell>
          <cell r="F149" t="str">
            <v>Influenza older persons</v>
          </cell>
          <cell r="G149" t="str">
            <v>ADMIN</v>
          </cell>
          <cell r="H149" t="str">
            <v>Administrative coverage</v>
          </cell>
          <cell r="I149"/>
          <cell r="J149"/>
          <cell r="K149"/>
        </row>
        <row r="150">
          <cell r="B150" t="str">
            <v>PRY</v>
          </cell>
          <cell r="C150" t="str">
            <v>Paraguay</v>
          </cell>
          <cell r="D150">
            <v>2024</v>
          </cell>
          <cell r="E150" t="str">
            <v>FLU_ELDERLY</v>
          </cell>
          <cell r="F150" t="str">
            <v>Influenza older persons</v>
          </cell>
          <cell r="G150" t="str">
            <v>ADMIN</v>
          </cell>
          <cell r="H150" t="str">
            <v>Administrative coverage</v>
          </cell>
          <cell r="I150">
            <v>776532</v>
          </cell>
          <cell r="J150">
            <v>222021</v>
          </cell>
          <cell r="K150">
            <v>28.59</v>
          </cell>
        </row>
        <row r="151">
          <cell r="B151" t="str">
            <v>PER</v>
          </cell>
          <cell r="C151" t="str">
            <v>Peru</v>
          </cell>
          <cell r="D151">
            <v>2024</v>
          </cell>
          <cell r="E151" t="str">
            <v>FLU_ELDERLY</v>
          </cell>
          <cell r="F151" t="str">
            <v>Influenza older persons</v>
          </cell>
          <cell r="G151" t="str">
            <v>ADMIN</v>
          </cell>
          <cell r="H151" t="str">
            <v>Administrative coverage</v>
          </cell>
          <cell r="I151">
            <v>2647432</v>
          </cell>
          <cell r="J151">
            <v>1310144</v>
          </cell>
          <cell r="K151">
            <v>49.49</v>
          </cell>
        </row>
        <row r="152">
          <cell r="B152" t="str">
            <v>PHL</v>
          </cell>
          <cell r="C152" t="str">
            <v>Philippines</v>
          </cell>
          <cell r="D152">
            <v>2024</v>
          </cell>
          <cell r="E152" t="str">
            <v>FLU_ELDERLY</v>
          </cell>
          <cell r="F152" t="str">
            <v>Influenza older persons</v>
          </cell>
          <cell r="G152" t="str">
            <v>ADMIN</v>
          </cell>
          <cell r="H152" t="str">
            <v>Administrative coverage</v>
          </cell>
          <cell r="I152">
            <v>9405965</v>
          </cell>
          <cell r="J152">
            <v>1125390</v>
          </cell>
          <cell r="K152">
            <v>11.96</v>
          </cell>
        </row>
        <row r="153">
          <cell r="B153" t="str">
            <v>POL</v>
          </cell>
          <cell r="C153" t="str">
            <v>Poland</v>
          </cell>
          <cell r="D153">
            <v>2024</v>
          </cell>
          <cell r="E153" t="str">
            <v>FLU_ELDERLY</v>
          </cell>
          <cell r="F153" t="str">
            <v>Influenza older persons</v>
          </cell>
          <cell r="G153" t="str">
            <v>ADMIN</v>
          </cell>
          <cell r="H153" t="str">
            <v>Administrative coverage</v>
          </cell>
          <cell r="I153"/>
          <cell r="J153"/>
          <cell r="K153"/>
        </row>
        <row r="154">
          <cell r="B154" t="str">
            <v>PRT</v>
          </cell>
          <cell r="C154" t="str">
            <v>Portugal</v>
          </cell>
          <cell r="D154">
            <v>2024</v>
          </cell>
          <cell r="E154" t="str">
            <v>FLU_ELDERLY</v>
          </cell>
          <cell r="F154" t="str">
            <v>Influenza older persons</v>
          </cell>
          <cell r="G154" t="str">
            <v>ADMIN</v>
          </cell>
          <cell r="H154" t="str">
            <v>Administrative coverage</v>
          </cell>
          <cell r="I154"/>
          <cell r="J154">
            <v>1923988</v>
          </cell>
          <cell r="K154">
            <v>64.010000000000005</v>
          </cell>
        </row>
        <row r="155">
          <cell r="B155" t="str">
            <v>QAT</v>
          </cell>
          <cell r="C155" t="str">
            <v>Qatar</v>
          </cell>
          <cell r="D155">
            <v>2024</v>
          </cell>
          <cell r="E155" t="str">
            <v>FLU_ELDERLY</v>
          </cell>
          <cell r="F155" t="str">
            <v>Influenza older persons</v>
          </cell>
          <cell r="G155" t="str">
            <v>ADMIN</v>
          </cell>
          <cell r="H155" t="str">
            <v>Administrative coverage</v>
          </cell>
          <cell r="I155">
            <v>42000</v>
          </cell>
          <cell r="J155">
            <v>6010</v>
          </cell>
          <cell r="K155">
            <v>14.3</v>
          </cell>
        </row>
        <row r="156">
          <cell r="B156" t="str">
            <v>KOR</v>
          </cell>
          <cell r="C156" t="str">
            <v>Republic of Korea</v>
          </cell>
          <cell r="D156">
            <v>2024</v>
          </cell>
          <cell r="E156" t="str">
            <v>FLU_ELDERLY</v>
          </cell>
          <cell r="F156" t="str">
            <v>Influenza older persons</v>
          </cell>
          <cell r="G156" t="str">
            <v>ADMIN</v>
          </cell>
          <cell r="H156" t="str">
            <v>Administrative coverage</v>
          </cell>
          <cell r="I156">
            <v>9766851</v>
          </cell>
          <cell r="J156">
            <v>8059311</v>
          </cell>
          <cell r="K156">
            <v>82.52</v>
          </cell>
        </row>
        <row r="157">
          <cell r="B157" t="str">
            <v>MDA</v>
          </cell>
          <cell r="C157" t="str">
            <v>Republic of Moldova</v>
          </cell>
          <cell r="D157">
            <v>2024</v>
          </cell>
          <cell r="E157" t="str">
            <v>FLU_ELDERLY</v>
          </cell>
          <cell r="F157" t="str">
            <v>Influenza older persons</v>
          </cell>
          <cell r="G157" t="str">
            <v>ADMIN</v>
          </cell>
          <cell r="H157" t="str">
            <v>Administrative coverage</v>
          </cell>
          <cell r="I157"/>
          <cell r="J157"/>
          <cell r="K157"/>
        </row>
        <row r="158">
          <cell r="B158" t="str">
            <v>ROU</v>
          </cell>
          <cell r="C158" t="str">
            <v>Romania</v>
          </cell>
          <cell r="D158">
            <v>2024</v>
          </cell>
          <cell r="E158" t="str">
            <v>FLU_ELDERLY</v>
          </cell>
          <cell r="F158" t="str">
            <v>Influenza older persons</v>
          </cell>
          <cell r="G158" t="str">
            <v>ADMIN</v>
          </cell>
          <cell r="H158" t="str">
            <v>Administrative coverage</v>
          </cell>
          <cell r="I158">
            <v>3755746</v>
          </cell>
          <cell r="J158">
            <v>736904</v>
          </cell>
          <cell r="K158">
            <v>19.62</v>
          </cell>
        </row>
        <row r="159">
          <cell r="B159" t="str">
            <v>RUS</v>
          </cell>
          <cell r="C159" t="str">
            <v>Russian Federation</v>
          </cell>
          <cell r="D159">
            <v>2024</v>
          </cell>
          <cell r="E159" t="str">
            <v>FLU_ELDERLY</v>
          </cell>
          <cell r="F159" t="str">
            <v>Influenza older persons</v>
          </cell>
          <cell r="G159" t="str">
            <v>ADMIN</v>
          </cell>
          <cell r="H159" t="str">
            <v>Administrative coverage</v>
          </cell>
          <cell r="I159">
            <v>31151443</v>
          </cell>
          <cell r="J159">
            <v>20152346</v>
          </cell>
          <cell r="K159">
            <v>64.69</v>
          </cell>
        </row>
        <row r="160">
          <cell r="B160" t="str">
            <v>RWA</v>
          </cell>
          <cell r="C160" t="str">
            <v>Rwanda</v>
          </cell>
          <cell r="D160">
            <v>2024</v>
          </cell>
          <cell r="E160" t="str">
            <v>FLU_ELDERLY</v>
          </cell>
          <cell r="F160" t="str">
            <v>Influenza older persons</v>
          </cell>
          <cell r="G160" t="str">
            <v>ADMIN</v>
          </cell>
          <cell r="H160" t="str">
            <v>Administrative coverage</v>
          </cell>
          <cell r="I160"/>
          <cell r="J160"/>
          <cell r="K160"/>
        </row>
        <row r="161">
          <cell r="B161" t="str">
            <v>SAB</v>
          </cell>
          <cell r="C161" t="str">
            <v>Saba</v>
          </cell>
          <cell r="D161">
            <v>2024</v>
          </cell>
          <cell r="E161" t="str">
            <v>FLU_ELDERLY</v>
          </cell>
          <cell r="F161" t="str">
            <v>Influenza older persons</v>
          </cell>
          <cell r="G161" t="str">
            <v>ADMIN</v>
          </cell>
          <cell r="H161" t="str">
            <v>Administrative coverage</v>
          </cell>
          <cell r="I161"/>
          <cell r="J161"/>
          <cell r="K161"/>
        </row>
        <row r="162">
          <cell r="B162" t="str">
            <v>KNA</v>
          </cell>
          <cell r="C162" t="str">
            <v>Saint Kitts and Nevis</v>
          </cell>
          <cell r="D162">
            <v>2024</v>
          </cell>
          <cell r="E162" t="str">
            <v>FLU_ELDERLY</v>
          </cell>
          <cell r="F162" t="str">
            <v>Influenza older persons</v>
          </cell>
          <cell r="G162" t="str">
            <v>ADMIN</v>
          </cell>
          <cell r="H162" t="str">
            <v>Administrative coverage</v>
          </cell>
          <cell r="I162"/>
          <cell r="J162"/>
          <cell r="K162"/>
        </row>
        <row r="163">
          <cell r="B163" t="str">
            <v>LCA</v>
          </cell>
          <cell r="C163" t="str">
            <v>Saint Lucia</v>
          </cell>
          <cell r="D163">
            <v>2024</v>
          </cell>
          <cell r="E163" t="str">
            <v>FLU_ELDERLY</v>
          </cell>
          <cell r="F163" t="str">
            <v>Influenza older persons</v>
          </cell>
          <cell r="G163" t="str">
            <v>ADMIN</v>
          </cell>
          <cell r="H163" t="str">
            <v>Administrative coverage</v>
          </cell>
          <cell r="I163"/>
          <cell r="J163"/>
          <cell r="K163"/>
        </row>
        <row r="164">
          <cell r="B164" t="str">
            <v>VCT</v>
          </cell>
          <cell r="C164" t="str">
            <v>Saint Vincent and the Grenadines</v>
          </cell>
          <cell r="D164">
            <v>2024</v>
          </cell>
          <cell r="E164" t="str">
            <v>FLU_ELDERLY</v>
          </cell>
          <cell r="F164" t="str">
            <v>Influenza older persons</v>
          </cell>
          <cell r="G164" t="str">
            <v>ADMIN</v>
          </cell>
          <cell r="H164" t="str">
            <v>Administrative coverage</v>
          </cell>
          <cell r="I164"/>
          <cell r="J164"/>
          <cell r="K164"/>
        </row>
        <row r="165">
          <cell r="B165" t="str">
            <v>WSM</v>
          </cell>
          <cell r="C165" t="str">
            <v>Samoa</v>
          </cell>
          <cell r="D165">
            <v>2024</v>
          </cell>
          <cell r="E165" t="str">
            <v>FLU_ELDERLY</v>
          </cell>
          <cell r="F165" t="str">
            <v>Influenza older persons</v>
          </cell>
          <cell r="G165" t="str">
            <v>ADMIN</v>
          </cell>
          <cell r="H165" t="str">
            <v>Administrative coverage</v>
          </cell>
          <cell r="I165"/>
          <cell r="J165"/>
          <cell r="K165"/>
        </row>
        <row r="166">
          <cell r="B166" t="str">
            <v>SMR</v>
          </cell>
          <cell r="C166" t="str">
            <v>San Marino</v>
          </cell>
          <cell r="D166">
            <v>2024</v>
          </cell>
          <cell r="E166" t="str">
            <v>FLU_ELDERLY</v>
          </cell>
          <cell r="F166" t="str">
            <v>Influenza older persons</v>
          </cell>
          <cell r="G166" t="str">
            <v>ADMIN</v>
          </cell>
          <cell r="H166" t="str">
            <v>Administrative coverage</v>
          </cell>
          <cell r="I166">
            <v>7428</v>
          </cell>
          <cell r="J166">
            <v>2953</v>
          </cell>
          <cell r="K166">
            <v>39.75</v>
          </cell>
        </row>
        <row r="167">
          <cell r="B167" t="str">
            <v>STP</v>
          </cell>
          <cell r="C167" t="str">
            <v>Sao Tome and Principe</v>
          </cell>
          <cell r="D167">
            <v>2024</v>
          </cell>
          <cell r="E167" t="str">
            <v>FLU_ELDERLY</v>
          </cell>
          <cell r="F167" t="str">
            <v>Influenza older persons</v>
          </cell>
          <cell r="G167" t="str">
            <v>ADMIN</v>
          </cell>
          <cell r="H167" t="str">
            <v>Administrative coverage</v>
          </cell>
          <cell r="I167"/>
          <cell r="J167"/>
          <cell r="K167"/>
        </row>
        <row r="168">
          <cell r="B168" t="str">
            <v>SAU</v>
          </cell>
          <cell r="C168" t="str">
            <v>Saudi Arabia</v>
          </cell>
          <cell r="D168">
            <v>2024</v>
          </cell>
          <cell r="E168" t="str">
            <v>FLU_ELDERLY</v>
          </cell>
          <cell r="F168" t="str">
            <v>Influenza older persons</v>
          </cell>
          <cell r="G168" t="str">
            <v>ADMIN</v>
          </cell>
          <cell r="H168" t="str">
            <v>Administrative coverage</v>
          </cell>
          <cell r="I168">
            <v>4546260</v>
          </cell>
          <cell r="J168">
            <v>668918</v>
          </cell>
          <cell r="K168">
            <v>14.71</v>
          </cell>
        </row>
        <row r="169">
          <cell r="B169" t="str">
            <v>SEN</v>
          </cell>
          <cell r="C169" t="str">
            <v>Senegal</v>
          </cell>
          <cell r="D169">
            <v>2024</v>
          </cell>
          <cell r="E169" t="str">
            <v>FLU_ELDERLY</v>
          </cell>
          <cell r="F169" t="str">
            <v>Influenza older persons</v>
          </cell>
          <cell r="G169" t="str">
            <v>ADMIN</v>
          </cell>
          <cell r="H169" t="str">
            <v>Administrative coverage</v>
          </cell>
          <cell r="I169"/>
          <cell r="J169"/>
          <cell r="K169"/>
        </row>
        <row r="170">
          <cell r="B170" t="str">
            <v>SRB</v>
          </cell>
          <cell r="C170" t="str">
            <v>Serbia</v>
          </cell>
          <cell r="D170">
            <v>2024</v>
          </cell>
          <cell r="E170" t="str">
            <v>FLU_ELDERLY</v>
          </cell>
          <cell r="F170" t="str">
            <v>Influenza older persons</v>
          </cell>
          <cell r="G170" t="str">
            <v>ADMIN</v>
          </cell>
          <cell r="H170" t="str">
            <v>Administrative coverage</v>
          </cell>
          <cell r="I170">
            <v>1476279</v>
          </cell>
          <cell r="J170">
            <v>196048</v>
          </cell>
          <cell r="K170">
            <v>13.28</v>
          </cell>
        </row>
        <row r="171">
          <cell r="B171" t="str">
            <v>SYC</v>
          </cell>
          <cell r="C171" t="str">
            <v>Seychelles</v>
          </cell>
          <cell r="D171">
            <v>2024</v>
          </cell>
          <cell r="E171" t="str">
            <v>FLU_ELDERLY</v>
          </cell>
          <cell r="F171" t="str">
            <v>Influenza older persons</v>
          </cell>
          <cell r="G171" t="str">
            <v>ADMIN</v>
          </cell>
          <cell r="H171" t="str">
            <v>Administrative coverage</v>
          </cell>
          <cell r="I171"/>
          <cell r="J171"/>
          <cell r="K171"/>
        </row>
        <row r="172">
          <cell r="B172" t="str">
            <v>SLE</v>
          </cell>
          <cell r="C172" t="str">
            <v>Sierra Leone</v>
          </cell>
          <cell r="D172">
            <v>2024</v>
          </cell>
          <cell r="E172" t="str">
            <v>FLU_ELDERLY</v>
          </cell>
          <cell r="F172" t="str">
            <v>Influenza older persons</v>
          </cell>
          <cell r="G172" t="str">
            <v>ADMIN</v>
          </cell>
          <cell r="H172" t="str">
            <v>Administrative coverage</v>
          </cell>
          <cell r="I172"/>
          <cell r="J172"/>
          <cell r="K172"/>
        </row>
        <row r="173">
          <cell r="B173" t="str">
            <v>SGP</v>
          </cell>
          <cell r="C173" t="str">
            <v>Singapore</v>
          </cell>
          <cell r="D173">
            <v>2024</v>
          </cell>
          <cell r="E173" t="str">
            <v>FLU_ELDERLY</v>
          </cell>
          <cell r="F173" t="str">
            <v>Influenza older persons</v>
          </cell>
          <cell r="G173" t="str">
            <v>ADMIN</v>
          </cell>
          <cell r="H173" t="str">
            <v>Administrative coverage</v>
          </cell>
          <cell r="I173">
            <v>753905</v>
          </cell>
          <cell r="J173">
            <v>318419</v>
          </cell>
          <cell r="K173">
            <v>42.24</v>
          </cell>
        </row>
        <row r="174">
          <cell r="B174" t="str">
            <v>STA</v>
          </cell>
          <cell r="C174" t="str">
            <v>Sint Eustatius</v>
          </cell>
          <cell r="D174">
            <v>2024</v>
          </cell>
          <cell r="E174" t="str">
            <v>FLU_ELDERLY</v>
          </cell>
          <cell r="F174" t="str">
            <v>Influenza older persons</v>
          </cell>
          <cell r="G174" t="str">
            <v>ADMIN</v>
          </cell>
          <cell r="H174" t="str">
            <v>Administrative coverage</v>
          </cell>
          <cell r="I174"/>
          <cell r="J174"/>
          <cell r="K174"/>
        </row>
        <row r="175">
          <cell r="B175" t="str">
            <v>SVK</v>
          </cell>
          <cell r="C175" t="str">
            <v>Slovakia</v>
          </cell>
          <cell r="D175">
            <v>2024</v>
          </cell>
          <cell r="E175" t="str">
            <v>FLU_ELDERLY</v>
          </cell>
          <cell r="F175" t="str">
            <v>Influenza older persons</v>
          </cell>
          <cell r="G175" t="str">
            <v>ADMIN</v>
          </cell>
          <cell r="H175" t="str">
            <v>Administrative coverage</v>
          </cell>
          <cell r="I175">
            <v>1406822</v>
          </cell>
          <cell r="J175">
            <v>164796</v>
          </cell>
          <cell r="K175">
            <v>11.71</v>
          </cell>
        </row>
        <row r="176">
          <cell r="B176" t="str">
            <v>SVN</v>
          </cell>
          <cell r="C176" t="str">
            <v>Slovenia</v>
          </cell>
          <cell r="D176">
            <v>2024</v>
          </cell>
          <cell r="E176" t="str">
            <v>FLU_ELDERLY</v>
          </cell>
          <cell r="F176" t="str">
            <v>Influenza older persons</v>
          </cell>
          <cell r="G176" t="str">
            <v>ADMIN</v>
          </cell>
          <cell r="H176" t="str">
            <v>Administrative coverage</v>
          </cell>
          <cell r="I176">
            <v>467462</v>
          </cell>
          <cell r="J176">
            <v>80523</v>
          </cell>
          <cell r="K176">
            <v>17.23</v>
          </cell>
        </row>
        <row r="177">
          <cell r="B177" t="str">
            <v>SLB</v>
          </cell>
          <cell r="C177" t="str">
            <v>Solomon Islands</v>
          </cell>
          <cell r="D177">
            <v>2024</v>
          </cell>
          <cell r="E177" t="str">
            <v>FLU_ELDERLY</v>
          </cell>
          <cell r="F177" t="str">
            <v>Influenza older persons</v>
          </cell>
          <cell r="G177" t="str">
            <v>ADMIN</v>
          </cell>
          <cell r="H177" t="str">
            <v>Administrative coverage</v>
          </cell>
          <cell r="I177"/>
          <cell r="J177"/>
          <cell r="K177"/>
        </row>
        <row r="178">
          <cell r="B178" t="str">
            <v>SOM</v>
          </cell>
          <cell r="C178" t="str">
            <v>Somalia</v>
          </cell>
          <cell r="D178">
            <v>2024</v>
          </cell>
          <cell r="E178" t="str">
            <v>FLU_ELDERLY</v>
          </cell>
          <cell r="F178" t="str">
            <v>Influenza older persons</v>
          </cell>
          <cell r="G178" t="str">
            <v>ADMIN</v>
          </cell>
          <cell r="H178" t="str">
            <v>Administrative coverage</v>
          </cell>
          <cell r="I178"/>
          <cell r="J178"/>
          <cell r="K178"/>
        </row>
        <row r="179">
          <cell r="B179" t="str">
            <v>ZAF</v>
          </cell>
          <cell r="C179" t="str">
            <v>South Africa</v>
          </cell>
          <cell r="D179">
            <v>2024</v>
          </cell>
          <cell r="E179" t="str">
            <v>FLU_ELDERLY</v>
          </cell>
          <cell r="F179" t="str">
            <v>Influenza older persons</v>
          </cell>
          <cell r="G179" t="str">
            <v>ADMIN</v>
          </cell>
          <cell r="H179" t="str">
            <v>Administrative coverage</v>
          </cell>
          <cell r="I179"/>
          <cell r="J179"/>
          <cell r="K179"/>
        </row>
        <row r="180">
          <cell r="B180" t="str">
            <v>SSD</v>
          </cell>
          <cell r="C180" t="str">
            <v>South Sudan</v>
          </cell>
          <cell r="D180">
            <v>2024</v>
          </cell>
          <cell r="E180" t="str">
            <v>FLU_ELDERLY</v>
          </cell>
          <cell r="F180" t="str">
            <v>Influenza older persons</v>
          </cell>
          <cell r="G180" t="str">
            <v>ADMIN</v>
          </cell>
          <cell r="H180" t="str">
            <v>Administrative coverage</v>
          </cell>
          <cell r="I180"/>
          <cell r="J180"/>
          <cell r="K180"/>
        </row>
        <row r="181">
          <cell r="B181" t="str">
            <v>ESP</v>
          </cell>
          <cell r="C181" t="str">
            <v>Spain</v>
          </cell>
          <cell r="D181">
            <v>2024</v>
          </cell>
          <cell r="E181" t="str">
            <v>FLU_ELDERLY</v>
          </cell>
          <cell r="F181" t="str">
            <v>Influenza older persons</v>
          </cell>
          <cell r="G181" t="str">
            <v>ADMIN</v>
          </cell>
          <cell r="H181" t="str">
            <v>Administrative coverage</v>
          </cell>
          <cell r="I181">
            <v>9216053</v>
          </cell>
          <cell r="J181">
            <v>6308600</v>
          </cell>
          <cell r="K181">
            <v>68.45</v>
          </cell>
        </row>
        <row r="182">
          <cell r="B182" t="str">
            <v>LKA</v>
          </cell>
          <cell r="C182" t="str">
            <v>Sri Lanka</v>
          </cell>
          <cell r="D182">
            <v>2024</v>
          </cell>
          <cell r="E182" t="str">
            <v>FLU_ELDERLY</v>
          </cell>
          <cell r="F182" t="str">
            <v>Influenza older persons</v>
          </cell>
          <cell r="G182" t="str">
            <v>ADMIN</v>
          </cell>
          <cell r="H182" t="str">
            <v>Administrative coverage</v>
          </cell>
          <cell r="I182"/>
          <cell r="J182"/>
          <cell r="K182"/>
        </row>
        <row r="183">
          <cell r="B183" t="str">
            <v>SDN</v>
          </cell>
          <cell r="C183" t="str">
            <v>Sudan</v>
          </cell>
          <cell r="D183">
            <v>2024</v>
          </cell>
          <cell r="E183" t="str">
            <v>FLU_ELDERLY</v>
          </cell>
          <cell r="F183" t="str">
            <v>Influenza older persons</v>
          </cell>
          <cell r="G183" t="str">
            <v>ADMIN</v>
          </cell>
          <cell r="H183" t="str">
            <v>Administrative coverage</v>
          </cell>
          <cell r="I183"/>
          <cell r="J183"/>
          <cell r="K183"/>
        </row>
        <row r="184">
          <cell r="B184" t="str">
            <v>SUR</v>
          </cell>
          <cell r="C184" t="str">
            <v>Suriname</v>
          </cell>
          <cell r="D184">
            <v>2024</v>
          </cell>
          <cell r="E184" t="str">
            <v>FLU_ELDERLY</v>
          </cell>
          <cell r="F184" t="str">
            <v>Influenza older persons</v>
          </cell>
          <cell r="G184" t="str">
            <v>ADMIN</v>
          </cell>
          <cell r="H184" t="str">
            <v>Administrative coverage</v>
          </cell>
          <cell r="I184"/>
          <cell r="J184"/>
          <cell r="K184"/>
        </row>
        <row r="185">
          <cell r="B185" t="str">
            <v>SWE</v>
          </cell>
          <cell r="C185" t="str">
            <v>Sweden</v>
          </cell>
          <cell r="D185">
            <v>2024</v>
          </cell>
          <cell r="E185" t="str">
            <v>FLU_ELDERLY</v>
          </cell>
          <cell r="F185" t="str">
            <v>Influenza older persons</v>
          </cell>
          <cell r="G185" t="str">
            <v>ADMIN</v>
          </cell>
          <cell r="H185" t="str">
            <v>Administrative coverage</v>
          </cell>
          <cell r="I185">
            <v>2174752</v>
          </cell>
          <cell r="J185">
            <v>1500580</v>
          </cell>
          <cell r="K185">
            <v>69</v>
          </cell>
        </row>
        <row r="186">
          <cell r="B186" t="str">
            <v>CHE</v>
          </cell>
          <cell r="C186" t="str">
            <v>Switzerland</v>
          </cell>
          <cell r="D186">
            <v>2024</v>
          </cell>
          <cell r="E186" t="str">
            <v>FLU_ELDERLY</v>
          </cell>
          <cell r="F186" t="str">
            <v>Influenza older persons</v>
          </cell>
          <cell r="G186" t="str">
            <v>ADMIN</v>
          </cell>
          <cell r="H186" t="str">
            <v>Administrative coverage</v>
          </cell>
          <cell r="I186">
            <v>1600000</v>
          </cell>
          <cell r="J186"/>
          <cell r="K186"/>
        </row>
        <row r="187">
          <cell r="B187" t="str">
            <v>SYR</v>
          </cell>
          <cell r="C187" t="str">
            <v>Syrian Arab Republic</v>
          </cell>
          <cell r="D187">
            <v>2024</v>
          </cell>
          <cell r="E187" t="str">
            <v>FLU_ELDERLY</v>
          </cell>
          <cell r="F187" t="str">
            <v>Influenza older persons</v>
          </cell>
          <cell r="G187" t="str">
            <v>ADMIN</v>
          </cell>
          <cell r="H187" t="str">
            <v>Administrative coverage</v>
          </cell>
          <cell r="I187"/>
          <cell r="J187"/>
          <cell r="K187"/>
        </row>
        <row r="188">
          <cell r="B188" t="str">
            <v>TJK</v>
          </cell>
          <cell r="C188" t="str">
            <v>Tajikistan</v>
          </cell>
          <cell r="D188">
            <v>2024</v>
          </cell>
          <cell r="E188" t="str">
            <v>FLU_ELDERLY</v>
          </cell>
          <cell r="F188" t="str">
            <v>Influenza older persons</v>
          </cell>
          <cell r="G188" t="str">
            <v>ADMIN</v>
          </cell>
          <cell r="H188" t="str">
            <v>Administrative coverage</v>
          </cell>
          <cell r="I188"/>
          <cell r="J188"/>
          <cell r="K188"/>
        </row>
        <row r="189">
          <cell r="B189" t="str">
            <v>THA</v>
          </cell>
          <cell r="C189" t="str">
            <v>Thailand</v>
          </cell>
          <cell r="D189">
            <v>2024</v>
          </cell>
          <cell r="E189" t="str">
            <v>FLU_ELDERLY</v>
          </cell>
          <cell r="F189" t="str">
            <v>Influenza older persons</v>
          </cell>
          <cell r="G189" t="str">
            <v>ADMIN</v>
          </cell>
          <cell r="H189" t="str">
            <v>Administrative coverage</v>
          </cell>
          <cell r="I189">
            <v>5045617</v>
          </cell>
          <cell r="J189">
            <v>2365814</v>
          </cell>
          <cell r="K189">
            <v>46.89</v>
          </cell>
        </row>
        <row r="190">
          <cell r="B190" t="str">
            <v>TLS</v>
          </cell>
          <cell r="C190" t="str">
            <v>Timor-Leste</v>
          </cell>
          <cell r="D190">
            <v>2024</v>
          </cell>
          <cell r="E190" t="str">
            <v>FLU_ELDERLY</v>
          </cell>
          <cell r="F190" t="str">
            <v>Influenza older persons</v>
          </cell>
          <cell r="G190" t="str">
            <v>ADMIN</v>
          </cell>
          <cell r="H190" t="str">
            <v>Administrative coverage</v>
          </cell>
          <cell r="I190"/>
          <cell r="J190"/>
          <cell r="K190"/>
        </row>
        <row r="191">
          <cell r="B191" t="str">
            <v>TGO</v>
          </cell>
          <cell r="C191" t="str">
            <v>Togo</v>
          </cell>
          <cell r="D191">
            <v>2024</v>
          </cell>
          <cell r="E191" t="str">
            <v>FLU_ELDERLY</v>
          </cell>
          <cell r="F191" t="str">
            <v>Influenza older persons</v>
          </cell>
          <cell r="G191" t="str">
            <v>ADMIN</v>
          </cell>
          <cell r="H191" t="str">
            <v>Administrative coverage</v>
          </cell>
          <cell r="I191"/>
          <cell r="J191"/>
          <cell r="K191"/>
        </row>
        <row r="192">
          <cell r="B192" t="str">
            <v>TKL</v>
          </cell>
          <cell r="C192" t="str">
            <v>Tokelau</v>
          </cell>
          <cell r="D192">
            <v>2024</v>
          </cell>
          <cell r="E192" t="str">
            <v>FLU_ELDERLY</v>
          </cell>
          <cell r="F192" t="str">
            <v>Influenza older persons</v>
          </cell>
          <cell r="G192" t="str">
            <v>ADMIN</v>
          </cell>
          <cell r="H192" t="str">
            <v>Administrative coverage</v>
          </cell>
          <cell r="I192"/>
          <cell r="J192"/>
          <cell r="K192"/>
        </row>
        <row r="193">
          <cell r="B193" t="str">
            <v>TON</v>
          </cell>
          <cell r="C193" t="str">
            <v>Tonga</v>
          </cell>
          <cell r="D193">
            <v>2024</v>
          </cell>
          <cell r="E193" t="str">
            <v>FLU_ELDERLY</v>
          </cell>
          <cell r="F193" t="str">
            <v>Influenza older persons</v>
          </cell>
          <cell r="G193" t="str">
            <v>ADMIN</v>
          </cell>
          <cell r="H193" t="str">
            <v>Administrative coverage</v>
          </cell>
          <cell r="I193"/>
          <cell r="J193"/>
          <cell r="K193"/>
        </row>
        <row r="194">
          <cell r="B194" t="str">
            <v>TTO</v>
          </cell>
          <cell r="C194" t="str">
            <v>Trinidad and Tobago</v>
          </cell>
          <cell r="D194">
            <v>2024</v>
          </cell>
          <cell r="E194" t="str">
            <v>FLU_ELDERLY</v>
          </cell>
          <cell r="F194" t="str">
            <v>Influenza older persons</v>
          </cell>
          <cell r="G194" t="str">
            <v>ADMIN</v>
          </cell>
          <cell r="H194" t="str">
            <v>Administrative coverage</v>
          </cell>
          <cell r="I194"/>
          <cell r="J194"/>
          <cell r="K194"/>
        </row>
        <row r="195">
          <cell r="B195" t="str">
            <v>TUN</v>
          </cell>
          <cell r="C195" t="str">
            <v>Tunisia</v>
          </cell>
          <cell r="D195">
            <v>2024</v>
          </cell>
          <cell r="E195" t="str">
            <v>FLU_ELDERLY</v>
          </cell>
          <cell r="F195" t="str">
            <v>Influenza older persons</v>
          </cell>
          <cell r="G195" t="str">
            <v>ADMIN</v>
          </cell>
          <cell r="H195" t="str">
            <v>Administrative coverage</v>
          </cell>
          <cell r="I195"/>
          <cell r="J195"/>
          <cell r="K195"/>
        </row>
        <row r="196">
          <cell r="B196" t="str">
            <v>TUR</v>
          </cell>
          <cell r="C196" t="str">
            <v>Türkiye</v>
          </cell>
          <cell r="D196">
            <v>2024</v>
          </cell>
          <cell r="E196" t="str">
            <v>FLU_ELDERLY</v>
          </cell>
          <cell r="F196" t="str">
            <v>Influenza older persons</v>
          </cell>
          <cell r="G196" t="str">
            <v>ADMIN</v>
          </cell>
          <cell r="H196" t="str">
            <v>Administrative coverage</v>
          </cell>
          <cell r="I196"/>
          <cell r="J196"/>
          <cell r="K196"/>
        </row>
        <row r="197">
          <cell r="B197" t="str">
            <v>TKM</v>
          </cell>
          <cell r="C197" t="str">
            <v>Turkmenistan</v>
          </cell>
          <cell r="D197">
            <v>2024</v>
          </cell>
          <cell r="E197" t="str">
            <v>FLU_ELDERLY</v>
          </cell>
          <cell r="F197" t="str">
            <v>Influenza older persons</v>
          </cell>
          <cell r="G197" t="str">
            <v>ADMIN</v>
          </cell>
          <cell r="H197" t="str">
            <v>Administrative coverage</v>
          </cell>
          <cell r="I197"/>
          <cell r="J197">
            <v>156521</v>
          </cell>
          <cell r="K197"/>
        </row>
        <row r="198">
          <cell r="B198" t="str">
            <v>TCA</v>
          </cell>
          <cell r="C198" t="str">
            <v>Turks and Caicos Islands</v>
          </cell>
          <cell r="D198">
            <v>2024</v>
          </cell>
          <cell r="E198" t="str">
            <v>FLU_ELDERLY</v>
          </cell>
          <cell r="F198" t="str">
            <v>Influenza older persons</v>
          </cell>
          <cell r="G198" t="str">
            <v>ADMIN</v>
          </cell>
          <cell r="H198" t="str">
            <v>Administrative coverage</v>
          </cell>
          <cell r="I198"/>
          <cell r="J198"/>
          <cell r="K198"/>
        </row>
        <row r="199">
          <cell r="B199" t="str">
            <v>TUV</v>
          </cell>
          <cell r="C199" t="str">
            <v>Tuvalu</v>
          </cell>
          <cell r="D199">
            <v>2024</v>
          </cell>
          <cell r="E199" t="str">
            <v>FLU_ELDERLY</v>
          </cell>
          <cell r="F199" t="str">
            <v>Influenza older persons</v>
          </cell>
          <cell r="G199" t="str">
            <v>ADMIN</v>
          </cell>
          <cell r="H199" t="str">
            <v>Administrative coverage</v>
          </cell>
          <cell r="I199"/>
          <cell r="J199"/>
          <cell r="K199"/>
        </row>
        <row r="200">
          <cell r="B200" t="str">
            <v>UGA</v>
          </cell>
          <cell r="C200" t="str">
            <v>Uganda</v>
          </cell>
          <cell r="D200">
            <v>2024</v>
          </cell>
          <cell r="E200" t="str">
            <v>FLU_ELDERLY</v>
          </cell>
          <cell r="F200" t="str">
            <v>Influenza older persons</v>
          </cell>
          <cell r="G200" t="str">
            <v>ADMIN</v>
          </cell>
          <cell r="H200" t="str">
            <v>Administrative coverage</v>
          </cell>
          <cell r="I200"/>
          <cell r="J200"/>
          <cell r="K200"/>
        </row>
        <row r="201">
          <cell r="B201" t="str">
            <v>UKR</v>
          </cell>
          <cell r="C201" t="str">
            <v>Ukraine</v>
          </cell>
          <cell r="D201">
            <v>2024</v>
          </cell>
          <cell r="E201" t="str">
            <v>FLU_ELDERLY</v>
          </cell>
          <cell r="F201" t="str">
            <v>Influenza older persons</v>
          </cell>
          <cell r="G201" t="str">
            <v>ADMIN</v>
          </cell>
          <cell r="H201" t="str">
            <v>Administrative coverage</v>
          </cell>
          <cell r="I201">
            <v>367531</v>
          </cell>
          <cell r="J201">
            <v>8929</v>
          </cell>
          <cell r="K201">
            <v>2.4</v>
          </cell>
        </row>
        <row r="202">
          <cell r="B202" t="str">
            <v>ARE</v>
          </cell>
          <cell r="C202" t="str">
            <v>United Arab Emirates</v>
          </cell>
          <cell r="D202">
            <v>2024</v>
          </cell>
          <cell r="E202" t="str">
            <v>FLU_ELDERLY</v>
          </cell>
          <cell r="F202" t="str">
            <v>Influenza older persons</v>
          </cell>
          <cell r="G202" t="str">
            <v>ADMIN</v>
          </cell>
          <cell r="H202" t="str">
            <v>Administrative coverage</v>
          </cell>
          <cell r="I202"/>
          <cell r="J202"/>
          <cell r="K202"/>
        </row>
        <row r="203">
          <cell r="B203" t="str">
            <v>GBR</v>
          </cell>
          <cell r="C203" t="str">
            <v>United Kingdom of Great Britain and Northern Ireland</v>
          </cell>
          <cell r="D203">
            <v>2024</v>
          </cell>
          <cell r="E203" t="str">
            <v>FLU_ELDERLY</v>
          </cell>
          <cell r="F203" t="str">
            <v>Influenza older persons</v>
          </cell>
          <cell r="G203" t="str">
            <v>ADMIN</v>
          </cell>
          <cell r="H203" t="str">
            <v>Administrative coverage</v>
          </cell>
          <cell r="I203">
            <v>11061423</v>
          </cell>
          <cell r="J203">
            <v>8608243</v>
          </cell>
          <cell r="K203">
            <v>77.819999999999993</v>
          </cell>
        </row>
        <row r="204">
          <cell r="B204" t="str">
            <v>TZA</v>
          </cell>
          <cell r="C204" t="str">
            <v>United Republic of Tanzania</v>
          </cell>
          <cell r="D204">
            <v>2024</v>
          </cell>
          <cell r="E204" t="str">
            <v>FLU_ELDERLY</v>
          </cell>
          <cell r="F204" t="str">
            <v>Influenza older persons</v>
          </cell>
          <cell r="G204" t="str">
            <v>ADMIN</v>
          </cell>
          <cell r="H204" t="str">
            <v>Administrative coverage</v>
          </cell>
          <cell r="I204"/>
          <cell r="J204"/>
          <cell r="K204"/>
        </row>
        <row r="205">
          <cell r="B205" t="str">
            <v>URY</v>
          </cell>
          <cell r="C205" t="str">
            <v>Uruguay</v>
          </cell>
          <cell r="D205">
            <v>2024</v>
          </cell>
          <cell r="E205" t="str">
            <v>FLU_ELDERLY</v>
          </cell>
          <cell r="F205" t="str">
            <v>Influenza older persons</v>
          </cell>
          <cell r="G205" t="str">
            <v>ADMIN</v>
          </cell>
          <cell r="H205" t="str">
            <v>Administrative coverage</v>
          </cell>
          <cell r="I205">
            <v>610049</v>
          </cell>
          <cell r="J205">
            <v>193577</v>
          </cell>
          <cell r="K205">
            <v>31.73</v>
          </cell>
        </row>
        <row r="206">
          <cell r="B206" t="str">
            <v>UZB</v>
          </cell>
          <cell r="C206" t="str">
            <v>Uzbekistan</v>
          </cell>
          <cell r="D206">
            <v>2024</v>
          </cell>
          <cell r="E206" t="str">
            <v>FLU_ELDERLY</v>
          </cell>
          <cell r="F206" t="str">
            <v>Influenza older persons</v>
          </cell>
          <cell r="G206" t="str">
            <v>ADMIN</v>
          </cell>
          <cell r="H206" t="str">
            <v>Administrative coverage</v>
          </cell>
          <cell r="I206"/>
          <cell r="J206"/>
          <cell r="K206"/>
        </row>
        <row r="207">
          <cell r="B207" t="str">
            <v>VUT</v>
          </cell>
          <cell r="C207" t="str">
            <v>Vanuatu</v>
          </cell>
          <cell r="D207">
            <v>2024</v>
          </cell>
          <cell r="E207" t="str">
            <v>FLU_ELDERLY</v>
          </cell>
          <cell r="F207" t="str">
            <v>Influenza older persons</v>
          </cell>
          <cell r="G207" t="str">
            <v>ADMIN</v>
          </cell>
          <cell r="H207" t="str">
            <v>Administrative coverage</v>
          </cell>
          <cell r="I207"/>
          <cell r="J207"/>
          <cell r="K207"/>
        </row>
        <row r="208">
          <cell r="B208" t="str">
            <v>VEN</v>
          </cell>
          <cell r="C208" t="str">
            <v>Venezuela (Bolivarian Republic of)</v>
          </cell>
          <cell r="D208">
            <v>2024</v>
          </cell>
          <cell r="E208" t="str">
            <v>FLU_ELDERLY</v>
          </cell>
          <cell r="F208" t="str">
            <v>Influenza older persons</v>
          </cell>
          <cell r="G208" t="str">
            <v>ADMIN</v>
          </cell>
          <cell r="H208" t="str">
            <v>Administrative coverage</v>
          </cell>
          <cell r="I208"/>
          <cell r="J208"/>
          <cell r="K208"/>
        </row>
        <row r="209">
          <cell r="B209" t="str">
            <v>VNM</v>
          </cell>
          <cell r="C209" t="str">
            <v>Viet Nam</v>
          </cell>
          <cell r="D209">
            <v>2024</v>
          </cell>
          <cell r="E209" t="str">
            <v>FLU_ELDERLY</v>
          </cell>
          <cell r="F209" t="str">
            <v>Influenza older persons</v>
          </cell>
          <cell r="G209" t="str">
            <v>ADMIN</v>
          </cell>
          <cell r="H209" t="str">
            <v>Administrative coverage</v>
          </cell>
          <cell r="I209"/>
          <cell r="J209"/>
          <cell r="K209"/>
        </row>
        <row r="210">
          <cell r="B210" t="str">
            <v>YEM</v>
          </cell>
          <cell r="C210" t="str">
            <v>Yemen</v>
          </cell>
          <cell r="D210">
            <v>2024</v>
          </cell>
          <cell r="E210" t="str">
            <v>FLU_ELDERLY</v>
          </cell>
          <cell r="F210" t="str">
            <v>Influenza older persons</v>
          </cell>
          <cell r="G210" t="str">
            <v>ADMIN</v>
          </cell>
          <cell r="H210" t="str">
            <v>Administrative coverage</v>
          </cell>
          <cell r="I210"/>
          <cell r="J210"/>
          <cell r="K210"/>
        </row>
        <row r="211">
          <cell r="B211" t="str">
            <v>ZMB</v>
          </cell>
          <cell r="C211" t="str">
            <v>Zambia</v>
          </cell>
          <cell r="D211">
            <v>2024</v>
          </cell>
          <cell r="E211" t="str">
            <v>FLU_ELDERLY</v>
          </cell>
          <cell r="F211" t="str">
            <v>Influenza older persons</v>
          </cell>
          <cell r="G211" t="str">
            <v>ADMIN</v>
          </cell>
          <cell r="H211" t="str">
            <v>Administrative coverage</v>
          </cell>
          <cell r="I211"/>
          <cell r="J211"/>
          <cell r="K211"/>
        </row>
        <row r="212">
          <cell r="B212" t="str">
            <v>ZWE</v>
          </cell>
          <cell r="C212" t="str">
            <v>Zimbabwe</v>
          </cell>
          <cell r="D212">
            <v>2024</v>
          </cell>
          <cell r="E212" t="str">
            <v>FLU_ELDERLY</v>
          </cell>
          <cell r="F212" t="str">
            <v>Influenza older persons</v>
          </cell>
          <cell r="G212" t="str">
            <v>ADMIN</v>
          </cell>
          <cell r="H212" t="str">
            <v>Administrative coverage</v>
          </cell>
          <cell r="I212"/>
          <cell r="J212"/>
          <cell r="K212"/>
        </row>
        <row r="213">
          <cell r="B213" t="str">
            <v>AFG</v>
          </cell>
          <cell r="C213" t="str">
            <v>Afghanistan</v>
          </cell>
          <cell r="D213">
            <v>2023</v>
          </cell>
          <cell r="E213" t="str">
            <v>FLU_ELDERLY</v>
          </cell>
          <cell r="F213" t="str">
            <v>Influenza older persons</v>
          </cell>
          <cell r="G213" t="str">
            <v>ADMIN</v>
          </cell>
          <cell r="H213" t="str">
            <v>Administrative coverage</v>
          </cell>
          <cell r="I213"/>
          <cell r="J213"/>
          <cell r="K213"/>
        </row>
        <row r="214">
          <cell r="B214" t="str">
            <v>ALB</v>
          </cell>
          <cell r="C214" t="str">
            <v>Albania</v>
          </cell>
          <cell r="D214">
            <v>2023</v>
          </cell>
          <cell r="E214" t="str">
            <v>FLU_ELDERLY</v>
          </cell>
          <cell r="F214" t="str">
            <v>Influenza older persons</v>
          </cell>
          <cell r="G214" t="str">
            <v>ADMIN</v>
          </cell>
          <cell r="H214" t="str">
            <v>Administrative coverage</v>
          </cell>
          <cell r="I214">
            <v>619000</v>
          </cell>
          <cell r="J214">
            <v>155255</v>
          </cell>
          <cell r="K214">
            <v>25.08</v>
          </cell>
        </row>
        <row r="215">
          <cell r="B215" t="str">
            <v>DZA</v>
          </cell>
          <cell r="C215" t="str">
            <v>Algeria</v>
          </cell>
          <cell r="D215">
            <v>2023</v>
          </cell>
          <cell r="E215" t="str">
            <v>FLU_ELDERLY</v>
          </cell>
          <cell r="F215" t="str">
            <v>Influenza older persons</v>
          </cell>
          <cell r="G215" t="str">
            <v>ADMIN</v>
          </cell>
          <cell r="H215" t="str">
            <v>Administrative coverage</v>
          </cell>
          <cell r="I215"/>
          <cell r="J215"/>
          <cell r="K215"/>
        </row>
        <row r="216">
          <cell r="B216" t="str">
            <v>AND</v>
          </cell>
          <cell r="C216" t="str">
            <v>Andorra</v>
          </cell>
          <cell r="D216">
            <v>2023</v>
          </cell>
          <cell r="E216" t="str">
            <v>FLU_ELDERLY</v>
          </cell>
          <cell r="F216" t="str">
            <v>Influenza older persons</v>
          </cell>
          <cell r="G216" t="str">
            <v>ADMIN</v>
          </cell>
          <cell r="H216" t="str">
            <v>Administrative coverage</v>
          </cell>
          <cell r="I216">
            <v>12299</v>
          </cell>
          <cell r="J216">
            <v>4566</v>
          </cell>
          <cell r="K216">
            <v>37.119999999999997</v>
          </cell>
        </row>
        <row r="217">
          <cell r="B217" t="str">
            <v>AGO</v>
          </cell>
          <cell r="C217" t="str">
            <v>Angola</v>
          </cell>
          <cell r="D217">
            <v>2023</v>
          </cell>
          <cell r="E217" t="str">
            <v>FLU_ELDERLY</v>
          </cell>
          <cell r="F217" t="str">
            <v>Influenza older persons</v>
          </cell>
          <cell r="G217" t="str">
            <v>ADMIN</v>
          </cell>
          <cell r="H217" t="str">
            <v>Administrative coverage</v>
          </cell>
          <cell r="I217"/>
          <cell r="J217"/>
          <cell r="K217"/>
        </row>
        <row r="218">
          <cell r="B218" t="str">
            <v>AIA</v>
          </cell>
          <cell r="C218" t="str">
            <v>Anguilla</v>
          </cell>
          <cell r="D218">
            <v>2023</v>
          </cell>
          <cell r="E218" t="str">
            <v>FLU_ELDERLY</v>
          </cell>
          <cell r="F218" t="str">
            <v>Influenza older persons</v>
          </cell>
          <cell r="G218" t="str">
            <v>ADMIN</v>
          </cell>
          <cell r="H218" t="str">
            <v>Administrative coverage</v>
          </cell>
          <cell r="I218"/>
          <cell r="J218">
            <v>32</v>
          </cell>
          <cell r="K218"/>
        </row>
        <row r="219">
          <cell r="B219" t="str">
            <v>ATG</v>
          </cell>
          <cell r="C219" t="str">
            <v>Antigua and Barbuda</v>
          </cell>
          <cell r="D219">
            <v>2023</v>
          </cell>
          <cell r="E219" t="str">
            <v>FLU_ELDERLY</v>
          </cell>
          <cell r="F219" t="str">
            <v>Influenza older persons</v>
          </cell>
          <cell r="G219" t="str">
            <v>ADMIN</v>
          </cell>
          <cell r="H219" t="str">
            <v>Administrative coverage</v>
          </cell>
          <cell r="I219"/>
          <cell r="J219"/>
          <cell r="K219"/>
        </row>
        <row r="220">
          <cell r="B220" t="str">
            <v>ARG</v>
          </cell>
          <cell r="C220" t="str">
            <v>Argentina</v>
          </cell>
          <cell r="D220">
            <v>2023</v>
          </cell>
          <cell r="E220" t="str">
            <v>FLU_ELDERLY</v>
          </cell>
          <cell r="F220" t="str">
            <v>Influenza older persons</v>
          </cell>
          <cell r="G220" t="str">
            <v>ADMIN</v>
          </cell>
          <cell r="H220" t="str">
            <v>Administrative coverage</v>
          </cell>
          <cell r="I220">
            <v>18696648</v>
          </cell>
          <cell r="J220">
            <v>2279597</v>
          </cell>
          <cell r="K220">
            <v>12.19</v>
          </cell>
        </row>
        <row r="221">
          <cell r="B221" t="str">
            <v>ARM</v>
          </cell>
          <cell r="C221" t="str">
            <v>Armenia</v>
          </cell>
          <cell r="D221">
            <v>2023</v>
          </cell>
          <cell r="E221" t="str">
            <v>FLU_ELDERLY</v>
          </cell>
          <cell r="F221" t="str">
            <v>Influenza older persons</v>
          </cell>
          <cell r="G221" t="str">
            <v>ADMIN</v>
          </cell>
          <cell r="H221" t="str">
            <v>Administrative coverage</v>
          </cell>
          <cell r="I221">
            <v>308527</v>
          </cell>
          <cell r="J221">
            <v>55843</v>
          </cell>
          <cell r="K221">
            <v>18.100000000000001</v>
          </cell>
        </row>
        <row r="222">
          <cell r="B222" t="str">
            <v>ABW</v>
          </cell>
          <cell r="C222" t="str">
            <v>Aruba</v>
          </cell>
          <cell r="D222">
            <v>2023</v>
          </cell>
          <cell r="E222" t="str">
            <v>FLU_ELDERLY</v>
          </cell>
          <cell r="F222" t="str">
            <v>Influenza older persons</v>
          </cell>
          <cell r="G222" t="str">
            <v>ADMIN</v>
          </cell>
          <cell r="H222" t="str">
            <v>Administrative coverage</v>
          </cell>
          <cell r="I222"/>
          <cell r="J222"/>
          <cell r="K222"/>
        </row>
        <row r="223">
          <cell r="B223" t="str">
            <v>AUS</v>
          </cell>
          <cell r="C223" t="str">
            <v>Australia</v>
          </cell>
          <cell r="D223">
            <v>2023</v>
          </cell>
          <cell r="E223" t="str">
            <v>FLU_ELDERLY</v>
          </cell>
          <cell r="F223" t="str">
            <v>Influenza older persons</v>
          </cell>
          <cell r="G223" t="str">
            <v>ADMIN</v>
          </cell>
          <cell r="H223" t="str">
            <v>Administrative coverage</v>
          </cell>
          <cell r="I223">
            <v>4700000</v>
          </cell>
          <cell r="J223"/>
          <cell r="K223"/>
        </row>
        <row r="224">
          <cell r="B224" t="str">
            <v>AUT</v>
          </cell>
          <cell r="C224" t="str">
            <v>Austria</v>
          </cell>
          <cell r="D224">
            <v>2023</v>
          </cell>
          <cell r="E224" t="str">
            <v>FLU_ELDERLY</v>
          </cell>
          <cell r="F224" t="str">
            <v>Influenza older persons</v>
          </cell>
          <cell r="G224" t="str">
            <v>ADMIN</v>
          </cell>
          <cell r="H224" t="str">
            <v>Administrative coverage</v>
          </cell>
          <cell r="I224">
            <v>1800699</v>
          </cell>
          <cell r="J224">
            <v>422392</v>
          </cell>
          <cell r="K224">
            <v>23.46</v>
          </cell>
        </row>
        <row r="225">
          <cell r="B225" t="str">
            <v>AZE</v>
          </cell>
          <cell r="C225" t="str">
            <v>Azerbaijan</v>
          </cell>
          <cell r="D225">
            <v>2023</v>
          </cell>
          <cell r="E225" t="str">
            <v>FLU_ELDERLY</v>
          </cell>
          <cell r="F225" t="str">
            <v>Influenza older persons</v>
          </cell>
          <cell r="G225" t="str">
            <v>ADMIN</v>
          </cell>
          <cell r="H225" t="str">
            <v>Administrative coverage</v>
          </cell>
          <cell r="I225">
            <v>859501</v>
          </cell>
          <cell r="J225">
            <v>3789</v>
          </cell>
          <cell r="K225">
            <v>0.44</v>
          </cell>
        </row>
        <row r="226">
          <cell r="B226" t="str">
            <v>BHS</v>
          </cell>
          <cell r="C226" t="str">
            <v>Bahamas</v>
          </cell>
          <cell r="D226">
            <v>2023</v>
          </cell>
          <cell r="E226" t="str">
            <v>FLU_ELDERLY</v>
          </cell>
          <cell r="F226" t="str">
            <v>Influenza older persons</v>
          </cell>
          <cell r="G226" t="str">
            <v>ADMIN</v>
          </cell>
          <cell r="H226" t="str">
            <v>Administrative coverage</v>
          </cell>
          <cell r="I226"/>
          <cell r="J226"/>
          <cell r="K226"/>
        </row>
        <row r="227">
          <cell r="B227" t="str">
            <v>BHR</v>
          </cell>
          <cell r="C227" t="str">
            <v>Bahrain</v>
          </cell>
          <cell r="D227">
            <v>2023</v>
          </cell>
          <cell r="E227" t="str">
            <v>FLU_ELDERLY</v>
          </cell>
          <cell r="F227" t="str">
            <v>Influenza older persons</v>
          </cell>
          <cell r="G227" t="str">
            <v>ADMIN</v>
          </cell>
          <cell r="H227" t="str">
            <v>Administrative coverage</v>
          </cell>
          <cell r="I227">
            <v>244452</v>
          </cell>
          <cell r="J227">
            <v>15644</v>
          </cell>
          <cell r="K227">
            <v>6.4</v>
          </cell>
        </row>
        <row r="228">
          <cell r="B228" t="str">
            <v>BGD</v>
          </cell>
          <cell r="C228" t="str">
            <v>Bangladesh</v>
          </cell>
          <cell r="D228">
            <v>2023</v>
          </cell>
          <cell r="E228" t="str">
            <v>FLU_ELDERLY</v>
          </cell>
          <cell r="F228" t="str">
            <v>Influenza older persons</v>
          </cell>
          <cell r="G228" t="str">
            <v>ADMIN</v>
          </cell>
          <cell r="H228" t="str">
            <v>Administrative coverage</v>
          </cell>
          <cell r="I228"/>
          <cell r="J228"/>
          <cell r="K228"/>
        </row>
        <row r="229">
          <cell r="B229" t="str">
            <v>BRB</v>
          </cell>
          <cell r="C229" t="str">
            <v>Barbados</v>
          </cell>
          <cell r="D229">
            <v>2023</v>
          </cell>
          <cell r="E229" t="str">
            <v>FLU_ELDERLY</v>
          </cell>
          <cell r="F229" t="str">
            <v>Influenza older persons</v>
          </cell>
          <cell r="G229" t="str">
            <v>ADMIN</v>
          </cell>
          <cell r="H229" t="str">
            <v>Administrative coverage</v>
          </cell>
          <cell r="I229"/>
          <cell r="J229"/>
          <cell r="K229"/>
        </row>
        <row r="230">
          <cell r="B230" t="str">
            <v>BLR</v>
          </cell>
          <cell r="C230" t="str">
            <v>Belarus</v>
          </cell>
          <cell r="D230">
            <v>2023</v>
          </cell>
          <cell r="E230" t="str">
            <v>FLU_ELDERLY</v>
          </cell>
          <cell r="F230" t="str">
            <v>Influenza older persons</v>
          </cell>
          <cell r="G230" t="str">
            <v>ADMIN</v>
          </cell>
          <cell r="H230" t="str">
            <v>Administrative coverage</v>
          </cell>
          <cell r="I230">
            <v>889910</v>
          </cell>
          <cell r="J230">
            <v>677526</v>
          </cell>
          <cell r="K230">
            <v>76.13</v>
          </cell>
        </row>
        <row r="231">
          <cell r="B231" t="str">
            <v>BEL</v>
          </cell>
          <cell r="C231" t="str">
            <v>Belgium</v>
          </cell>
          <cell r="D231">
            <v>2023</v>
          </cell>
          <cell r="E231" t="str">
            <v>FLU_ELDERLY</v>
          </cell>
          <cell r="F231" t="str">
            <v>Influenza older persons</v>
          </cell>
          <cell r="G231" t="str">
            <v>ADMIN</v>
          </cell>
          <cell r="H231" t="str">
            <v>Administrative coverage</v>
          </cell>
          <cell r="I231"/>
          <cell r="J231"/>
          <cell r="K231"/>
        </row>
        <row r="232">
          <cell r="B232" t="str">
            <v>BLZ</v>
          </cell>
          <cell r="C232" t="str">
            <v>Belize</v>
          </cell>
          <cell r="D232">
            <v>2023</v>
          </cell>
          <cell r="E232" t="str">
            <v>FLU_ELDERLY</v>
          </cell>
          <cell r="F232" t="str">
            <v>Influenza older persons</v>
          </cell>
          <cell r="G232" t="str">
            <v>ADMIN</v>
          </cell>
          <cell r="H232" t="str">
            <v>Administrative coverage</v>
          </cell>
          <cell r="I232">
            <v>18604</v>
          </cell>
          <cell r="J232">
            <v>550</v>
          </cell>
          <cell r="K232">
            <v>2.96</v>
          </cell>
        </row>
        <row r="233">
          <cell r="B233" t="str">
            <v>BEN</v>
          </cell>
          <cell r="C233" t="str">
            <v>Benin</v>
          </cell>
          <cell r="D233">
            <v>2023</v>
          </cell>
          <cell r="E233" t="str">
            <v>FLU_ELDERLY</v>
          </cell>
          <cell r="F233" t="str">
            <v>Influenza older persons</v>
          </cell>
          <cell r="G233" t="str">
            <v>ADMIN</v>
          </cell>
          <cell r="H233" t="str">
            <v>Administrative coverage</v>
          </cell>
          <cell r="I233"/>
          <cell r="J233"/>
          <cell r="K233"/>
        </row>
        <row r="234">
          <cell r="B234" t="str">
            <v>BMU</v>
          </cell>
          <cell r="C234" t="str">
            <v>Bermuda</v>
          </cell>
          <cell r="D234">
            <v>2023</v>
          </cell>
          <cell r="E234" t="str">
            <v>FLU_ELDERLY</v>
          </cell>
          <cell r="F234" t="str">
            <v>Influenza older persons</v>
          </cell>
          <cell r="G234" t="str">
            <v>ADMIN</v>
          </cell>
          <cell r="H234" t="str">
            <v>Administrative coverage</v>
          </cell>
          <cell r="I234">
            <v>14122</v>
          </cell>
          <cell r="J234">
            <v>860</v>
          </cell>
          <cell r="K234">
            <v>6.09</v>
          </cell>
        </row>
        <row r="235">
          <cell r="B235" t="str">
            <v>BTN</v>
          </cell>
          <cell r="C235" t="str">
            <v>Bhutan</v>
          </cell>
          <cell r="D235">
            <v>2023</v>
          </cell>
          <cell r="E235" t="str">
            <v>FLU_ELDERLY</v>
          </cell>
          <cell r="F235" t="str">
            <v>Influenza older persons</v>
          </cell>
          <cell r="G235" t="str">
            <v>ADMIN</v>
          </cell>
          <cell r="H235" t="str">
            <v>Administrative coverage</v>
          </cell>
          <cell r="I235">
            <v>51491</v>
          </cell>
          <cell r="J235">
            <v>40528</v>
          </cell>
          <cell r="K235">
            <v>78.709999999999994</v>
          </cell>
        </row>
        <row r="236">
          <cell r="B236" t="str">
            <v>BOL</v>
          </cell>
          <cell r="C236" t="str">
            <v>Bolivia (Plurinational State of)</v>
          </cell>
          <cell r="D236">
            <v>2023</v>
          </cell>
          <cell r="E236" t="str">
            <v>FLU_ELDERLY</v>
          </cell>
          <cell r="F236" t="str">
            <v>Influenza older persons</v>
          </cell>
          <cell r="G236" t="str">
            <v>ADMIN</v>
          </cell>
          <cell r="H236" t="str">
            <v>Administrative coverage</v>
          </cell>
          <cell r="I236">
            <v>653695</v>
          </cell>
          <cell r="J236">
            <v>360485</v>
          </cell>
          <cell r="K236">
            <v>55.15</v>
          </cell>
        </row>
        <row r="237">
          <cell r="B237" t="str">
            <v>BIH</v>
          </cell>
          <cell r="C237" t="str">
            <v>Bosnia and Herzegovina</v>
          </cell>
          <cell r="D237">
            <v>2023</v>
          </cell>
          <cell r="E237" t="str">
            <v>FLU_ELDERLY</v>
          </cell>
          <cell r="F237" t="str">
            <v>Influenza older persons</v>
          </cell>
          <cell r="G237" t="str">
            <v>ADMIN</v>
          </cell>
          <cell r="H237" t="str">
            <v>Administrative coverage</v>
          </cell>
          <cell r="I237">
            <v>741885</v>
          </cell>
          <cell r="J237">
            <v>48541</v>
          </cell>
          <cell r="K237">
            <v>6.5</v>
          </cell>
        </row>
        <row r="238">
          <cell r="B238" t="str">
            <v>BWA</v>
          </cell>
          <cell r="C238" t="str">
            <v>Botswana</v>
          </cell>
          <cell r="D238">
            <v>2023</v>
          </cell>
          <cell r="E238" t="str">
            <v>FLU_ELDERLY</v>
          </cell>
          <cell r="F238" t="str">
            <v>Influenza older persons</v>
          </cell>
          <cell r="G238" t="str">
            <v>ADMIN</v>
          </cell>
          <cell r="H238" t="str">
            <v>Administrative coverage</v>
          </cell>
          <cell r="I238"/>
          <cell r="J238"/>
          <cell r="K238"/>
        </row>
        <row r="239">
          <cell r="B239" t="str">
            <v>BRA</v>
          </cell>
          <cell r="C239" t="str">
            <v>Brazil</v>
          </cell>
          <cell r="D239">
            <v>2023</v>
          </cell>
          <cell r="E239" t="str">
            <v>FLU_ELDERLY</v>
          </cell>
          <cell r="F239" t="str">
            <v>Influenza older persons</v>
          </cell>
          <cell r="G239" t="str">
            <v>ADMIN</v>
          </cell>
          <cell r="H239" t="str">
            <v>Administrative coverage</v>
          </cell>
          <cell r="I239">
            <v>31330209</v>
          </cell>
          <cell r="J239">
            <v>19831805</v>
          </cell>
          <cell r="K239">
            <v>63.3</v>
          </cell>
        </row>
        <row r="240">
          <cell r="B240" t="str">
            <v>VGB</v>
          </cell>
          <cell r="C240" t="str">
            <v>British Virgin Islands</v>
          </cell>
          <cell r="D240">
            <v>2023</v>
          </cell>
          <cell r="E240" t="str">
            <v>FLU_ELDERLY</v>
          </cell>
          <cell r="F240" t="str">
            <v>Influenza older persons</v>
          </cell>
          <cell r="G240" t="str">
            <v>ADMIN</v>
          </cell>
          <cell r="H240" t="str">
            <v>Administrative coverage</v>
          </cell>
          <cell r="I240"/>
          <cell r="J240">
            <v>25</v>
          </cell>
          <cell r="K240"/>
        </row>
        <row r="241">
          <cell r="B241" t="str">
            <v>BRN</v>
          </cell>
          <cell r="C241" t="str">
            <v>Brunei Darussalam</v>
          </cell>
          <cell r="D241">
            <v>2023</v>
          </cell>
          <cell r="E241" t="str">
            <v>FLU_ELDERLY</v>
          </cell>
          <cell r="F241" t="str">
            <v>Influenza older persons</v>
          </cell>
          <cell r="G241" t="str">
            <v>ADMIN</v>
          </cell>
          <cell r="H241" t="str">
            <v>Administrative coverage</v>
          </cell>
          <cell r="I241"/>
          <cell r="J241"/>
          <cell r="K241"/>
        </row>
        <row r="242">
          <cell r="B242" t="str">
            <v>BGR</v>
          </cell>
          <cell r="C242" t="str">
            <v>Bulgaria</v>
          </cell>
          <cell r="D242">
            <v>2023</v>
          </cell>
          <cell r="E242" t="str">
            <v>FLU_ELDERLY</v>
          </cell>
          <cell r="F242" t="str">
            <v>Influenza older persons</v>
          </cell>
          <cell r="G242" t="str">
            <v>ADMIN</v>
          </cell>
          <cell r="H242" t="str">
            <v>Administrative coverage</v>
          </cell>
          <cell r="I242">
            <v>1460000</v>
          </cell>
          <cell r="J242">
            <v>276545</v>
          </cell>
          <cell r="K242">
            <v>18.940000000000001</v>
          </cell>
        </row>
        <row r="243">
          <cell r="B243" t="str">
            <v>BFA</v>
          </cell>
          <cell r="C243" t="str">
            <v>Burkina Faso</v>
          </cell>
          <cell r="D243">
            <v>2023</v>
          </cell>
          <cell r="E243" t="str">
            <v>FLU_ELDERLY</v>
          </cell>
          <cell r="F243" t="str">
            <v>Influenza older persons</v>
          </cell>
          <cell r="G243" t="str">
            <v>ADMIN</v>
          </cell>
          <cell r="H243" t="str">
            <v>Administrative coverage</v>
          </cell>
          <cell r="I243"/>
          <cell r="J243"/>
          <cell r="K243"/>
        </row>
        <row r="244">
          <cell r="B244" t="str">
            <v>BDI</v>
          </cell>
          <cell r="C244" t="str">
            <v>Burundi</v>
          </cell>
          <cell r="D244">
            <v>2023</v>
          </cell>
          <cell r="E244" t="str">
            <v>FLU_ELDERLY</v>
          </cell>
          <cell r="F244" t="str">
            <v>Influenza older persons</v>
          </cell>
          <cell r="G244" t="str">
            <v>ADMIN</v>
          </cell>
          <cell r="H244" t="str">
            <v>Administrative coverage</v>
          </cell>
          <cell r="I244"/>
          <cell r="J244"/>
          <cell r="K244"/>
        </row>
        <row r="245">
          <cell r="B245" t="str">
            <v>CPV</v>
          </cell>
          <cell r="C245" t="str">
            <v>Cabo Verde</v>
          </cell>
          <cell r="D245">
            <v>2023</v>
          </cell>
          <cell r="E245" t="str">
            <v>FLU_ELDERLY</v>
          </cell>
          <cell r="F245" t="str">
            <v>Influenza older persons</v>
          </cell>
          <cell r="G245" t="str">
            <v>ADMIN</v>
          </cell>
          <cell r="H245" t="str">
            <v>Administrative coverage</v>
          </cell>
          <cell r="I245"/>
          <cell r="J245"/>
          <cell r="K245"/>
        </row>
        <row r="246">
          <cell r="B246" t="str">
            <v>KHM</v>
          </cell>
          <cell r="C246" t="str">
            <v>Cambodia</v>
          </cell>
          <cell r="D246">
            <v>2023</v>
          </cell>
          <cell r="E246" t="str">
            <v>FLU_ELDERLY</v>
          </cell>
          <cell r="F246" t="str">
            <v>Influenza older persons</v>
          </cell>
          <cell r="G246" t="str">
            <v>ADMIN</v>
          </cell>
          <cell r="H246" t="str">
            <v>Administrative coverage</v>
          </cell>
          <cell r="I246"/>
          <cell r="J246"/>
          <cell r="K246"/>
        </row>
        <row r="247">
          <cell r="B247" t="str">
            <v>CMR</v>
          </cell>
          <cell r="C247" t="str">
            <v>Cameroon</v>
          </cell>
          <cell r="D247">
            <v>2023</v>
          </cell>
          <cell r="E247" t="str">
            <v>FLU_ELDERLY</v>
          </cell>
          <cell r="F247" t="str">
            <v>Influenza older persons</v>
          </cell>
          <cell r="G247" t="str">
            <v>ADMIN</v>
          </cell>
          <cell r="H247" t="str">
            <v>Administrative coverage</v>
          </cell>
          <cell r="I247"/>
          <cell r="J247"/>
          <cell r="K247"/>
        </row>
        <row r="248">
          <cell r="B248" t="str">
            <v>CAN</v>
          </cell>
          <cell r="C248" t="str">
            <v>Canada</v>
          </cell>
          <cell r="D248">
            <v>2023</v>
          </cell>
          <cell r="E248" t="str">
            <v>FLU_ELDERLY</v>
          </cell>
          <cell r="F248" t="str">
            <v>Influenza older persons</v>
          </cell>
          <cell r="G248" t="str">
            <v>ADMIN</v>
          </cell>
          <cell r="H248" t="str">
            <v>Administrative coverage</v>
          </cell>
          <cell r="I248"/>
          <cell r="J248"/>
          <cell r="K248">
            <v>73.7</v>
          </cell>
        </row>
        <row r="249">
          <cell r="B249" t="str">
            <v>CYM</v>
          </cell>
          <cell r="C249" t="str">
            <v>Cayman Islands</v>
          </cell>
          <cell r="D249">
            <v>2023</v>
          </cell>
          <cell r="E249" t="str">
            <v>FLU_ELDERLY</v>
          </cell>
          <cell r="F249" t="str">
            <v>Influenza older persons</v>
          </cell>
          <cell r="G249" t="str">
            <v>ADMIN</v>
          </cell>
          <cell r="H249" t="str">
            <v>Administrative coverage</v>
          </cell>
          <cell r="I249"/>
          <cell r="J249"/>
          <cell r="K249"/>
        </row>
        <row r="250">
          <cell r="B250" t="str">
            <v>CAF</v>
          </cell>
          <cell r="C250" t="str">
            <v>Central African Republic</v>
          </cell>
          <cell r="D250">
            <v>2023</v>
          </cell>
          <cell r="E250" t="str">
            <v>FLU_ELDERLY</v>
          </cell>
          <cell r="F250" t="str">
            <v>Influenza older persons</v>
          </cell>
          <cell r="G250" t="str">
            <v>ADMIN</v>
          </cell>
          <cell r="H250" t="str">
            <v>Administrative coverage</v>
          </cell>
          <cell r="I250"/>
          <cell r="J250"/>
          <cell r="K250"/>
        </row>
        <row r="251">
          <cell r="B251" t="str">
            <v>TCD</v>
          </cell>
          <cell r="C251" t="str">
            <v>Chad</v>
          </cell>
          <cell r="D251">
            <v>2023</v>
          </cell>
          <cell r="E251" t="str">
            <v>FLU_ELDERLY</v>
          </cell>
          <cell r="F251" t="str">
            <v>Influenza older persons</v>
          </cell>
          <cell r="G251" t="str">
            <v>ADMIN</v>
          </cell>
          <cell r="H251" t="str">
            <v>Administrative coverage</v>
          </cell>
          <cell r="I251"/>
          <cell r="J251"/>
          <cell r="K251"/>
        </row>
        <row r="252">
          <cell r="B252" t="str">
            <v>CHL</v>
          </cell>
          <cell r="C252" t="str">
            <v>Chile</v>
          </cell>
          <cell r="D252">
            <v>2023</v>
          </cell>
          <cell r="E252" t="str">
            <v>FLU_ELDERLY</v>
          </cell>
          <cell r="F252" t="str">
            <v>Influenza older persons</v>
          </cell>
          <cell r="G252" t="str">
            <v>ADMIN</v>
          </cell>
          <cell r="H252" t="str">
            <v>Administrative coverage</v>
          </cell>
          <cell r="I252">
            <v>2664128</v>
          </cell>
          <cell r="J252">
            <v>1734475</v>
          </cell>
          <cell r="K252">
            <v>65.099999999999994</v>
          </cell>
        </row>
        <row r="253">
          <cell r="B253" t="str">
            <v>CHN</v>
          </cell>
          <cell r="C253" t="str">
            <v>China</v>
          </cell>
          <cell r="D253">
            <v>2023</v>
          </cell>
          <cell r="E253" t="str">
            <v>FLU_ELDERLY</v>
          </cell>
          <cell r="F253" t="str">
            <v>Influenza older persons</v>
          </cell>
          <cell r="G253" t="str">
            <v>ADMIN</v>
          </cell>
          <cell r="H253" t="str">
            <v>Administrative coverage</v>
          </cell>
          <cell r="I253"/>
          <cell r="J253"/>
          <cell r="K253"/>
        </row>
        <row r="254">
          <cell r="B254" t="str">
            <v>HKG</v>
          </cell>
          <cell r="C254" t="str">
            <v>China, Hong Kong SAR</v>
          </cell>
          <cell r="D254">
            <v>2023</v>
          </cell>
          <cell r="E254" t="str">
            <v>FLU_ELDERLY</v>
          </cell>
          <cell r="F254" t="str">
            <v>Influenza older persons</v>
          </cell>
          <cell r="G254" t="str">
            <v>ADMIN</v>
          </cell>
          <cell r="H254" t="str">
            <v>Administrative coverage</v>
          </cell>
          <cell r="I254">
            <v>3257700</v>
          </cell>
          <cell r="J254">
            <v>1008100</v>
          </cell>
          <cell r="K254">
            <v>30.95</v>
          </cell>
        </row>
        <row r="255">
          <cell r="B255" t="str">
            <v>MAC</v>
          </cell>
          <cell r="C255" t="str">
            <v>China, Macao SAR</v>
          </cell>
          <cell r="D255">
            <v>2023</v>
          </cell>
          <cell r="E255" t="str">
            <v>FLU_ELDERLY</v>
          </cell>
          <cell r="F255" t="str">
            <v>Influenza older persons</v>
          </cell>
          <cell r="G255" t="str">
            <v>ADMIN</v>
          </cell>
          <cell r="H255" t="str">
            <v>Administrative coverage</v>
          </cell>
          <cell r="I255">
            <v>89400</v>
          </cell>
          <cell r="J255">
            <v>44185</v>
          </cell>
          <cell r="K255">
            <v>49.42</v>
          </cell>
        </row>
        <row r="256">
          <cell r="B256" t="str">
            <v>COL</v>
          </cell>
          <cell r="C256" t="str">
            <v>Colombia</v>
          </cell>
          <cell r="D256">
            <v>2023</v>
          </cell>
          <cell r="E256" t="str">
            <v>FLU_ELDERLY</v>
          </cell>
          <cell r="F256" t="str">
            <v>Influenza older persons</v>
          </cell>
          <cell r="G256" t="str">
            <v>ADMIN</v>
          </cell>
          <cell r="H256" t="str">
            <v>Administrative coverage</v>
          </cell>
          <cell r="I256">
            <v>2132374</v>
          </cell>
          <cell r="J256">
            <v>1417879</v>
          </cell>
          <cell r="K256">
            <v>88.7</v>
          </cell>
        </row>
        <row r="257">
          <cell r="B257" t="str">
            <v>COM</v>
          </cell>
          <cell r="C257" t="str">
            <v>Comoros</v>
          </cell>
          <cell r="D257">
            <v>2023</v>
          </cell>
          <cell r="E257" t="str">
            <v>FLU_ELDERLY</v>
          </cell>
          <cell r="F257" t="str">
            <v>Influenza older persons</v>
          </cell>
          <cell r="G257" t="str">
            <v>ADMIN</v>
          </cell>
          <cell r="H257" t="str">
            <v>Administrative coverage</v>
          </cell>
          <cell r="I257"/>
          <cell r="J257"/>
          <cell r="K257"/>
        </row>
        <row r="258">
          <cell r="B258" t="str">
            <v>COG</v>
          </cell>
          <cell r="C258" t="str">
            <v>Congo</v>
          </cell>
          <cell r="D258">
            <v>2023</v>
          </cell>
          <cell r="E258" t="str">
            <v>FLU_ELDERLY</v>
          </cell>
          <cell r="F258" t="str">
            <v>Influenza older persons</v>
          </cell>
          <cell r="G258" t="str">
            <v>ADMIN</v>
          </cell>
          <cell r="H258" t="str">
            <v>Administrative coverage</v>
          </cell>
          <cell r="I258"/>
          <cell r="J258"/>
          <cell r="K258"/>
        </row>
        <row r="259">
          <cell r="B259" t="str">
            <v>COK</v>
          </cell>
          <cell r="C259" t="str">
            <v>Cook Islands</v>
          </cell>
          <cell r="D259">
            <v>2023</v>
          </cell>
          <cell r="E259" t="str">
            <v>FLU_ELDERLY</v>
          </cell>
          <cell r="F259" t="str">
            <v>Influenza older persons</v>
          </cell>
          <cell r="G259" t="str">
            <v>ADMIN</v>
          </cell>
          <cell r="H259" t="str">
            <v>Administrative coverage</v>
          </cell>
          <cell r="I259"/>
          <cell r="J259"/>
          <cell r="K259"/>
        </row>
        <row r="260">
          <cell r="B260" t="str">
            <v>CRI</v>
          </cell>
          <cell r="C260" t="str">
            <v>Costa Rica</v>
          </cell>
          <cell r="D260">
            <v>2023</v>
          </cell>
          <cell r="E260" t="str">
            <v>FLU_ELDERLY</v>
          </cell>
          <cell r="F260" t="str">
            <v>Influenza older persons</v>
          </cell>
          <cell r="G260" t="str">
            <v>ADMIN</v>
          </cell>
          <cell r="H260" t="str">
            <v>Administrative coverage</v>
          </cell>
          <cell r="I260">
            <v>888347</v>
          </cell>
          <cell r="J260">
            <v>495096</v>
          </cell>
          <cell r="K260">
            <v>55.73</v>
          </cell>
        </row>
        <row r="261">
          <cell r="B261" t="str">
            <v>CIV</v>
          </cell>
          <cell r="C261" t="str">
            <v>Côte d'Ivoire</v>
          </cell>
          <cell r="D261">
            <v>2023</v>
          </cell>
          <cell r="E261" t="str">
            <v>FLU_ELDERLY</v>
          </cell>
          <cell r="F261" t="str">
            <v>Influenza older persons</v>
          </cell>
          <cell r="G261" t="str">
            <v>ADMIN</v>
          </cell>
          <cell r="H261" t="str">
            <v>Administrative coverage</v>
          </cell>
          <cell r="I261"/>
          <cell r="J261">
            <v>2255</v>
          </cell>
          <cell r="K261"/>
        </row>
        <row r="262">
          <cell r="B262" t="str">
            <v>HRV</v>
          </cell>
          <cell r="C262" t="str">
            <v>Croatia</v>
          </cell>
          <cell r="D262">
            <v>2023</v>
          </cell>
          <cell r="E262" t="str">
            <v>FLU_ELDERLY</v>
          </cell>
          <cell r="F262" t="str">
            <v>Influenza older persons</v>
          </cell>
          <cell r="G262" t="str">
            <v>ADMIN</v>
          </cell>
          <cell r="H262" t="str">
            <v>Administrative coverage</v>
          </cell>
          <cell r="I262">
            <v>869239</v>
          </cell>
          <cell r="J262">
            <v>248277</v>
          </cell>
          <cell r="K262">
            <v>28.56</v>
          </cell>
        </row>
        <row r="263">
          <cell r="B263" t="str">
            <v>CUB</v>
          </cell>
          <cell r="C263" t="str">
            <v>Cuba</v>
          </cell>
          <cell r="D263">
            <v>2023</v>
          </cell>
          <cell r="E263" t="str">
            <v>FLU_ELDERLY</v>
          </cell>
          <cell r="F263" t="str">
            <v>Influenza older persons</v>
          </cell>
          <cell r="G263" t="str">
            <v>ADMIN</v>
          </cell>
          <cell r="H263" t="str">
            <v>Administrative coverage</v>
          </cell>
          <cell r="I263">
            <v>190956</v>
          </cell>
          <cell r="J263">
            <v>190906</v>
          </cell>
          <cell r="K263">
            <v>99.97</v>
          </cell>
        </row>
        <row r="264">
          <cell r="B264" t="str">
            <v>CYP</v>
          </cell>
          <cell r="C264" t="str">
            <v>Cyprus</v>
          </cell>
          <cell r="D264">
            <v>2023</v>
          </cell>
          <cell r="E264" t="str">
            <v>FLU_ELDERLY</v>
          </cell>
          <cell r="F264" t="str">
            <v>Influenza older persons</v>
          </cell>
          <cell r="G264" t="str">
            <v>ADMIN</v>
          </cell>
          <cell r="H264" t="str">
            <v>Administrative coverage</v>
          </cell>
          <cell r="I264"/>
          <cell r="J264"/>
          <cell r="K264">
            <v>44.5</v>
          </cell>
        </row>
        <row r="265">
          <cell r="B265" t="str">
            <v>CZE</v>
          </cell>
          <cell r="C265" t="str">
            <v>Czechia</v>
          </cell>
          <cell r="D265">
            <v>2023</v>
          </cell>
          <cell r="E265" t="str">
            <v>FLU_ELDERLY</v>
          </cell>
          <cell r="F265" t="str">
            <v>Influenza older persons</v>
          </cell>
          <cell r="G265" t="str">
            <v>ADMIN</v>
          </cell>
          <cell r="H265" t="str">
            <v>Administrative coverage</v>
          </cell>
          <cell r="I265">
            <v>2207849</v>
          </cell>
          <cell r="J265">
            <v>543172</v>
          </cell>
          <cell r="K265">
            <v>24.6</v>
          </cell>
        </row>
        <row r="266">
          <cell r="B266" t="str">
            <v>PRK</v>
          </cell>
          <cell r="C266" t="str">
            <v>Democratic People's Republic of Korea</v>
          </cell>
          <cell r="D266">
            <v>2023</v>
          </cell>
          <cell r="E266" t="str">
            <v>FLU_ELDERLY</v>
          </cell>
          <cell r="F266" t="str">
            <v>Influenza older persons</v>
          </cell>
          <cell r="G266" t="str">
            <v>ADMIN</v>
          </cell>
          <cell r="H266" t="str">
            <v>Administrative coverage</v>
          </cell>
          <cell r="I266"/>
          <cell r="J266"/>
          <cell r="K266"/>
        </row>
        <row r="267">
          <cell r="B267" t="str">
            <v>COD</v>
          </cell>
          <cell r="C267" t="str">
            <v>Democratic Republic of the Congo</v>
          </cell>
          <cell r="D267">
            <v>2023</v>
          </cell>
          <cell r="E267" t="str">
            <v>FLU_ELDERLY</v>
          </cell>
          <cell r="F267" t="str">
            <v>Influenza older persons</v>
          </cell>
          <cell r="G267" t="str">
            <v>ADMIN</v>
          </cell>
          <cell r="H267" t="str">
            <v>Administrative coverage</v>
          </cell>
          <cell r="I267"/>
          <cell r="J267"/>
          <cell r="K267"/>
        </row>
        <row r="268">
          <cell r="B268" t="str">
            <v>DNK</v>
          </cell>
          <cell r="C268" t="str">
            <v>Denmark</v>
          </cell>
          <cell r="D268">
            <v>2023</v>
          </cell>
          <cell r="E268" t="str">
            <v>FLU_ELDERLY</v>
          </cell>
          <cell r="F268" t="str">
            <v>Influenza older persons</v>
          </cell>
          <cell r="G268" t="str">
            <v>ADMIN</v>
          </cell>
          <cell r="H268" t="str">
            <v>Administrative coverage</v>
          </cell>
          <cell r="I268">
            <v>1048751</v>
          </cell>
          <cell r="J268">
            <v>851017</v>
          </cell>
          <cell r="K268">
            <v>81.150000000000006</v>
          </cell>
        </row>
        <row r="269">
          <cell r="B269" t="str">
            <v>DJI</v>
          </cell>
          <cell r="C269" t="str">
            <v>Djibouti</v>
          </cell>
          <cell r="D269">
            <v>2023</v>
          </cell>
          <cell r="E269" t="str">
            <v>FLU_ELDERLY</v>
          </cell>
          <cell r="F269" t="str">
            <v>Influenza older persons</v>
          </cell>
          <cell r="G269" t="str">
            <v>ADMIN</v>
          </cell>
          <cell r="H269" t="str">
            <v>Administrative coverage</v>
          </cell>
          <cell r="I269"/>
          <cell r="J269"/>
          <cell r="K269"/>
        </row>
        <row r="270">
          <cell r="B270" t="str">
            <v>DMA</v>
          </cell>
          <cell r="C270" t="str">
            <v>Dominica</v>
          </cell>
          <cell r="D270">
            <v>2023</v>
          </cell>
          <cell r="E270" t="str">
            <v>FLU_ELDERLY</v>
          </cell>
          <cell r="F270" t="str">
            <v>Influenza older persons</v>
          </cell>
          <cell r="G270" t="str">
            <v>ADMIN</v>
          </cell>
          <cell r="H270" t="str">
            <v>Administrative coverage</v>
          </cell>
          <cell r="I270"/>
          <cell r="J270"/>
          <cell r="K270"/>
        </row>
        <row r="271">
          <cell r="B271" t="str">
            <v>DOM</v>
          </cell>
          <cell r="C271" t="str">
            <v>Dominican Republic</v>
          </cell>
          <cell r="D271">
            <v>2023</v>
          </cell>
          <cell r="E271" t="str">
            <v>FLU_ELDERLY</v>
          </cell>
          <cell r="F271" t="str">
            <v>Influenza older persons</v>
          </cell>
          <cell r="G271" t="str">
            <v>ADMIN</v>
          </cell>
          <cell r="H271" t="str">
            <v>Administrative coverage</v>
          </cell>
          <cell r="I271">
            <v>60000</v>
          </cell>
          <cell r="J271">
            <v>61300</v>
          </cell>
          <cell r="K271">
            <v>102.17</v>
          </cell>
        </row>
        <row r="272">
          <cell r="B272" t="str">
            <v>ECU</v>
          </cell>
          <cell r="C272" t="str">
            <v>Ecuador</v>
          </cell>
          <cell r="D272">
            <v>2023</v>
          </cell>
          <cell r="E272" t="str">
            <v>FLU_ELDERLY</v>
          </cell>
          <cell r="F272" t="str">
            <v>Influenza older persons</v>
          </cell>
          <cell r="G272" t="str">
            <v>ADMIN</v>
          </cell>
          <cell r="H272" t="str">
            <v>Administrative coverage</v>
          </cell>
          <cell r="I272">
            <v>1134502</v>
          </cell>
          <cell r="J272">
            <v>773338</v>
          </cell>
          <cell r="K272">
            <v>68.17</v>
          </cell>
        </row>
        <row r="273">
          <cell r="B273" t="str">
            <v>EGY</v>
          </cell>
          <cell r="C273" t="str">
            <v>Egypt</v>
          </cell>
          <cell r="D273">
            <v>2023</v>
          </cell>
          <cell r="E273" t="str">
            <v>FLU_ELDERLY</v>
          </cell>
          <cell r="F273" t="str">
            <v>Influenza older persons</v>
          </cell>
          <cell r="G273" t="str">
            <v>ADMIN</v>
          </cell>
          <cell r="H273" t="str">
            <v>Administrative coverage</v>
          </cell>
          <cell r="I273"/>
          <cell r="J273"/>
          <cell r="K273"/>
        </row>
        <row r="274">
          <cell r="B274" t="str">
            <v>SLV</v>
          </cell>
          <cell r="C274" t="str">
            <v>El Salvador</v>
          </cell>
          <cell r="D274">
            <v>2023</v>
          </cell>
          <cell r="E274" t="str">
            <v>FLU_ELDERLY</v>
          </cell>
          <cell r="F274" t="str">
            <v>Influenza older persons</v>
          </cell>
          <cell r="G274" t="str">
            <v>ADMIN</v>
          </cell>
          <cell r="H274" t="str">
            <v>Administrative coverage</v>
          </cell>
          <cell r="I274">
            <v>818159</v>
          </cell>
          <cell r="J274">
            <v>523202</v>
          </cell>
          <cell r="K274">
            <v>63.95</v>
          </cell>
        </row>
        <row r="275">
          <cell r="B275" t="str">
            <v>GNQ</v>
          </cell>
          <cell r="C275" t="str">
            <v>Equatorial Guinea</v>
          </cell>
          <cell r="D275">
            <v>2023</v>
          </cell>
          <cell r="E275" t="str">
            <v>FLU_ELDERLY</v>
          </cell>
          <cell r="F275" t="str">
            <v>Influenza older persons</v>
          </cell>
          <cell r="G275" t="str">
            <v>ADMIN</v>
          </cell>
          <cell r="H275" t="str">
            <v>Administrative coverage</v>
          </cell>
          <cell r="I275"/>
          <cell r="J275"/>
          <cell r="K275"/>
        </row>
        <row r="276">
          <cell r="B276" t="str">
            <v>ERI</v>
          </cell>
          <cell r="C276" t="str">
            <v>Eritrea</v>
          </cell>
          <cell r="D276">
            <v>2023</v>
          </cell>
          <cell r="E276" t="str">
            <v>FLU_ELDERLY</v>
          </cell>
          <cell r="F276" t="str">
            <v>Influenza older persons</v>
          </cell>
          <cell r="G276" t="str">
            <v>ADMIN</v>
          </cell>
          <cell r="H276" t="str">
            <v>Administrative coverage</v>
          </cell>
          <cell r="I276"/>
          <cell r="J276"/>
          <cell r="K276"/>
        </row>
        <row r="277">
          <cell r="B277" t="str">
            <v>EST</v>
          </cell>
          <cell r="C277" t="str">
            <v>Estonia</v>
          </cell>
          <cell r="D277">
            <v>2023</v>
          </cell>
          <cell r="E277" t="str">
            <v>FLU_ELDERLY</v>
          </cell>
          <cell r="F277" t="str">
            <v>Influenza older persons</v>
          </cell>
          <cell r="G277" t="str">
            <v>ADMIN</v>
          </cell>
          <cell r="H277" t="str">
            <v>Administrative coverage</v>
          </cell>
          <cell r="I277">
            <v>277968</v>
          </cell>
          <cell r="J277">
            <v>78137</v>
          </cell>
          <cell r="K277">
            <v>28.11</v>
          </cell>
        </row>
        <row r="278">
          <cell r="B278" t="str">
            <v>SWZ</v>
          </cell>
          <cell r="C278" t="str">
            <v>Eswatini</v>
          </cell>
          <cell r="D278">
            <v>2023</v>
          </cell>
          <cell r="E278" t="str">
            <v>FLU_ELDERLY</v>
          </cell>
          <cell r="F278" t="str">
            <v>Influenza older persons</v>
          </cell>
          <cell r="G278" t="str">
            <v>ADMIN</v>
          </cell>
          <cell r="H278" t="str">
            <v>Administrative coverage</v>
          </cell>
          <cell r="I278"/>
          <cell r="J278"/>
          <cell r="K278"/>
        </row>
        <row r="279">
          <cell r="B279" t="str">
            <v>ETH</v>
          </cell>
          <cell r="C279" t="str">
            <v>Ethiopia</v>
          </cell>
          <cell r="D279">
            <v>2023</v>
          </cell>
          <cell r="E279" t="str">
            <v>FLU_ELDERLY</v>
          </cell>
          <cell r="F279" t="str">
            <v>Influenza older persons</v>
          </cell>
          <cell r="G279" t="str">
            <v>ADMIN</v>
          </cell>
          <cell r="H279" t="str">
            <v>Administrative coverage</v>
          </cell>
          <cell r="I279"/>
          <cell r="J279"/>
          <cell r="K279"/>
        </row>
        <row r="280">
          <cell r="B280" t="str">
            <v>FJI</v>
          </cell>
          <cell r="C280" t="str">
            <v>Fiji</v>
          </cell>
          <cell r="D280">
            <v>2023</v>
          </cell>
          <cell r="E280" t="str">
            <v>FLU_ELDERLY</v>
          </cell>
          <cell r="F280" t="str">
            <v>Influenza older persons</v>
          </cell>
          <cell r="G280" t="str">
            <v>ADMIN</v>
          </cell>
          <cell r="H280" t="str">
            <v>Administrative coverage</v>
          </cell>
          <cell r="I280"/>
          <cell r="J280"/>
          <cell r="K280"/>
        </row>
        <row r="281">
          <cell r="B281" t="str">
            <v>FIN</v>
          </cell>
          <cell r="C281" t="str">
            <v>Finland</v>
          </cell>
          <cell r="D281">
            <v>2023</v>
          </cell>
          <cell r="E281" t="str">
            <v>FLU_ELDERLY</v>
          </cell>
          <cell r="F281" t="str">
            <v>Influenza older persons</v>
          </cell>
          <cell r="G281" t="str">
            <v>ADMIN</v>
          </cell>
          <cell r="H281" t="str">
            <v>Administrative coverage</v>
          </cell>
          <cell r="I281"/>
          <cell r="J281"/>
          <cell r="K281">
            <v>60.1</v>
          </cell>
        </row>
        <row r="282">
          <cell r="B282" t="str">
            <v>FRA</v>
          </cell>
          <cell r="C282" t="str">
            <v>France</v>
          </cell>
          <cell r="D282">
            <v>2023</v>
          </cell>
          <cell r="E282" t="str">
            <v>FLU_ELDERLY</v>
          </cell>
          <cell r="F282" t="str">
            <v>Influenza older persons</v>
          </cell>
          <cell r="G282" t="str">
            <v>ADMIN</v>
          </cell>
          <cell r="H282" t="str">
            <v>Administrative coverage</v>
          </cell>
          <cell r="I282"/>
          <cell r="J282"/>
          <cell r="K282">
            <v>54</v>
          </cell>
        </row>
        <row r="283">
          <cell r="B283" t="str">
            <v>PYF</v>
          </cell>
          <cell r="C283" t="str">
            <v>French Polynesia</v>
          </cell>
          <cell r="D283">
            <v>2023</v>
          </cell>
          <cell r="E283" t="str">
            <v>FLU_ELDERLY</v>
          </cell>
          <cell r="F283" t="str">
            <v>Influenza older persons</v>
          </cell>
          <cell r="G283" t="str">
            <v>ADMIN</v>
          </cell>
          <cell r="H283" t="str">
            <v>Administrative coverage</v>
          </cell>
          <cell r="I283">
            <v>25800</v>
          </cell>
          <cell r="J283">
            <v>2594</v>
          </cell>
          <cell r="K283">
            <v>10</v>
          </cell>
        </row>
        <row r="284">
          <cell r="B284" t="str">
            <v>GAB</v>
          </cell>
          <cell r="C284" t="str">
            <v>Gabon</v>
          </cell>
          <cell r="D284">
            <v>2023</v>
          </cell>
          <cell r="E284" t="str">
            <v>FLU_ELDERLY</v>
          </cell>
          <cell r="F284" t="str">
            <v>Influenza older persons</v>
          </cell>
          <cell r="G284" t="str">
            <v>ADMIN</v>
          </cell>
          <cell r="H284" t="str">
            <v>Administrative coverage</v>
          </cell>
          <cell r="I284"/>
          <cell r="J284"/>
          <cell r="K284"/>
        </row>
        <row r="285">
          <cell r="B285" t="str">
            <v>GMB</v>
          </cell>
          <cell r="C285" t="str">
            <v>Gambia</v>
          </cell>
          <cell r="D285">
            <v>2023</v>
          </cell>
          <cell r="E285" t="str">
            <v>FLU_ELDERLY</v>
          </cell>
          <cell r="F285" t="str">
            <v>Influenza older persons</v>
          </cell>
          <cell r="G285" t="str">
            <v>ADMIN</v>
          </cell>
          <cell r="H285" t="str">
            <v>Administrative coverage</v>
          </cell>
          <cell r="I285"/>
          <cell r="J285"/>
          <cell r="K285"/>
        </row>
        <row r="286">
          <cell r="B286" t="str">
            <v>GEO</v>
          </cell>
          <cell r="C286" t="str">
            <v>Georgia</v>
          </cell>
          <cell r="D286">
            <v>2023</v>
          </cell>
          <cell r="E286" t="str">
            <v>FLU_ELDERLY</v>
          </cell>
          <cell r="F286" t="str">
            <v>Influenza older persons</v>
          </cell>
          <cell r="G286" t="str">
            <v>ADMIN</v>
          </cell>
          <cell r="H286" t="str">
            <v>Administrative coverage</v>
          </cell>
          <cell r="I286">
            <v>555900</v>
          </cell>
          <cell r="J286">
            <v>60653</v>
          </cell>
          <cell r="K286">
            <v>10.9</v>
          </cell>
        </row>
        <row r="287">
          <cell r="B287" t="str">
            <v>DEU</v>
          </cell>
          <cell r="C287" t="str">
            <v>Germany</v>
          </cell>
          <cell r="D287">
            <v>2023</v>
          </cell>
          <cell r="E287" t="str">
            <v>FLU_ELDERLY</v>
          </cell>
          <cell r="F287" t="str">
            <v>Influenza older persons</v>
          </cell>
          <cell r="G287" t="str">
            <v>ADMIN</v>
          </cell>
          <cell r="H287" t="str">
            <v>Administrative coverage</v>
          </cell>
          <cell r="I287"/>
          <cell r="J287"/>
          <cell r="K287">
            <v>40.4</v>
          </cell>
        </row>
        <row r="288">
          <cell r="B288" t="str">
            <v>GHA</v>
          </cell>
          <cell r="C288" t="str">
            <v>Ghana</v>
          </cell>
          <cell r="D288">
            <v>2023</v>
          </cell>
          <cell r="E288" t="str">
            <v>FLU_ELDERLY</v>
          </cell>
          <cell r="F288" t="str">
            <v>Influenza older persons</v>
          </cell>
          <cell r="G288" t="str">
            <v>ADMIN</v>
          </cell>
          <cell r="H288" t="str">
            <v>Administrative coverage</v>
          </cell>
          <cell r="I288"/>
          <cell r="J288"/>
          <cell r="K288"/>
        </row>
        <row r="289">
          <cell r="B289" t="str">
            <v>GRC</v>
          </cell>
          <cell r="C289" t="str">
            <v>Greece</v>
          </cell>
          <cell r="D289">
            <v>2023</v>
          </cell>
          <cell r="E289" t="str">
            <v>FLU_ELDERLY</v>
          </cell>
          <cell r="F289" t="str">
            <v>Influenza older persons</v>
          </cell>
          <cell r="G289" t="str">
            <v>ADMIN</v>
          </cell>
          <cell r="H289" t="str">
            <v>Administrative coverage</v>
          </cell>
          <cell r="I289">
            <v>2611442</v>
          </cell>
          <cell r="J289">
            <v>1700187</v>
          </cell>
          <cell r="K289">
            <v>65.11</v>
          </cell>
        </row>
        <row r="290">
          <cell r="B290" t="str">
            <v>GRD</v>
          </cell>
          <cell r="C290" t="str">
            <v>Grenada</v>
          </cell>
          <cell r="D290">
            <v>2023</v>
          </cell>
          <cell r="E290" t="str">
            <v>FLU_ELDERLY</v>
          </cell>
          <cell r="F290" t="str">
            <v>Influenza older persons</v>
          </cell>
          <cell r="G290" t="str">
            <v>ADMIN</v>
          </cell>
          <cell r="H290" t="str">
            <v>Administrative coverage</v>
          </cell>
          <cell r="I290"/>
          <cell r="J290">
            <v>32</v>
          </cell>
          <cell r="K290"/>
        </row>
        <row r="291">
          <cell r="B291" t="str">
            <v>GUM</v>
          </cell>
          <cell r="C291" t="str">
            <v>Guam</v>
          </cell>
          <cell r="D291">
            <v>2023</v>
          </cell>
          <cell r="E291" t="str">
            <v>FLU_ELDERLY</v>
          </cell>
          <cell r="F291" t="str">
            <v>Influenza older persons</v>
          </cell>
          <cell r="G291" t="str">
            <v>ADMIN</v>
          </cell>
          <cell r="H291" t="str">
            <v>Administrative coverage</v>
          </cell>
          <cell r="I291"/>
          <cell r="J291"/>
          <cell r="K291"/>
        </row>
        <row r="292">
          <cell r="B292" t="str">
            <v>GTM</v>
          </cell>
          <cell r="C292" t="str">
            <v>Guatemala</v>
          </cell>
          <cell r="D292">
            <v>2023</v>
          </cell>
          <cell r="E292" t="str">
            <v>FLU_ELDERLY</v>
          </cell>
          <cell r="F292" t="str">
            <v>Influenza older persons</v>
          </cell>
          <cell r="G292" t="str">
            <v>ADMIN</v>
          </cell>
          <cell r="H292" t="str">
            <v>Administrative coverage</v>
          </cell>
          <cell r="I292">
            <v>1317437</v>
          </cell>
          <cell r="J292">
            <v>60802</v>
          </cell>
          <cell r="K292">
            <v>4.62</v>
          </cell>
        </row>
        <row r="293">
          <cell r="B293" t="str">
            <v>GIN</v>
          </cell>
          <cell r="C293" t="str">
            <v>Guinea</v>
          </cell>
          <cell r="D293">
            <v>2023</v>
          </cell>
          <cell r="E293" t="str">
            <v>FLU_ELDERLY</v>
          </cell>
          <cell r="F293" t="str">
            <v>Influenza older persons</v>
          </cell>
          <cell r="G293" t="str">
            <v>ADMIN</v>
          </cell>
          <cell r="H293" t="str">
            <v>Administrative coverage</v>
          </cell>
          <cell r="I293"/>
          <cell r="J293"/>
          <cell r="K293"/>
        </row>
        <row r="294">
          <cell r="B294" t="str">
            <v>GNB</v>
          </cell>
          <cell r="C294" t="str">
            <v>Guinea-Bissau</v>
          </cell>
          <cell r="D294">
            <v>2023</v>
          </cell>
          <cell r="E294" t="str">
            <v>FLU_ELDERLY</v>
          </cell>
          <cell r="F294" t="str">
            <v>Influenza older persons</v>
          </cell>
          <cell r="G294" t="str">
            <v>ADMIN</v>
          </cell>
          <cell r="H294" t="str">
            <v>Administrative coverage</v>
          </cell>
          <cell r="I294"/>
          <cell r="J294"/>
          <cell r="K294"/>
        </row>
        <row r="295">
          <cell r="B295" t="str">
            <v>GUY</v>
          </cell>
          <cell r="C295" t="str">
            <v>Guyana</v>
          </cell>
          <cell r="D295">
            <v>2023</v>
          </cell>
          <cell r="E295" t="str">
            <v>FLU_ELDERLY</v>
          </cell>
          <cell r="F295" t="str">
            <v>Influenza older persons</v>
          </cell>
          <cell r="G295" t="str">
            <v>ADMIN</v>
          </cell>
          <cell r="H295" t="str">
            <v>Administrative coverage</v>
          </cell>
          <cell r="I295"/>
          <cell r="J295"/>
          <cell r="K295"/>
        </row>
        <row r="296">
          <cell r="B296" t="str">
            <v>HTI</v>
          </cell>
          <cell r="C296" t="str">
            <v>Haiti</v>
          </cell>
          <cell r="D296">
            <v>2023</v>
          </cell>
          <cell r="E296" t="str">
            <v>FLU_ELDERLY</v>
          </cell>
          <cell r="F296" t="str">
            <v>Influenza older persons</v>
          </cell>
          <cell r="G296" t="str">
            <v>ADMIN</v>
          </cell>
          <cell r="H296" t="str">
            <v>Administrative coverage</v>
          </cell>
          <cell r="I296"/>
          <cell r="J296"/>
          <cell r="K296"/>
        </row>
        <row r="297">
          <cell r="B297" t="str">
            <v>HND</v>
          </cell>
          <cell r="C297" t="str">
            <v>Honduras</v>
          </cell>
          <cell r="D297">
            <v>2023</v>
          </cell>
          <cell r="E297" t="str">
            <v>FLU_ELDERLY</v>
          </cell>
          <cell r="F297" t="str">
            <v>Influenza older persons</v>
          </cell>
          <cell r="G297" t="str">
            <v>ADMIN</v>
          </cell>
          <cell r="H297" t="str">
            <v>Administrative coverage</v>
          </cell>
          <cell r="I297">
            <v>685486</v>
          </cell>
          <cell r="J297">
            <v>501878</v>
          </cell>
          <cell r="K297">
            <v>73.209999999999994</v>
          </cell>
        </row>
        <row r="298">
          <cell r="B298" t="str">
            <v>HUN</v>
          </cell>
          <cell r="C298" t="str">
            <v>Hungary</v>
          </cell>
          <cell r="D298">
            <v>2023</v>
          </cell>
          <cell r="E298" t="str">
            <v>FLU_ELDERLY</v>
          </cell>
          <cell r="F298" t="str">
            <v>Influenza older persons</v>
          </cell>
          <cell r="G298" t="str">
            <v>ADMIN</v>
          </cell>
          <cell r="H298" t="str">
            <v>Administrative coverage</v>
          </cell>
          <cell r="I298">
            <v>2570676</v>
          </cell>
          <cell r="J298">
            <v>515464</v>
          </cell>
          <cell r="K298">
            <v>20.05</v>
          </cell>
        </row>
        <row r="299">
          <cell r="B299" t="str">
            <v>ISL</v>
          </cell>
          <cell r="C299" t="str">
            <v>Iceland</v>
          </cell>
          <cell r="D299">
            <v>2023</v>
          </cell>
          <cell r="E299" t="str">
            <v>FLU_ELDERLY</v>
          </cell>
          <cell r="F299" t="str">
            <v>Influenza older persons</v>
          </cell>
          <cell r="G299" t="str">
            <v>ADMIN</v>
          </cell>
          <cell r="H299" t="str">
            <v>Administrative coverage</v>
          </cell>
          <cell r="I299">
            <v>82664</v>
          </cell>
          <cell r="J299">
            <v>44820</v>
          </cell>
          <cell r="K299">
            <v>54.22</v>
          </cell>
        </row>
        <row r="300">
          <cell r="B300" t="str">
            <v>IND</v>
          </cell>
          <cell r="C300" t="str">
            <v>India</v>
          </cell>
          <cell r="D300">
            <v>2023</v>
          </cell>
          <cell r="E300" t="str">
            <v>FLU_ELDERLY</v>
          </cell>
          <cell r="F300" t="str">
            <v>Influenza older persons</v>
          </cell>
          <cell r="G300" t="str">
            <v>ADMIN</v>
          </cell>
          <cell r="H300" t="str">
            <v>Administrative coverage</v>
          </cell>
          <cell r="I300"/>
          <cell r="J300"/>
          <cell r="K300"/>
        </row>
        <row r="301">
          <cell r="B301" t="str">
            <v>IDN</v>
          </cell>
          <cell r="C301" t="str">
            <v>Indonesia</v>
          </cell>
          <cell r="D301">
            <v>2023</v>
          </cell>
          <cell r="E301" t="str">
            <v>FLU_ELDERLY</v>
          </cell>
          <cell r="F301" t="str">
            <v>Influenza older persons</v>
          </cell>
          <cell r="G301" t="str">
            <v>ADMIN</v>
          </cell>
          <cell r="H301" t="str">
            <v>Administrative coverage</v>
          </cell>
          <cell r="I301"/>
          <cell r="J301"/>
          <cell r="K301"/>
        </row>
        <row r="302">
          <cell r="B302" t="str">
            <v>IRN</v>
          </cell>
          <cell r="C302" t="str">
            <v>Iran (Islamic Republic of)</v>
          </cell>
          <cell r="D302">
            <v>2023</v>
          </cell>
          <cell r="E302" t="str">
            <v>FLU_ELDERLY</v>
          </cell>
          <cell r="F302" t="str">
            <v>Influenza older persons</v>
          </cell>
          <cell r="G302" t="str">
            <v>ADMIN</v>
          </cell>
          <cell r="H302" t="str">
            <v>Administrative coverage</v>
          </cell>
          <cell r="I302">
            <v>9000000</v>
          </cell>
          <cell r="J302"/>
          <cell r="K302"/>
        </row>
        <row r="303">
          <cell r="B303" t="str">
            <v>IRQ</v>
          </cell>
          <cell r="C303" t="str">
            <v>Iraq</v>
          </cell>
          <cell r="D303">
            <v>2023</v>
          </cell>
          <cell r="E303" t="str">
            <v>FLU_ELDERLY</v>
          </cell>
          <cell r="F303" t="str">
            <v>Influenza older persons</v>
          </cell>
          <cell r="G303" t="str">
            <v>ADMIN</v>
          </cell>
          <cell r="H303" t="str">
            <v>Administrative coverage</v>
          </cell>
          <cell r="I303">
            <v>2166200</v>
          </cell>
          <cell r="J303"/>
          <cell r="K303"/>
        </row>
        <row r="304">
          <cell r="B304" t="str">
            <v>IRL</v>
          </cell>
          <cell r="C304" t="str">
            <v>Ireland</v>
          </cell>
          <cell r="D304">
            <v>2023</v>
          </cell>
          <cell r="E304" t="str">
            <v>FLU_ELDERLY</v>
          </cell>
          <cell r="F304" t="str">
            <v>Influenza older persons</v>
          </cell>
          <cell r="G304" t="str">
            <v>ADMIN</v>
          </cell>
          <cell r="H304" t="str">
            <v>Administrative coverage</v>
          </cell>
          <cell r="I304">
            <v>743088</v>
          </cell>
          <cell r="J304">
            <v>562588</v>
          </cell>
          <cell r="K304">
            <v>75.709999999999994</v>
          </cell>
        </row>
        <row r="305">
          <cell r="B305" t="str">
            <v>ITA</v>
          </cell>
          <cell r="C305" t="str">
            <v>Italy</v>
          </cell>
          <cell r="D305">
            <v>2023</v>
          </cell>
          <cell r="E305" t="str">
            <v>FLU_ELDERLY</v>
          </cell>
          <cell r="F305" t="str">
            <v>Influenza older persons</v>
          </cell>
          <cell r="G305" t="str">
            <v>ADMIN</v>
          </cell>
          <cell r="H305" t="str">
            <v>Administrative coverage</v>
          </cell>
          <cell r="I305"/>
          <cell r="J305"/>
          <cell r="K305">
            <v>53.3</v>
          </cell>
        </row>
        <row r="306">
          <cell r="B306" t="str">
            <v>JAM</v>
          </cell>
          <cell r="C306" t="str">
            <v>Jamaica</v>
          </cell>
          <cell r="D306">
            <v>2023</v>
          </cell>
          <cell r="E306" t="str">
            <v>FLU_ELDERLY</v>
          </cell>
          <cell r="F306" t="str">
            <v>Influenza older persons</v>
          </cell>
          <cell r="G306" t="str">
            <v>ADMIN</v>
          </cell>
          <cell r="H306" t="str">
            <v>Administrative coverage</v>
          </cell>
          <cell r="I306"/>
          <cell r="J306">
            <v>529</v>
          </cell>
          <cell r="K306"/>
        </row>
        <row r="307">
          <cell r="B307" t="str">
            <v>JPN</v>
          </cell>
          <cell r="C307" t="str">
            <v>Japan</v>
          </cell>
          <cell r="D307">
            <v>2023</v>
          </cell>
          <cell r="E307" t="str">
            <v>FLU_ELDERLY</v>
          </cell>
          <cell r="F307" t="str">
            <v>Influenza older persons</v>
          </cell>
          <cell r="G307" t="str">
            <v>ADMIN</v>
          </cell>
          <cell r="H307" t="str">
            <v>Administrative coverage</v>
          </cell>
          <cell r="I307"/>
          <cell r="J307"/>
          <cell r="K307"/>
        </row>
        <row r="308">
          <cell r="B308" t="str">
            <v>JOR</v>
          </cell>
          <cell r="C308" t="str">
            <v>Jordan</v>
          </cell>
          <cell r="D308">
            <v>2023</v>
          </cell>
          <cell r="E308" t="str">
            <v>FLU_ELDERLY</v>
          </cell>
          <cell r="F308" t="str">
            <v>Influenza older persons</v>
          </cell>
          <cell r="G308" t="str">
            <v>ADMIN</v>
          </cell>
          <cell r="H308" t="str">
            <v>Administrative coverage</v>
          </cell>
          <cell r="I308"/>
          <cell r="J308"/>
          <cell r="K308"/>
        </row>
        <row r="309">
          <cell r="B309" t="str">
            <v>KAZ</v>
          </cell>
          <cell r="C309" t="str">
            <v>Kazakhstan</v>
          </cell>
          <cell r="D309">
            <v>2023</v>
          </cell>
          <cell r="E309" t="str">
            <v>FLU_ELDERLY</v>
          </cell>
          <cell r="F309" t="str">
            <v>Influenza older persons</v>
          </cell>
          <cell r="G309" t="str">
            <v>ADMIN</v>
          </cell>
          <cell r="H309" t="str">
            <v>Administrative coverage</v>
          </cell>
          <cell r="I309">
            <v>1725652</v>
          </cell>
          <cell r="J309">
            <v>518176</v>
          </cell>
          <cell r="K309">
            <v>30.03</v>
          </cell>
        </row>
        <row r="310">
          <cell r="B310" t="str">
            <v>KEN</v>
          </cell>
          <cell r="C310" t="str">
            <v>Kenya</v>
          </cell>
          <cell r="D310">
            <v>2023</v>
          </cell>
          <cell r="E310" t="str">
            <v>FLU_ELDERLY</v>
          </cell>
          <cell r="F310" t="str">
            <v>Influenza older persons</v>
          </cell>
          <cell r="G310" t="str">
            <v>ADMIN</v>
          </cell>
          <cell r="H310" t="str">
            <v>Administrative coverage</v>
          </cell>
          <cell r="I310"/>
          <cell r="J310"/>
          <cell r="K310"/>
        </row>
        <row r="311">
          <cell r="B311" t="str">
            <v>KIR</v>
          </cell>
          <cell r="C311" t="str">
            <v>Kiribati</v>
          </cell>
          <cell r="D311">
            <v>2023</v>
          </cell>
          <cell r="E311" t="str">
            <v>FLU_ELDERLY</v>
          </cell>
          <cell r="F311" t="str">
            <v>Influenza older persons</v>
          </cell>
          <cell r="G311" t="str">
            <v>ADMIN</v>
          </cell>
          <cell r="H311" t="str">
            <v>Administrative coverage</v>
          </cell>
          <cell r="I311"/>
          <cell r="J311"/>
          <cell r="K311"/>
        </row>
        <row r="312">
          <cell r="B312" t="str">
            <v>XKX</v>
          </cell>
          <cell r="C312" t="str">
            <v>Kosovo (in accordance with UN Security Council resolution 1244 (1999))</v>
          </cell>
          <cell r="D312">
            <v>2023</v>
          </cell>
          <cell r="E312" t="str">
            <v>FLU_ELDERLY</v>
          </cell>
          <cell r="F312" t="str">
            <v>Influenza older persons</v>
          </cell>
          <cell r="G312" t="str">
            <v>ADMIN</v>
          </cell>
          <cell r="H312" t="str">
            <v>Administrative coverage</v>
          </cell>
          <cell r="I312">
            <v>161000</v>
          </cell>
          <cell r="J312">
            <v>48518</v>
          </cell>
          <cell r="K312">
            <v>30.14</v>
          </cell>
        </row>
        <row r="313">
          <cell r="B313" t="str">
            <v>KWT</v>
          </cell>
          <cell r="C313" t="str">
            <v>Kuwait</v>
          </cell>
          <cell r="D313">
            <v>2023</v>
          </cell>
          <cell r="E313" t="str">
            <v>FLU_ELDERLY</v>
          </cell>
          <cell r="F313" t="str">
            <v>Influenza older persons</v>
          </cell>
          <cell r="G313" t="str">
            <v>ADMIN</v>
          </cell>
          <cell r="H313" t="str">
            <v>Administrative coverage</v>
          </cell>
          <cell r="I313"/>
          <cell r="J313"/>
          <cell r="K313"/>
        </row>
        <row r="314">
          <cell r="B314" t="str">
            <v>KGZ</v>
          </cell>
          <cell r="C314" t="str">
            <v>Kyrgyzstan</v>
          </cell>
          <cell r="D314">
            <v>2023</v>
          </cell>
          <cell r="E314" t="str">
            <v>FLU_ELDERLY</v>
          </cell>
          <cell r="F314" t="str">
            <v>Influenza older persons</v>
          </cell>
          <cell r="G314" t="str">
            <v>ADMIN</v>
          </cell>
          <cell r="H314" t="str">
            <v>Administrative coverage</v>
          </cell>
          <cell r="I314">
            <v>395243</v>
          </cell>
          <cell r="J314">
            <v>13713</v>
          </cell>
          <cell r="K314">
            <v>3.47</v>
          </cell>
        </row>
        <row r="315">
          <cell r="B315" t="str">
            <v>LAO</v>
          </cell>
          <cell r="C315" t="str">
            <v>Lao People's Democratic Republic</v>
          </cell>
          <cell r="D315">
            <v>2023</v>
          </cell>
          <cell r="E315" t="str">
            <v>FLU_ELDERLY</v>
          </cell>
          <cell r="F315" t="str">
            <v>Influenza older persons</v>
          </cell>
          <cell r="G315" t="str">
            <v>ADMIN</v>
          </cell>
          <cell r="H315" t="str">
            <v>Administrative coverage</v>
          </cell>
          <cell r="I315"/>
          <cell r="J315"/>
          <cell r="K315"/>
        </row>
        <row r="316">
          <cell r="B316" t="str">
            <v>LVA</v>
          </cell>
          <cell r="C316" t="str">
            <v>Latvia</v>
          </cell>
          <cell r="D316">
            <v>2023</v>
          </cell>
          <cell r="E316" t="str">
            <v>FLU_ELDERLY</v>
          </cell>
          <cell r="F316" t="str">
            <v>Influenza older persons</v>
          </cell>
          <cell r="G316" t="str">
            <v>ADMIN</v>
          </cell>
          <cell r="H316" t="str">
            <v>Administrative coverage</v>
          </cell>
          <cell r="I316">
            <v>391623</v>
          </cell>
          <cell r="J316">
            <v>66048</v>
          </cell>
          <cell r="K316">
            <v>16.87</v>
          </cell>
        </row>
        <row r="317">
          <cell r="B317" t="str">
            <v>LBN</v>
          </cell>
          <cell r="C317" t="str">
            <v>Lebanon</v>
          </cell>
          <cell r="D317">
            <v>2023</v>
          </cell>
          <cell r="E317" t="str">
            <v>FLU_ELDERLY</v>
          </cell>
          <cell r="F317" t="str">
            <v>Influenza older persons</v>
          </cell>
          <cell r="G317" t="str">
            <v>ADMIN</v>
          </cell>
          <cell r="H317" t="str">
            <v>Administrative coverage</v>
          </cell>
          <cell r="I317">
            <v>2000</v>
          </cell>
          <cell r="J317">
            <v>2000</v>
          </cell>
          <cell r="K317">
            <v>100</v>
          </cell>
        </row>
        <row r="318">
          <cell r="B318" t="str">
            <v>LSO</v>
          </cell>
          <cell r="C318" t="str">
            <v>Lesotho</v>
          </cell>
          <cell r="D318">
            <v>2023</v>
          </cell>
          <cell r="E318" t="str">
            <v>FLU_ELDERLY</v>
          </cell>
          <cell r="F318" t="str">
            <v>Influenza older persons</v>
          </cell>
          <cell r="G318" t="str">
            <v>ADMIN</v>
          </cell>
          <cell r="H318" t="str">
            <v>Administrative coverage</v>
          </cell>
          <cell r="I318"/>
          <cell r="J318"/>
          <cell r="K318"/>
        </row>
        <row r="319">
          <cell r="B319" t="str">
            <v>LBR</v>
          </cell>
          <cell r="C319" t="str">
            <v>Liberia</v>
          </cell>
          <cell r="D319">
            <v>2023</v>
          </cell>
          <cell r="E319" t="str">
            <v>FLU_ELDERLY</v>
          </cell>
          <cell r="F319" t="str">
            <v>Influenza older persons</v>
          </cell>
          <cell r="G319" t="str">
            <v>ADMIN</v>
          </cell>
          <cell r="H319" t="str">
            <v>Administrative coverage</v>
          </cell>
          <cell r="I319"/>
          <cell r="J319"/>
          <cell r="K319"/>
        </row>
        <row r="320">
          <cell r="B320" t="str">
            <v>LBY</v>
          </cell>
          <cell r="C320" t="str">
            <v>Libya</v>
          </cell>
          <cell r="D320">
            <v>2023</v>
          </cell>
          <cell r="E320" t="str">
            <v>FLU_ELDERLY</v>
          </cell>
          <cell r="F320" t="str">
            <v>Influenza older persons</v>
          </cell>
          <cell r="G320" t="str">
            <v>ADMIN</v>
          </cell>
          <cell r="H320" t="str">
            <v>Administrative coverage</v>
          </cell>
          <cell r="I320"/>
          <cell r="J320">
            <v>135440</v>
          </cell>
          <cell r="K320"/>
        </row>
        <row r="321">
          <cell r="B321" t="str">
            <v>LTU</v>
          </cell>
          <cell r="C321" t="str">
            <v>Lithuania</v>
          </cell>
          <cell r="D321">
            <v>2023</v>
          </cell>
          <cell r="E321" t="str">
            <v>FLU_ELDERLY</v>
          </cell>
          <cell r="F321" t="str">
            <v>Influenza older persons</v>
          </cell>
          <cell r="G321" t="str">
            <v>ADMIN</v>
          </cell>
          <cell r="H321" t="str">
            <v>Administrative coverage</v>
          </cell>
          <cell r="I321">
            <v>566147</v>
          </cell>
          <cell r="J321">
            <v>137521</v>
          </cell>
          <cell r="K321">
            <v>24.29</v>
          </cell>
        </row>
        <row r="322">
          <cell r="B322" t="str">
            <v>LUX</v>
          </cell>
          <cell r="C322" t="str">
            <v>Luxembourg</v>
          </cell>
          <cell r="D322">
            <v>2023</v>
          </cell>
          <cell r="E322" t="str">
            <v>FLU_ELDERLY</v>
          </cell>
          <cell r="F322" t="str">
            <v>Influenza older persons</v>
          </cell>
          <cell r="G322" t="str">
            <v>ADMIN</v>
          </cell>
          <cell r="H322" t="str">
            <v>Administrative coverage</v>
          </cell>
          <cell r="I322"/>
          <cell r="J322">
            <v>41349</v>
          </cell>
          <cell r="K322">
            <v>44.44</v>
          </cell>
        </row>
        <row r="323">
          <cell r="B323" t="str">
            <v>MDG</v>
          </cell>
          <cell r="C323" t="str">
            <v>Madagascar</v>
          </cell>
          <cell r="D323">
            <v>2023</v>
          </cell>
          <cell r="E323" t="str">
            <v>FLU_ELDERLY</v>
          </cell>
          <cell r="F323" t="str">
            <v>Influenza older persons</v>
          </cell>
          <cell r="G323" t="str">
            <v>ADMIN</v>
          </cell>
          <cell r="H323" t="str">
            <v>Administrative coverage</v>
          </cell>
          <cell r="I323"/>
          <cell r="J323"/>
          <cell r="K323"/>
        </row>
        <row r="324">
          <cell r="B324" t="str">
            <v>MWI</v>
          </cell>
          <cell r="C324" t="str">
            <v>Malawi</v>
          </cell>
          <cell r="D324">
            <v>2023</v>
          </cell>
          <cell r="E324" t="str">
            <v>FLU_ELDERLY</v>
          </cell>
          <cell r="F324" t="str">
            <v>Influenza older persons</v>
          </cell>
          <cell r="G324" t="str">
            <v>ADMIN</v>
          </cell>
          <cell r="H324" t="str">
            <v>Administrative coverage</v>
          </cell>
          <cell r="I324"/>
          <cell r="J324"/>
          <cell r="K324"/>
        </row>
        <row r="325">
          <cell r="B325" t="str">
            <v>MYS</v>
          </cell>
          <cell r="C325" t="str">
            <v>Malaysia</v>
          </cell>
          <cell r="D325">
            <v>2023</v>
          </cell>
          <cell r="E325" t="str">
            <v>FLU_ELDERLY</v>
          </cell>
          <cell r="F325" t="str">
            <v>Influenza older persons</v>
          </cell>
          <cell r="G325" t="str">
            <v>ADMIN</v>
          </cell>
          <cell r="H325" t="str">
            <v>Administrative coverage</v>
          </cell>
          <cell r="I325"/>
          <cell r="J325"/>
          <cell r="K325"/>
        </row>
        <row r="326">
          <cell r="B326" t="str">
            <v>MDV</v>
          </cell>
          <cell r="C326" t="str">
            <v>Maldives</v>
          </cell>
          <cell r="D326">
            <v>2023</v>
          </cell>
          <cell r="E326" t="str">
            <v>FLU_ELDERLY</v>
          </cell>
          <cell r="F326" t="str">
            <v>Influenza older persons</v>
          </cell>
          <cell r="G326" t="str">
            <v>ADMIN</v>
          </cell>
          <cell r="H326" t="str">
            <v>Administrative coverage</v>
          </cell>
          <cell r="I326"/>
          <cell r="J326"/>
          <cell r="K326"/>
        </row>
        <row r="327">
          <cell r="B327" t="str">
            <v>MLI</v>
          </cell>
          <cell r="C327" t="str">
            <v>Mali</v>
          </cell>
          <cell r="D327">
            <v>2023</v>
          </cell>
          <cell r="E327" t="str">
            <v>FLU_ELDERLY</v>
          </cell>
          <cell r="F327" t="str">
            <v>Influenza older persons</v>
          </cell>
          <cell r="G327" t="str">
            <v>ADMIN</v>
          </cell>
          <cell r="H327" t="str">
            <v>Administrative coverage</v>
          </cell>
          <cell r="I327"/>
          <cell r="J327"/>
          <cell r="K327"/>
        </row>
        <row r="328">
          <cell r="B328" t="str">
            <v>MLT</v>
          </cell>
          <cell r="C328" t="str">
            <v>Malta</v>
          </cell>
          <cell r="D328">
            <v>2023</v>
          </cell>
          <cell r="E328" t="str">
            <v>FLU_ELDERLY</v>
          </cell>
          <cell r="F328" t="str">
            <v>Influenza older persons</v>
          </cell>
          <cell r="G328" t="str">
            <v>ADMIN</v>
          </cell>
          <cell r="H328" t="str">
            <v>Administrative coverage</v>
          </cell>
          <cell r="I328">
            <v>80000</v>
          </cell>
          <cell r="J328">
            <v>43760</v>
          </cell>
          <cell r="K328">
            <v>54.7</v>
          </cell>
        </row>
        <row r="329">
          <cell r="B329" t="str">
            <v>MHL</v>
          </cell>
          <cell r="C329" t="str">
            <v>Marshall Islands</v>
          </cell>
          <cell r="D329">
            <v>2023</v>
          </cell>
          <cell r="E329" t="str">
            <v>FLU_ELDERLY</v>
          </cell>
          <cell r="F329" t="str">
            <v>Influenza older persons</v>
          </cell>
          <cell r="G329" t="str">
            <v>ADMIN</v>
          </cell>
          <cell r="H329" t="str">
            <v>Administrative coverage</v>
          </cell>
          <cell r="I329"/>
          <cell r="J329"/>
          <cell r="K329"/>
        </row>
        <row r="330">
          <cell r="B330" t="str">
            <v>MRT</v>
          </cell>
          <cell r="C330" t="str">
            <v>Mauritania</v>
          </cell>
          <cell r="D330">
            <v>2023</v>
          </cell>
          <cell r="E330" t="str">
            <v>FLU_ELDERLY</v>
          </cell>
          <cell r="F330" t="str">
            <v>Influenza older persons</v>
          </cell>
          <cell r="G330" t="str">
            <v>ADMIN</v>
          </cell>
          <cell r="H330" t="str">
            <v>Administrative coverage</v>
          </cell>
          <cell r="I330"/>
          <cell r="J330"/>
          <cell r="K330"/>
        </row>
        <row r="331">
          <cell r="B331" t="str">
            <v>MUS</v>
          </cell>
          <cell r="C331" t="str">
            <v>Mauritius</v>
          </cell>
          <cell r="D331">
            <v>2023</v>
          </cell>
          <cell r="E331" t="str">
            <v>FLU_ELDERLY</v>
          </cell>
          <cell r="F331" t="str">
            <v>Influenza older persons</v>
          </cell>
          <cell r="G331" t="str">
            <v>ADMIN</v>
          </cell>
          <cell r="H331" t="str">
            <v>Administrative coverage</v>
          </cell>
          <cell r="I331"/>
          <cell r="J331">
            <v>92864</v>
          </cell>
          <cell r="K331"/>
        </row>
        <row r="332">
          <cell r="B332" t="str">
            <v>MEX</v>
          </cell>
          <cell r="C332" t="str">
            <v>Mexico</v>
          </cell>
          <cell r="D332">
            <v>2023</v>
          </cell>
          <cell r="E332" t="str">
            <v>FLU_ELDERLY</v>
          </cell>
          <cell r="F332" t="str">
            <v>Influenza older persons</v>
          </cell>
          <cell r="G332" t="str">
            <v>ADMIN</v>
          </cell>
          <cell r="H332" t="str">
            <v>Administrative coverage</v>
          </cell>
          <cell r="I332">
            <v>11328886</v>
          </cell>
          <cell r="J332">
            <v>10762883</v>
          </cell>
          <cell r="K332">
            <v>95</v>
          </cell>
        </row>
        <row r="333">
          <cell r="B333" t="str">
            <v>FSM</v>
          </cell>
          <cell r="C333" t="str">
            <v>Micronesia (Federated States of)</v>
          </cell>
          <cell r="D333">
            <v>2023</v>
          </cell>
          <cell r="E333" t="str">
            <v>FLU_ELDERLY</v>
          </cell>
          <cell r="F333" t="str">
            <v>Influenza older persons</v>
          </cell>
          <cell r="G333" t="str">
            <v>ADMIN</v>
          </cell>
          <cell r="H333" t="str">
            <v>Administrative coverage</v>
          </cell>
          <cell r="I333"/>
          <cell r="J333"/>
          <cell r="K333"/>
        </row>
        <row r="334">
          <cell r="B334" t="str">
            <v>MCO</v>
          </cell>
          <cell r="C334" t="str">
            <v>Monaco</v>
          </cell>
          <cell r="D334">
            <v>2023</v>
          </cell>
          <cell r="E334" t="str">
            <v>FLU_ELDERLY</v>
          </cell>
          <cell r="F334" t="str">
            <v>Influenza older persons</v>
          </cell>
          <cell r="G334" t="str">
            <v>ADMIN</v>
          </cell>
          <cell r="H334" t="str">
            <v>Administrative coverage</v>
          </cell>
          <cell r="I334"/>
          <cell r="J334"/>
          <cell r="K334"/>
        </row>
        <row r="335">
          <cell r="B335" t="str">
            <v>MNG</v>
          </cell>
          <cell r="C335" t="str">
            <v>Mongolia</v>
          </cell>
          <cell r="D335">
            <v>2023</v>
          </cell>
          <cell r="E335" t="str">
            <v>FLU_ELDERLY</v>
          </cell>
          <cell r="F335" t="str">
            <v>Influenza older persons</v>
          </cell>
          <cell r="G335" t="str">
            <v>ADMIN</v>
          </cell>
          <cell r="H335" t="str">
            <v>Administrative coverage</v>
          </cell>
          <cell r="I335"/>
          <cell r="J335"/>
          <cell r="K335"/>
        </row>
        <row r="336">
          <cell r="B336" t="str">
            <v>MNE</v>
          </cell>
          <cell r="C336" t="str">
            <v>Montenegro</v>
          </cell>
          <cell r="D336">
            <v>2023</v>
          </cell>
          <cell r="E336" t="str">
            <v>FLU_ELDERLY</v>
          </cell>
          <cell r="F336" t="str">
            <v>Influenza older persons</v>
          </cell>
          <cell r="G336" t="str">
            <v>ADMIN</v>
          </cell>
          <cell r="H336" t="str">
            <v>Administrative coverage</v>
          </cell>
          <cell r="I336">
            <v>99042</v>
          </cell>
          <cell r="J336">
            <v>13077</v>
          </cell>
          <cell r="K336">
            <v>13.2</v>
          </cell>
        </row>
        <row r="337">
          <cell r="B337" t="str">
            <v>MSR</v>
          </cell>
          <cell r="C337" t="str">
            <v>Montserrat</v>
          </cell>
          <cell r="D337">
            <v>2023</v>
          </cell>
          <cell r="E337" t="str">
            <v>FLU_ELDERLY</v>
          </cell>
          <cell r="F337" t="str">
            <v>Influenza older persons</v>
          </cell>
          <cell r="G337" t="str">
            <v>ADMIN</v>
          </cell>
          <cell r="H337" t="str">
            <v>Administrative coverage</v>
          </cell>
          <cell r="I337"/>
          <cell r="J337"/>
          <cell r="K337"/>
        </row>
        <row r="338">
          <cell r="B338" t="str">
            <v>MAR</v>
          </cell>
          <cell r="C338" t="str">
            <v>Morocco</v>
          </cell>
          <cell r="D338">
            <v>2023</v>
          </cell>
          <cell r="E338" t="str">
            <v>FLU_ELDERLY</v>
          </cell>
          <cell r="F338" t="str">
            <v>Influenza older persons</v>
          </cell>
          <cell r="G338" t="str">
            <v>ADMIN</v>
          </cell>
          <cell r="H338" t="str">
            <v>Administrative coverage</v>
          </cell>
          <cell r="I338"/>
          <cell r="J338"/>
          <cell r="K338"/>
        </row>
        <row r="339">
          <cell r="B339" t="str">
            <v>MOZ</v>
          </cell>
          <cell r="C339" t="str">
            <v>Mozambique</v>
          </cell>
          <cell r="D339">
            <v>2023</v>
          </cell>
          <cell r="E339" t="str">
            <v>FLU_ELDERLY</v>
          </cell>
          <cell r="F339" t="str">
            <v>Influenza older persons</v>
          </cell>
          <cell r="G339" t="str">
            <v>ADMIN</v>
          </cell>
          <cell r="H339" t="str">
            <v>Administrative coverage</v>
          </cell>
          <cell r="I339"/>
          <cell r="J339"/>
          <cell r="K339"/>
        </row>
        <row r="340">
          <cell r="B340" t="str">
            <v>MMR</v>
          </cell>
          <cell r="C340" t="str">
            <v>Myanmar</v>
          </cell>
          <cell r="D340">
            <v>2023</v>
          </cell>
          <cell r="E340" t="str">
            <v>FLU_ELDERLY</v>
          </cell>
          <cell r="F340" t="str">
            <v>Influenza older persons</v>
          </cell>
          <cell r="G340" t="str">
            <v>ADMIN</v>
          </cell>
          <cell r="H340" t="str">
            <v>Administrative coverage</v>
          </cell>
          <cell r="I340"/>
          <cell r="J340"/>
          <cell r="K340"/>
        </row>
        <row r="341">
          <cell r="B341" t="str">
            <v>NAM</v>
          </cell>
          <cell r="C341" t="str">
            <v>Namibia</v>
          </cell>
          <cell r="D341">
            <v>2023</v>
          </cell>
          <cell r="E341" t="str">
            <v>FLU_ELDERLY</v>
          </cell>
          <cell r="F341" t="str">
            <v>Influenza older persons</v>
          </cell>
          <cell r="G341" t="str">
            <v>ADMIN</v>
          </cell>
          <cell r="H341" t="str">
            <v>Administrative coverage</v>
          </cell>
          <cell r="I341"/>
          <cell r="J341"/>
          <cell r="K341"/>
        </row>
        <row r="342">
          <cell r="B342" t="str">
            <v>NPL</v>
          </cell>
          <cell r="C342" t="str">
            <v>Nepal</v>
          </cell>
          <cell r="D342">
            <v>2023</v>
          </cell>
          <cell r="E342" t="str">
            <v>FLU_ELDERLY</v>
          </cell>
          <cell r="F342" t="str">
            <v>Influenza older persons</v>
          </cell>
          <cell r="G342" t="str">
            <v>ADMIN</v>
          </cell>
          <cell r="H342" t="str">
            <v>Administrative coverage</v>
          </cell>
          <cell r="I342"/>
          <cell r="J342"/>
          <cell r="K342"/>
        </row>
        <row r="343">
          <cell r="B343" t="str">
            <v>NLD</v>
          </cell>
          <cell r="C343" t="str">
            <v>Netherlands (Kingdom of the)</v>
          </cell>
          <cell r="D343">
            <v>2023</v>
          </cell>
          <cell r="E343" t="str">
            <v>FLU_ELDERLY</v>
          </cell>
          <cell r="F343" t="str">
            <v>Influenza older persons</v>
          </cell>
          <cell r="G343" t="str">
            <v>ADMIN</v>
          </cell>
          <cell r="H343" t="str">
            <v>Administrative coverage</v>
          </cell>
          <cell r="I343"/>
          <cell r="J343"/>
          <cell r="K343">
            <v>61.2</v>
          </cell>
        </row>
        <row r="344">
          <cell r="B344" t="str">
            <v>NCL</v>
          </cell>
          <cell r="C344" t="str">
            <v>New Caledonia</v>
          </cell>
          <cell r="D344">
            <v>2023</v>
          </cell>
          <cell r="E344" t="str">
            <v>FLU_ELDERLY</v>
          </cell>
          <cell r="F344" t="str">
            <v>Influenza older persons</v>
          </cell>
          <cell r="G344" t="str">
            <v>ADMIN</v>
          </cell>
          <cell r="H344" t="str">
            <v>Administrative coverage</v>
          </cell>
          <cell r="I344"/>
          <cell r="J344"/>
          <cell r="K344"/>
        </row>
        <row r="345">
          <cell r="B345" t="str">
            <v>NZL</v>
          </cell>
          <cell r="C345" t="str">
            <v>New Zealand</v>
          </cell>
          <cell r="D345">
            <v>2023</v>
          </cell>
          <cell r="E345" t="str">
            <v>FLU_ELDERLY</v>
          </cell>
          <cell r="F345" t="str">
            <v>Influenza older persons</v>
          </cell>
          <cell r="G345" t="str">
            <v>ADMIN</v>
          </cell>
          <cell r="H345" t="str">
            <v>Administrative coverage</v>
          </cell>
          <cell r="I345"/>
          <cell r="J345"/>
          <cell r="K345"/>
        </row>
        <row r="346">
          <cell r="B346" t="str">
            <v>NIC</v>
          </cell>
          <cell r="C346" t="str">
            <v>Nicaragua</v>
          </cell>
          <cell r="D346">
            <v>2023</v>
          </cell>
          <cell r="E346" t="str">
            <v>FLU_ELDERLY</v>
          </cell>
          <cell r="F346" t="str">
            <v>Influenza older persons</v>
          </cell>
          <cell r="G346" t="str">
            <v>ADMIN</v>
          </cell>
          <cell r="H346" t="str">
            <v>Administrative coverage</v>
          </cell>
          <cell r="I346"/>
          <cell r="J346"/>
          <cell r="K346"/>
        </row>
        <row r="347">
          <cell r="B347" t="str">
            <v>NER</v>
          </cell>
          <cell r="C347" t="str">
            <v>Niger</v>
          </cell>
          <cell r="D347">
            <v>2023</v>
          </cell>
          <cell r="E347" t="str">
            <v>FLU_ELDERLY</v>
          </cell>
          <cell r="F347" t="str">
            <v>Influenza older persons</v>
          </cell>
          <cell r="G347" t="str">
            <v>ADMIN</v>
          </cell>
          <cell r="H347" t="str">
            <v>Administrative coverage</v>
          </cell>
          <cell r="I347"/>
          <cell r="J347"/>
          <cell r="K347"/>
        </row>
        <row r="348">
          <cell r="B348" t="str">
            <v>NGA</v>
          </cell>
          <cell r="C348" t="str">
            <v>Nigeria</v>
          </cell>
          <cell r="D348">
            <v>2023</v>
          </cell>
          <cell r="E348" t="str">
            <v>FLU_ELDERLY</v>
          </cell>
          <cell r="F348" t="str">
            <v>Influenza older persons</v>
          </cell>
          <cell r="G348" t="str">
            <v>ADMIN</v>
          </cell>
          <cell r="H348" t="str">
            <v>Administrative coverage</v>
          </cell>
          <cell r="I348"/>
          <cell r="J348"/>
          <cell r="K348"/>
        </row>
        <row r="349">
          <cell r="B349" t="str">
            <v>NIU</v>
          </cell>
          <cell r="C349" t="str">
            <v>Niue</v>
          </cell>
          <cell r="D349">
            <v>2023</v>
          </cell>
          <cell r="E349" t="str">
            <v>FLU_ELDERLY</v>
          </cell>
          <cell r="F349" t="str">
            <v>Influenza older persons</v>
          </cell>
          <cell r="G349" t="str">
            <v>ADMIN</v>
          </cell>
          <cell r="H349" t="str">
            <v>Administrative coverage</v>
          </cell>
          <cell r="I349"/>
          <cell r="J349"/>
          <cell r="K349"/>
        </row>
        <row r="350">
          <cell r="B350" t="str">
            <v>MKD</v>
          </cell>
          <cell r="C350" t="str">
            <v>North Macedonia</v>
          </cell>
          <cell r="D350">
            <v>2023</v>
          </cell>
          <cell r="E350" t="str">
            <v>FLU_ELDERLY</v>
          </cell>
          <cell r="F350" t="str">
            <v>Influenza older persons</v>
          </cell>
          <cell r="G350" t="str">
            <v>ADMIN</v>
          </cell>
          <cell r="H350" t="str">
            <v>Administrative coverage</v>
          </cell>
          <cell r="I350">
            <v>315331</v>
          </cell>
          <cell r="J350">
            <v>28524</v>
          </cell>
          <cell r="K350">
            <v>9.0500000000000007</v>
          </cell>
        </row>
        <row r="351">
          <cell r="B351" t="str">
            <v>MNP</v>
          </cell>
          <cell r="C351" t="str">
            <v>Northern Mariana Islands</v>
          </cell>
          <cell r="D351">
            <v>2023</v>
          </cell>
          <cell r="E351" t="str">
            <v>FLU_ELDERLY</v>
          </cell>
          <cell r="F351" t="str">
            <v>Influenza older persons</v>
          </cell>
          <cell r="G351" t="str">
            <v>ADMIN</v>
          </cell>
          <cell r="H351" t="str">
            <v>Administrative coverage</v>
          </cell>
          <cell r="I351"/>
          <cell r="J351"/>
          <cell r="K351"/>
        </row>
        <row r="352">
          <cell r="B352" t="str">
            <v>NOR</v>
          </cell>
          <cell r="C352" t="str">
            <v>Norway</v>
          </cell>
          <cell r="D352">
            <v>2023</v>
          </cell>
          <cell r="E352" t="str">
            <v>FLU_ELDERLY</v>
          </cell>
          <cell r="F352" t="str">
            <v>Influenza older persons</v>
          </cell>
          <cell r="G352" t="str">
            <v>ADMIN</v>
          </cell>
          <cell r="H352" t="str">
            <v>Administrative coverage</v>
          </cell>
          <cell r="I352"/>
          <cell r="J352"/>
          <cell r="K352">
            <v>64</v>
          </cell>
        </row>
        <row r="353">
          <cell r="B353" t="str">
            <v>PSE</v>
          </cell>
          <cell r="C353" t="str">
            <v>occupied Palestinian territory, including east Jerusalem</v>
          </cell>
          <cell r="D353">
            <v>2023</v>
          </cell>
          <cell r="E353" t="str">
            <v>FLU_ELDERLY</v>
          </cell>
          <cell r="F353" t="str">
            <v>Influenza older persons</v>
          </cell>
          <cell r="G353" t="str">
            <v>ADMIN</v>
          </cell>
          <cell r="H353" t="str">
            <v>Administrative coverage</v>
          </cell>
          <cell r="I353"/>
          <cell r="J353"/>
          <cell r="K353"/>
        </row>
        <row r="354">
          <cell r="B354" t="str">
            <v>OMN</v>
          </cell>
          <cell r="C354" t="str">
            <v>Oman</v>
          </cell>
          <cell r="D354">
            <v>2023</v>
          </cell>
          <cell r="E354" t="str">
            <v>FLU_ELDERLY</v>
          </cell>
          <cell r="F354" t="str">
            <v>Influenza older persons</v>
          </cell>
          <cell r="G354" t="str">
            <v>ADMIN</v>
          </cell>
          <cell r="H354" t="str">
            <v>Administrative coverage</v>
          </cell>
          <cell r="I354">
            <v>80120</v>
          </cell>
          <cell r="J354">
            <v>72441</v>
          </cell>
          <cell r="K354">
            <v>90.42</v>
          </cell>
        </row>
        <row r="355">
          <cell r="B355" t="str">
            <v>PAK</v>
          </cell>
          <cell r="C355" t="str">
            <v>Pakistan</v>
          </cell>
          <cell r="D355">
            <v>2023</v>
          </cell>
          <cell r="E355" t="str">
            <v>FLU_ELDERLY</v>
          </cell>
          <cell r="F355" t="str">
            <v>Influenza older persons</v>
          </cell>
          <cell r="G355" t="str">
            <v>ADMIN</v>
          </cell>
          <cell r="H355" t="str">
            <v>Administrative coverage</v>
          </cell>
          <cell r="I355"/>
          <cell r="J355"/>
          <cell r="K355"/>
        </row>
        <row r="356">
          <cell r="B356" t="str">
            <v>PLW</v>
          </cell>
          <cell r="C356" t="str">
            <v>Palau</v>
          </cell>
          <cell r="D356">
            <v>2023</v>
          </cell>
          <cell r="E356" t="str">
            <v>FLU_ELDERLY</v>
          </cell>
          <cell r="F356" t="str">
            <v>Influenza older persons</v>
          </cell>
          <cell r="G356" t="str">
            <v>ADMIN</v>
          </cell>
          <cell r="H356" t="str">
            <v>Administrative coverage</v>
          </cell>
          <cell r="I356"/>
          <cell r="J356"/>
          <cell r="K356"/>
        </row>
        <row r="357">
          <cell r="B357" t="str">
            <v>PAN</v>
          </cell>
          <cell r="C357" t="str">
            <v>Panama</v>
          </cell>
          <cell r="D357">
            <v>2023</v>
          </cell>
          <cell r="E357" t="str">
            <v>FLU_ELDERLY</v>
          </cell>
          <cell r="F357" t="str">
            <v>Influenza older persons</v>
          </cell>
          <cell r="G357" t="str">
            <v>ADMIN</v>
          </cell>
          <cell r="H357" t="str">
            <v>Administrative coverage</v>
          </cell>
          <cell r="I357">
            <v>322257</v>
          </cell>
          <cell r="J357">
            <v>241870</v>
          </cell>
          <cell r="K357">
            <v>75.06</v>
          </cell>
        </row>
        <row r="358">
          <cell r="B358" t="str">
            <v>PNG</v>
          </cell>
          <cell r="C358" t="str">
            <v>Papua New Guinea</v>
          </cell>
          <cell r="D358">
            <v>2023</v>
          </cell>
          <cell r="E358" t="str">
            <v>FLU_ELDERLY</v>
          </cell>
          <cell r="F358" t="str">
            <v>Influenza older persons</v>
          </cell>
          <cell r="G358" t="str">
            <v>ADMIN</v>
          </cell>
          <cell r="H358" t="str">
            <v>Administrative coverage</v>
          </cell>
          <cell r="I358"/>
          <cell r="J358"/>
          <cell r="K358"/>
        </row>
        <row r="359">
          <cell r="B359" t="str">
            <v>PRY</v>
          </cell>
          <cell r="C359" t="str">
            <v>Paraguay</v>
          </cell>
          <cell r="D359">
            <v>2023</v>
          </cell>
          <cell r="E359" t="str">
            <v>FLU_ELDERLY</v>
          </cell>
          <cell r="F359" t="str">
            <v>Influenza older persons</v>
          </cell>
          <cell r="G359" t="str">
            <v>ADMIN</v>
          </cell>
          <cell r="H359" t="str">
            <v>Administrative coverage</v>
          </cell>
          <cell r="I359">
            <v>799976</v>
          </cell>
          <cell r="J359">
            <v>238787</v>
          </cell>
          <cell r="K359">
            <v>29.85</v>
          </cell>
        </row>
        <row r="360">
          <cell r="B360" t="str">
            <v>PER</v>
          </cell>
          <cell r="C360" t="str">
            <v>Peru</v>
          </cell>
          <cell r="D360">
            <v>2023</v>
          </cell>
          <cell r="E360" t="str">
            <v>FLU_ELDERLY</v>
          </cell>
          <cell r="F360" t="str">
            <v>Influenza older persons</v>
          </cell>
          <cell r="G360" t="str">
            <v>ADMIN</v>
          </cell>
          <cell r="H360" t="str">
            <v>Administrative coverage</v>
          </cell>
          <cell r="I360">
            <v>2578973</v>
          </cell>
          <cell r="J360">
            <v>1190833</v>
          </cell>
          <cell r="K360">
            <v>46.17</v>
          </cell>
        </row>
        <row r="361">
          <cell r="B361" t="str">
            <v>PHL</v>
          </cell>
          <cell r="C361" t="str">
            <v>Philippines</v>
          </cell>
          <cell r="D361">
            <v>2023</v>
          </cell>
          <cell r="E361" t="str">
            <v>FLU_ELDERLY</v>
          </cell>
          <cell r="F361" t="str">
            <v>Influenza older persons</v>
          </cell>
          <cell r="G361" t="str">
            <v>ADMIN</v>
          </cell>
          <cell r="H361" t="str">
            <v>Administrative coverage</v>
          </cell>
          <cell r="I361">
            <v>1676721</v>
          </cell>
          <cell r="J361">
            <v>385546</v>
          </cell>
          <cell r="K361">
            <v>22.99</v>
          </cell>
        </row>
        <row r="362">
          <cell r="B362" t="str">
            <v>POL</v>
          </cell>
          <cell r="C362" t="str">
            <v>Poland</v>
          </cell>
          <cell r="D362">
            <v>2023</v>
          </cell>
          <cell r="E362" t="str">
            <v>FLU_ELDERLY</v>
          </cell>
          <cell r="F362" t="str">
            <v>Influenza older persons</v>
          </cell>
          <cell r="G362" t="str">
            <v>ADMIN</v>
          </cell>
          <cell r="H362" t="str">
            <v>Administrative coverage</v>
          </cell>
          <cell r="I362"/>
          <cell r="J362">
            <v>393056</v>
          </cell>
          <cell r="K362"/>
        </row>
        <row r="363">
          <cell r="B363" t="str">
            <v>PRT</v>
          </cell>
          <cell r="C363" t="str">
            <v>Portugal</v>
          </cell>
          <cell r="D363">
            <v>2023</v>
          </cell>
          <cell r="E363" t="str">
            <v>FLU_ELDERLY</v>
          </cell>
          <cell r="F363" t="str">
            <v>Influenza older persons</v>
          </cell>
          <cell r="G363" t="str">
            <v>ADMIN</v>
          </cell>
          <cell r="H363" t="str">
            <v>Administrative coverage</v>
          </cell>
          <cell r="I363"/>
          <cell r="J363">
            <v>1991913</v>
          </cell>
          <cell r="K363">
            <v>66.28</v>
          </cell>
        </row>
        <row r="364">
          <cell r="B364" t="str">
            <v>QAT</v>
          </cell>
          <cell r="C364" t="str">
            <v>Qatar</v>
          </cell>
          <cell r="D364">
            <v>2023</v>
          </cell>
          <cell r="E364" t="str">
            <v>FLU_ELDERLY</v>
          </cell>
          <cell r="F364" t="str">
            <v>Influenza older persons</v>
          </cell>
          <cell r="G364" t="str">
            <v>ADMIN</v>
          </cell>
          <cell r="H364" t="str">
            <v>Administrative coverage</v>
          </cell>
          <cell r="I364">
            <v>42000</v>
          </cell>
          <cell r="J364">
            <v>6010</v>
          </cell>
          <cell r="K364">
            <v>14.31</v>
          </cell>
        </row>
        <row r="365">
          <cell r="B365" t="str">
            <v>KOR</v>
          </cell>
          <cell r="C365" t="str">
            <v>Republic of Korea</v>
          </cell>
          <cell r="D365">
            <v>2023</v>
          </cell>
          <cell r="E365" t="str">
            <v>FLU_ELDERLY</v>
          </cell>
          <cell r="F365" t="str">
            <v>Influenza older persons</v>
          </cell>
          <cell r="G365" t="str">
            <v>ADMIN</v>
          </cell>
          <cell r="H365" t="str">
            <v>Administrative coverage</v>
          </cell>
          <cell r="I365">
            <v>9310653</v>
          </cell>
          <cell r="J365">
            <v>7629522</v>
          </cell>
          <cell r="K365">
            <v>81.94</v>
          </cell>
        </row>
        <row r="366">
          <cell r="B366" t="str">
            <v>MDA</v>
          </cell>
          <cell r="C366" t="str">
            <v>Republic of Moldova</v>
          </cell>
          <cell r="D366">
            <v>2023</v>
          </cell>
          <cell r="E366" t="str">
            <v>FLU_ELDERLY</v>
          </cell>
          <cell r="F366" t="str">
            <v>Influenza older persons</v>
          </cell>
          <cell r="G366" t="str">
            <v>ADMIN</v>
          </cell>
          <cell r="H366" t="str">
            <v>Administrative coverage</v>
          </cell>
          <cell r="I366"/>
          <cell r="J366"/>
          <cell r="K366"/>
        </row>
        <row r="367">
          <cell r="B367" t="str">
            <v>ROU</v>
          </cell>
          <cell r="C367" t="str">
            <v>Romania</v>
          </cell>
          <cell r="D367">
            <v>2023</v>
          </cell>
          <cell r="E367" t="str">
            <v>FLU_ELDERLY</v>
          </cell>
          <cell r="F367" t="str">
            <v>Influenza older persons</v>
          </cell>
          <cell r="G367" t="str">
            <v>ADMIN</v>
          </cell>
          <cell r="H367" t="str">
            <v>Administrative coverage</v>
          </cell>
          <cell r="I367">
            <v>3706321</v>
          </cell>
          <cell r="J367">
            <v>864266</v>
          </cell>
          <cell r="K367">
            <v>23.32</v>
          </cell>
        </row>
        <row r="368">
          <cell r="B368" t="str">
            <v>RUS</v>
          </cell>
          <cell r="C368" t="str">
            <v>Russian Federation</v>
          </cell>
          <cell r="D368">
            <v>2023</v>
          </cell>
          <cell r="E368" t="str">
            <v>FLU_ELDERLY</v>
          </cell>
          <cell r="F368" t="str">
            <v>Influenza older persons</v>
          </cell>
          <cell r="G368" t="str">
            <v>ADMIN</v>
          </cell>
          <cell r="H368" t="str">
            <v>Administrative coverage</v>
          </cell>
          <cell r="I368">
            <v>30521734</v>
          </cell>
          <cell r="J368">
            <v>20144601</v>
          </cell>
          <cell r="K368">
            <v>66</v>
          </cell>
        </row>
        <row r="369">
          <cell r="B369" t="str">
            <v>RWA</v>
          </cell>
          <cell r="C369" t="str">
            <v>Rwanda</v>
          </cell>
          <cell r="D369">
            <v>2023</v>
          </cell>
          <cell r="E369" t="str">
            <v>FLU_ELDERLY</v>
          </cell>
          <cell r="F369" t="str">
            <v>Influenza older persons</v>
          </cell>
          <cell r="G369" t="str">
            <v>ADMIN</v>
          </cell>
          <cell r="H369" t="str">
            <v>Administrative coverage</v>
          </cell>
          <cell r="I369"/>
          <cell r="J369"/>
          <cell r="K369"/>
        </row>
        <row r="370">
          <cell r="B370" t="str">
            <v>KNA</v>
          </cell>
          <cell r="C370" t="str">
            <v>Saint Kitts and Nevis</v>
          </cell>
          <cell r="D370">
            <v>2023</v>
          </cell>
          <cell r="E370" t="str">
            <v>FLU_ELDERLY</v>
          </cell>
          <cell r="F370" t="str">
            <v>Influenza older persons</v>
          </cell>
          <cell r="G370" t="str">
            <v>ADMIN</v>
          </cell>
          <cell r="H370" t="str">
            <v>Administrative coverage</v>
          </cell>
          <cell r="I370"/>
          <cell r="J370">
            <v>19</v>
          </cell>
          <cell r="K370"/>
        </row>
        <row r="371">
          <cell r="B371" t="str">
            <v>LCA</v>
          </cell>
          <cell r="C371" t="str">
            <v>Saint Lucia</v>
          </cell>
          <cell r="D371">
            <v>2023</v>
          </cell>
          <cell r="E371" t="str">
            <v>FLU_ELDERLY</v>
          </cell>
          <cell r="F371" t="str">
            <v>Influenza older persons</v>
          </cell>
          <cell r="G371" t="str">
            <v>ADMIN</v>
          </cell>
          <cell r="H371" t="str">
            <v>Administrative coverage</v>
          </cell>
          <cell r="I371"/>
          <cell r="J371"/>
          <cell r="K371"/>
        </row>
        <row r="372">
          <cell r="B372" t="str">
            <v>VCT</v>
          </cell>
          <cell r="C372" t="str">
            <v>Saint Vincent and the Grenadines</v>
          </cell>
          <cell r="D372">
            <v>2023</v>
          </cell>
          <cell r="E372" t="str">
            <v>FLU_ELDERLY</v>
          </cell>
          <cell r="F372" t="str">
            <v>Influenza older persons</v>
          </cell>
          <cell r="G372" t="str">
            <v>ADMIN</v>
          </cell>
          <cell r="H372" t="str">
            <v>Administrative coverage</v>
          </cell>
          <cell r="I372"/>
          <cell r="J372"/>
          <cell r="K372"/>
        </row>
        <row r="373">
          <cell r="B373" t="str">
            <v>WSM</v>
          </cell>
          <cell r="C373" t="str">
            <v>Samoa</v>
          </cell>
          <cell r="D373">
            <v>2023</v>
          </cell>
          <cell r="E373" t="str">
            <v>FLU_ELDERLY</v>
          </cell>
          <cell r="F373" t="str">
            <v>Influenza older persons</v>
          </cell>
          <cell r="G373" t="str">
            <v>ADMIN</v>
          </cell>
          <cell r="H373" t="str">
            <v>Administrative coverage</v>
          </cell>
          <cell r="I373"/>
          <cell r="J373"/>
          <cell r="K373"/>
        </row>
        <row r="374">
          <cell r="B374" t="str">
            <v>SMR</v>
          </cell>
          <cell r="C374" t="str">
            <v>San Marino</v>
          </cell>
          <cell r="D374">
            <v>2023</v>
          </cell>
          <cell r="E374" t="str">
            <v>FLU_ELDERLY</v>
          </cell>
          <cell r="F374" t="str">
            <v>Influenza older persons</v>
          </cell>
          <cell r="G374" t="str">
            <v>ADMIN</v>
          </cell>
          <cell r="H374" t="str">
            <v>Administrative coverage</v>
          </cell>
          <cell r="I374">
            <v>7242</v>
          </cell>
          <cell r="J374">
            <v>3275</v>
          </cell>
          <cell r="K374">
            <v>45.22</v>
          </cell>
        </row>
        <row r="375">
          <cell r="B375" t="str">
            <v>STP</v>
          </cell>
          <cell r="C375" t="str">
            <v>Sao Tome and Principe</v>
          </cell>
          <cell r="D375">
            <v>2023</v>
          </cell>
          <cell r="E375" t="str">
            <v>FLU_ELDERLY</v>
          </cell>
          <cell r="F375" t="str">
            <v>Influenza older persons</v>
          </cell>
          <cell r="G375" t="str">
            <v>ADMIN</v>
          </cell>
          <cell r="H375" t="str">
            <v>Administrative coverage</v>
          </cell>
          <cell r="I375"/>
          <cell r="J375"/>
          <cell r="K375"/>
        </row>
        <row r="376">
          <cell r="B376" t="str">
            <v>SAU</v>
          </cell>
          <cell r="C376" t="str">
            <v>Saudi Arabia</v>
          </cell>
          <cell r="D376">
            <v>2023</v>
          </cell>
          <cell r="E376" t="str">
            <v>FLU_ELDERLY</v>
          </cell>
          <cell r="F376" t="str">
            <v>Influenza older persons</v>
          </cell>
          <cell r="G376" t="str">
            <v>ADMIN</v>
          </cell>
          <cell r="H376" t="str">
            <v>Administrative coverage</v>
          </cell>
          <cell r="I376">
            <v>4546260</v>
          </cell>
          <cell r="J376">
            <v>418527</v>
          </cell>
          <cell r="K376">
            <v>9.2100000000000009</v>
          </cell>
        </row>
        <row r="377">
          <cell r="B377" t="str">
            <v>SEN</v>
          </cell>
          <cell r="C377" t="str">
            <v>Senegal</v>
          </cell>
          <cell r="D377">
            <v>2023</v>
          </cell>
          <cell r="E377" t="str">
            <v>FLU_ELDERLY</v>
          </cell>
          <cell r="F377" t="str">
            <v>Influenza older persons</v>
          </cell>
          <cell r="G377" t="str">
            <v>ADMIN</v>
          </cell>
          <cell r="H377" t="str">
            <v>Administrative coverage</v>
          </cell>
          <cell r="I377"/>
          <cell r="J377"/>
          <cell r="K377"/>
        </row>
        <row r="378">
          <cell r="B378" t="str">
            <v>SRB</v>
          </cell>
          <cell r="C378" t="str">
            <v>Serbia</v>
          </cell>
          <cell r="D378">
            <v>2023</v>
          </cell>
          <cell r="E378" t="str">
            <v>FLU_ELDERLY</v>
          </cell>
          <cell r="F378" t="str">
            <v>Influenza older persons</v>
          </cell>
          <cell r="G378" t="str">
            <v>ADMIN</v>
          </cell>
          <cell r="H378" t="str">
            <v>Administrative coverage</v>
          </cell>
          <cell r="I378">
            <v>1469264</v>
          </cell>
          <cell r="J378">
            <v>206075</v>
          </cell>
          <cell r="K378">
            <v>14.03</v>
          </cell>
        </row>
        <row r="379">
          <cell r="B379" t="str">
            <v>SYC</v>
          </cell>
          <cell r="C379" t="str">
            <v>Seychelles</v>
          </cell>
          <cell r="D379">
            <v>2023</v>
          </cell>
          <cell r="E379" t="str">
            <v>FLU_ELDERLY</v>
          </cell>
          <cell r="F379" t="str">
            <v>Influenza older persons</v>
          </cell>
          <cell r="G379" t="str">
            <v>ADMIN</v>
          </cell>
          <cell r="H379" t="str">
            <v>Administrative coverage</v>
          </cell>
          <cell r="I379"/>
          <cell r="J379"/>
          <cell r="K379"/>
        </row>
        <row r="380">
          <cell r="B380" t="str">
            <v>SLE</v>
          </cell>
          <cell r="C380" t="str">
            <v>Sierra Leone</v>
          </cell>
          <cell r="D380">
            <v>2023</v>
          </cell>
          <cell r="E380" t="str">
            <v>FLU_ELDERLY</v>
          </cell>
          <cell r="F380" t="str">
            <v>Influenza older persons</v>
          </cell>
          <cell r="G380" t="str">
            <v>ADMIN</v>
          </cell>
          <cell r="H380" t="str">
            <v>Administrative coverage</v>
          </cell>
          <cell r="I380"/>
          <cell r="J380"/>
          <cell r="K380"/>
        </row>
        <row r="381">
          <cell r="B381" t="str">
            <v>SGP</v>
          </cell>
          <cell r="C381" t="str">
            <v>Singapore</v>
          </cell>
          <cell r="D381">
            <v>2023</v>
          </cell>
          <cell r="E381" t="str">
            <v>FLU_ELDERLY</v>
          </cell>
          <cell r="F381" t="str">
            <v>Influenza older persons</v>
          </cell>
          <cell r="G381" t="str">
            <v>ADMIN</v>
          </cell>
          <cell r="H381" t="str">
            <v>Administrative coverage</v>
          </cell>
          <cell r="I381"/>
          <cell r="J381"/>
          <cell r="K381"/>
        </row>
        <row r="382">
          <cell r="B382" t="str">
            <v>SVK</v>
          </cell>
          <cell r="C382" t="str">
            <v>Slovakia</v>
          </cell>
          <cell r="D382">
            <v>2023</v>
          </cell>
          <cell r="E382" t="str">
            <v>FLU_ELDERLY</v>
          </cell>
          <cell r="F382" t="str">
            <v>Influenza older persons</v>
          </cell>
          <cell r="G382" t="str">
            <v>ADMIN</v>
          </cell>
          <cell r="H382" t="str">
            <v>Administrative coverage</v>
          </cell>
          <cell r="I382">
            <v>1381368</v>
          </cell>
          <cell r="J382">
            <v>163842</v>
          </cell>
          <cell r="K382">
            <v>11.86</v>
          </cell>
        </row>
        <row r="383">
          <cell r="B383" t="str">
            <v>SVN</v>
          </cell>
          <cell r="C383" t="str">
            <v>Slovenia</v>
          </cell>
          <cell r="D383">
            <v>2023</v>
          </cell>
          <cell r="E383" t="str">
            <v>FLU_ELDERLY</v>
          </cell>
          <cell r="F383" t="str">
            <v>Influenza older persons</v>
          </cell>
          <cell r="G383" t="str">
            <v>ADMIN</v>
          </cell>
          <cell r="H383" t="str">
            <v>Administrative coverage</v>
          </cell>
          <cell r="I383">
            <v>449524</v>
          </cell>
          <cell r="J383">
            <v>86010</v>
          </cell>
          <cell r="K383">
            <v>19.13</v>
          </cell>
        </row>
        <row r="384">
          <cell r="B384" t="str">
            <v>SLB</v>
          </cell>
          <cell r="C384" t="str">
            <v>Solomon Islands</v>
          </cell>
          <cell r="D384">
            <v>2023</v>
          </cell>
          <cell r="E384" t="str">
            <v>FLU_ELDERLY</v>
          </cell>
          <cell r="F384" t="str">
            <v>Influenza older persons</v>
          </cell>
          <cell r="G384" t="str">
            <v>ADMIN</v>
          </cell>
          <cell r="H384" t="str">
            <v>Administrative coverage</v>
          </cell>
          <cell r="I384"/>
          <cell r="J384"/>
          <cell r="K384"/>
        </row>
        <row r="385">
          <cell r="B385" t="str">
            <v>SOM</v>
          </cell>
          <cell r="C385" t="str">
            <v>Somalia</v>
          </cell>
          <cell r="D385">
            <v>2023</v>
          </cell>
          <cell r="E385" t="str">
            <v>FLU_ELDERLY</v>
          </cell>
          <cell r="F385" t="str">
            <v>Influenza older persons</v>
          </cell>
          <cell r="G385" t="str">
            <v>ADMIN</v>
          </cell>
          <cell r="H385" t="str">
            <v>Administrative coverage</v>
          </cell>
          <cell r="I385"/>
          <cell r="J385"/>
          <cell r="K385"/>
        </row>
        <row r="386">
          <cell r="B386" t="str">
            <v>ZAF</v>
          </cell>
          <cell r="C386" t="str">
            <v>South Africa</v>
          </cell>
          <cell r="D386">
            <v>2023</v>
          </cell>
          <cell r="E386" t="str">
            <v>FLU_ELDERLY</v>
          </cell>
          <cell r="F386" t="str">
            <v>Influenza older persons</v>
          </cell>
          <cell r="G386" t="str">
            <v>ADMIN</v>
          </cell>
          <cell r="H386" t="str">
            <v>Administrative coverage</v>
          </cell>
          <cell r="I386"/>
          <cell r="J386"/>
          <cell r="K386"/>
        </row>
        <row r="387">
          <cell r="B387" t="str">
            <v>SSD</v>
          </cell>
          <cell r="C387" t="str">
            <v>South Sudan</v>
          </cell>
          <cell r="D387">
            <v>2023</v>
          </cell>
          <cell r="E387" t="str">
            <v>FLU_ELDERLY</v>
          </cell>
          <cell r="F387" t="str">
            <v>Influenza older persons</v>
          </cell>
          <cell r="G387" t="str">
            <v>ADMIN</v>
          </cell>
          <cell r="H387" t="str">
            <v>Administrative coverage</v>
          </cell>
          <cell r="I387"/>
          <cell r="J387"/>
          <cell r="K387"/>
        </row>
        <row r="388">
          <cell r="B388" t="str">
            <v>ESP</v>
          </cell>
          <cell r="C388" t="str">
            <v>Spain</v>
          </cell>
          <cell r="D388">
            <v>2023</v>
          </cell>
          <cell r="E388" t="str">
            <v>FLU_ELDERLY</v>
          </cell>
          <cell r="F388" t="str">
            <v>Influenza older persons</v>
          </cell>
          <cell r="G388" t="str">
            <v>ADMIN</v>
          </cell>
          <cell r="H388" t="str">
            <v>Administrative coverage</v>
          </cell>
          <cell r="I388">
            <v>9216053</v>
          </cell>
          <cell r="J388">
            <v>6308600</v>
          </cell>
          <cell r="K388">
            <v>68.45</v>
          </cell>
        </row>
        <row r="389">
          <cell r="B389" t="str">
            <v>LKA</v>
          </cell>
          <cell r="C389" t="str">
            <v>Sri Lanka</v>
          </cell>
          <cell r="D389">
            <v>2023</v>
          </cell>
          <cell r="E389" t="str">
            <v>FLU_ELDERLY</v>
          </cell>
          <cell r="F389" t="str">
            <v>Influenza older persons</v>
          </cell>
          <cell r="G389" t="str">
            <v>ADMIN</v>
          </cell>
          <cell r="H389" t="str">
            <v>Administrative coverage</v>
          </cell>
          <cell r="I389"/>
          <cell r="J389"/>
          <cell r="K389"/>
        </row>
        <row r="390">
          <cell r="B390" t="str">
            <v>SDN</v>
          </cell>
          <cell r="C390" t="str">
            <v>Sudan</v>
          </cell>
          <cell r="D390">
            <v>2023</v>
          </cell>
          <cell r="E390" t="str">
            <v>FLU_ELDERLY</v>
          </cell>
          <cell r="F390" t="str">
            <v>Influenza older persons</v>
          </cell>
          <cell r="G390" t="str">
            <v>ADMIN</v>
          </cell>
          <cell r="H390" t="str">
            <v>Administrative coverage</v>
          </cell>
          <cell r="I390"/>
          <cell r="J390"/>
          <cell r="K390"/>
        </row>
        <row r="391">
          <cell r="B391" t="str">
            <v>SUR</v>
          </cell>
          <cell r="C391" t="str">
            <v>Suriname</v>
          </cell>
          <cell r="D391">
            <v>2023</v>
          </cell>
          <cell r="E391" t="str">
            <v>FLU_ELDERLY</v>
          </cell>
          <cell r="F391" t="str">
            <v>Influenza older persons</v>
          </cell>
          <cell r="G391" t="str">
            <v>ADMIN</v>
          </cell>
          <cell r="H391" t="str">
            <v>Administrative coverage</v>
          </cell>
          <cell r="I391"/>
          <cell r="J391"/>
          <cell r="K391"/>
        </row>
        <row r="392">
          <cell r="B392" t="str">
            <v>SWE</v>
          </cell>
          <cell r="C392" t="str">
            <v>Sweden</v>
          </cell>
          <cell r="D392">
            <v>2023</v>
          </cell>
          <cell r="E392" t="str">
            <v>FLU_ELDERLY</v>
          </cell>
          <cell r="F392" t="str">
            <v>Influenza older persons</v>
          </cell>
          <cell r="G392" t="str">
            <v>ADMIN</v>
          </cell>
          <cell r="H392" t="str">
            <v>Administrative coverage</v>
          </cell>
          <cell r="I392">
            <v>2118766</v>
          </cell>
          <cell r="J392">
            <v>1474700</v>
          </cell>
          <cell r="K392">
            <v>70</v>
          </cell>
        </row>
        <row r="393">
          <cell r="B393" t="str">
            <v>CHE</v>
          </cell>
          <cell r="C393" t="str">
            <v>Switzerland</v>
          </cell>
          <cell r="D393">
            <v>2023</v>
          </cell>
          <cell r="E393" t="str">
            <v>FLU_ELDERLY</v>
          </cell>
          <cell r="F393" t="str">
            <v>Influenza older persons</v>
          </cell>
          <cell r="G393" t="str">
            <v>ADMIN</v>
          </cell>
          <cell r="H393" t="str">
            <v>Administrative coverage</v>
          </cell>
          <cell r="I393">
            <v>1600000</v>
          </cell>
          <cell r="J393"/>
          <cell r="K393">
            <v>39</v>
          </cell>
        </row>
        <row r="394">
          <cell r="B394" t="str">
            <v>SYR</v>
          </cell>
          <cell r="C394" t="str">
            <v>Syrian Arab Republic</v>
          </cell>
          <cell r="D394">
            <v>2023</v>
          </cell>
          <cell r="E394" t="str">
            <v>FLU_ELDERLY</v>
          </cell>
          <cell r="F394" t="str">
            <v>Influenza older persons</v>
          </cell>
          <cell r="G394" t="str">
            <v>ADMIN</v>
          </cell>
          <cell r="H394" t="str">
            <v>Administrative coverage</v>
          </cell>
          <cell r="I394"/>
          <cell r="J394"/>
          <cell r="K394"/>
        </row>
        <row r="395">
          <cell r="B395" t="str">
            <v>TJK</v>
          </cell>
          <cell r="C395" t="str">
            <v>Tajikistan</v>
          </cell>
          <cell r="D395">
            <v>2023</v>
          </cell>
          <cell r="E395" t="str">
            <v>FLU_ELDERLY</v>
          </cell>
          <cell r="F395" t="str">
            <v>Influenza older persons</v>
          </cell>
          <cell r="G395" t="str">
            <v>ADMIN</v>
          </cell>
          <cell r="H395" t="str">
            <v>Administrative coverage</v>
          </cell>
          <cell r="I395"/>
          <cell r="J395"/>
          <cell r="K395"/>
        </row>
        <row r="396">
          <cell r="B396" t="str">
            <v>THA</v>
          </cell>
          <cell r="C396" t="str">
            <v>Thailand</v>
          </cell>
          <cell r="D396">
            <v>2023</v>
          </cell>
          <cell r="E396" t="str">
            <v>FLU_ELDERLY</v>
          </cell>
          <cell r="F396" t="str">
            <v>Influenza older persons</v>
          </cell>
          <cell r="G396" t="str">
            <v>ADMIN</v>
          </cell>
          <cell r="H396" t="str">
            <v>Administrative coverage</v>
          </cell>
          <cell r="I396">
            <v>5046820</v>
          </cell>
          <cell r="J396">
            <v>2187335</v>
          </cell>
          <cell r="K396">
            <v>43.34</v>
          </cell>
        </row>
        <row r="397">
          <cell r="B397" t="str">
            <v>TLS</v>
          </cell>
          <cell r="C397" t="str">
            <v>Timor-Leste</v>
          </cell>
          <cell r="D397">
            <v>2023</v>
          </cell>
          <cell r="E397" t="str">
            <v>FLU_ELDERLY</v>
          </cell>
          <cell r="F397" t="str">
            <v>Influenza older persons</v>
          </cell>
          <cell r="G397" t="str">
            <v>ADMIN</v>
          </cell>
          <cell r="H397" t="str">
            <v>Administrative coverage</v>
          </cell>
          <cell r="I397"/>
          <cell r="J397"/>
          <cell r="K397"/>
        </row>
        <row r="398">
          <cell r="B398" t="str">
            <v>TGO</v>
          </cell>
          <cell r="C398" t="str">
            <v>Togo</v>
          </cell>
          <cell r="D398">
            <v>2023</v>
          </cell>
          <cell r="E398" t="str">
            <v>FLU_ELDERLY</v>
          </cell>
          <cell r="F398" t="str">
            <v>Influenza older persons</v>
          </cell>
          <cell r="G398" t="str">
            <v>ADMIN</v>
          </cell>
          <cell r="H398" t="str">
            <v>Administrative coverage</v>
          </cell>
          <cell r="I398"/>
          <cell r="J398"/>
          <cell r="K398"/>
        </row>
        <row r="399">
          <cell r="B399" t="str">
            <v>TKL</v>
          </cell>
          <cell r="C399" t="str">
            <v>Tokelau</v>
          </cell>
          <cell r="D399">
            <v>2023</v>
          </cell>
          <cell r="E399" t="str">
            <v>FLU_ELDERLY</v>
          </cell>
          <cell r="F399" t="str">
            <v>Influenza older persons</v>
          </cell>
          <cell r="G399" t="str">
            <v>ADMIN</v>
          </cell>
          <cell r="H399" t="str">
            <v>Administrative coverage</v>
          </cell>
          <cell r="I399"/>
          <cell r="J399"/>
          <cell r="K399"/>
        </row>
        <row r="400">
          <cell r="B400" t="str">
            <v>TON</v>
          </cell>
          <cell r="C400" t="str">
            <v>Tonga</v>
          </cell>
          <cell r="D400">
            <v>2023</v>
          </cell>
          <cell r="E400" t="str">
            <v>FLU_ELDERLY</v>
          </cell>
          <cell r="F400" t="str">
            <v>Influenza older persons</v>
          </cell>
          <cell r="G400" t="str">
            <v>ADMIN</v>
          </cell>
          <cell r="H400" t="str">
            <v>Administrative coverage</v>
          </cell>
          <cell r="I400"/>
          <cell r="J400"/>
          <cell r="K400"/>
        </row>
        <row r="401">
          <cell r="B401" t="str">
            <v>TTO</v>
          </cell>
          <cell r="C401" t="str">
            <v>Trinidad and Tobago</v>
          </cell>
          <cell r="D401">
            <v>2023</v>
          </cell>
          <cell r="E401" t="str">
            <v>FLU_ELDERLY</v>
          </cell>
          <cell r="F401" t="str">
            <v>Influenza older persons</v>
          </cell>
          <cell r="G401" t="str">
            <v>ADMIN</v>
          </cell>
          <cell r="H401" t="str">
            <v>Administrative coverage</v>
          </cell>
          <cell r="I401"/>
          <cell r="J401"/>
          <cell r="K401"/>
        </row>
        <row r="402">
          <cell r="B402" t="str">
            <v>TUN</v>
          </cell>
          <cell r="C402" t="str">
            <v>Tunisia</v>
          </cell>
          <cell r="D402">
            <v>2023</v>
          </cell>
          <cell r="E402" t="str">
            <v>FLU_ELDERLY</v>
          </cell>
          <cell r="F402" t="str">
            <v>Influenza older persons</v>
          </cell>
          <cell r="G402" t="str">
            <v>ADMIN</v>
          </cell>
          <cell r="H402" t="str">
            <v>Administrative coverage</v>
          </cell>
          <cell r="I402"/>
          <cell r="J402"/>
          <cell r="K402"/>
        </row>
        <row r="403">
          <cell r="B403" t="str">
            <v>TUR</v>
          </cell>
          <cell r="C403" t="str">
            <v>Türkiye</v>
          </cell>
          <cell r="D403">
            <v>2023</v>
          </cell>
          <cell r="E403" t="str">
            <v>FLU_ELDERLY</v>
          </cell>
          <cell r="F403" t="str">
            <v>Influenza older persons</v>
          </cell>
          <cell r="G403" t="str">
            <v>ADMIN</v>
          </cell>
          <cell r="H403" t="str">
            <v>Administrative coverage</v>
          </cell>
          <cell r="I403"/>
          <cell r="J403"/>
          <cell r="K403"/>
        </row>
        <row r="404">
          <cell r="B404" t="str">
            <v>TKM</v>
          </cell>
          <cell r="C404" t="str">
            <v>Turkmenistan</v>
          </cell>
          <cell r="D404">
            <v>2023</v>
          </cell>
          <cell r="E404" t="str">
            <v>FLU_ELDERLY</v>
          </cell>
          <cell r="F404" t="str">
            <v>Influenza older persons</v>
          </cell>
          <cell r="G404" t="str">
            <v>ADMIN</v>
          </cell>
          <cell r="H404" t="str">
            <v>Administrative coverage</v>
          </cell>
          <cell r="I404">
            <v>288485</v>
          </cell>
          <cell r="J404">
            <v>187747</v>
          </cell>
          <cell r="K404">
            <v>65</v>
          </cell>
        </row>
        <row r="405">
          <cell r="B405" t="str">
            <v>TCA</v>
          </cell>
          <cell r="C405" t="str">
            <v>Turks and Caicos Islands</v>
          </cell>
          <cell r="D405">
            <v>2023</v>
          </cell>
          <cell r="E405" t="str">
            <v>FLU_ELDERLY</v>
          </cell>
          <cell r="F405" t="str">
            <v>Influenza older persons</v>
          </cell>
          <cell r="G405" t="str">
            <v>ADMIN</v>
          </cell>
          <cell r="H405" t="str">
            <v>Administrative coverage</v>
          </cell>
          <cell r="I405"/>
          <cell r="J405"/>
          <cell r="K405"/>
        </row>
        <row r="406">
          <cell r="B406" t="str">
            <v>TUV</v>
          </cell>
          <cell r="C406" t="str">
            <v>Tuvalu</v>
          </cell>
          <cell r="D406">
            <v>2023</v>
          </cell>
          <cell r="E406" t="str">
            <v>FLU_ELDERLY</v>
          </cell>
          <cell r="F406" t="str">
            <v>Influenza older persons</v>
          </cell>
          <cell r="G406" t="str">
            <v>ADMIN</v>
          </cell>
          <cell r="H406" t="str">
            <v>Administrative coverage</v>
          </cell>
          <cell r="I406"/>
          <cell r="J406"/>
          <cell r="K406"/>
        </row>
        <row r="407">
          <cell r="B407" t="str">
            <v>UGA</v>
          </cell>
          <cell r="C407" t="str">
            <v>Uganda</v>
          </cell>
          <cell r="D407">
            <v>2023</v>
          </cell>
          <cell r="E407" t="str">
            <v>FLU_ELDERLY</v>
          </cell>
          <cell r="F407" t="str">
            <v>Influenza older persons</v>
          </cell>
          <cell r="G407" t="str">
            <v>ADMIN</v>
          </cell>
          <cell r="H407" t="str">
            <v>Administrative coverage</v>
          </cell>
          <cell r="I407"/>
          <cell r="J407"/>
          <cell r="K407"/>
        </row>
        <row r="408">
          <cell r="B408" t="str">
            <v>UKR</v>
          </cell>
          <cell r="C408" t="str">
            <v>Ukraine</v>
          </cell>
          <cell r="D408">
            <v>2023</v>
          </cell>
          <cell r="E408" t="str">
            <v>FLU_ELDERLY</v>
          </cell>
          <cell r="F408" t="str">
            <v>Influenza older persons</v>
          </cell>
          <cell r="G408" t="str">
            <v>ADMIN</v>
          </cell>
          <cell r="H408" t="str">
            <v>Administrative coverage</v>
          </cell>
          <cell r="I408">
            <v>7231106</v>
          </cell>
          <cell r="J408">
            <v>12503</v>
          </cell>
          <cell r="K408">
            <v>0.19</v>
          </cell>
        </row>
        <row r="409">
          <cell r="B409" t="str">
            <v>ARE</v>
          </cell>
          <cell r="C409" t="str">
            <v>United Arab Emirates</v>
          </cell>
          <cell r="D409">
            <v>2023</v>
          </cell>
          <cell r="E409" t="str">
            <v>FLU_ELDERLY</v>
          </cell>
          <cell r="F409" t="str">
            <v>Influenza older persons</v>
          </cell>
          <cell r="G409" t="str">
            <v>ADMIN</v>
          </cell>
          <cell r="H409" t="str">
            <v>Administrative coverage</v>
          </cell>
          <cell r="I409"/>
          <cell r="J409"/>
          <cell r="K409"/>
        </row>
        <row r="410">
          <cell r="B410" t="str">
            <v>GBR</v>
          </cell>
          <cell r="C410" t="str">
            <v>United Kingdom of Great Britain and Northern Ireland</v>
          </cell>
          <cell r="D410">
            <v>2023</v>
          </cell>
          <cell r="E410" t="str">
            <v>FLU_ELDERLY</v>
          </cell>
          <cell r="F410" t="str">
            <v>Influenza older persons</v>
          </cell>
          <cell r="G410" t="str">
            <v>ADMIN</v>
          </cell>
          <cell r="H410" t="str">
            <v>Administrative coverage</v>
          </cell>
          <cell r="I410">
            <v>13305071</v>
          </cell>
          <cell r="J410">
            <v>10046912</v>
          </cell>
          <cell r="K410">
            <v>75.510000000000005</v>
          </cell>
        </row>
        <row r="411">
          <cell r="B411" t="str">
            <v>TZA</v>
          </cell>
          <cell r="C411" t="str">
            <v>United Republic of Tanzania</v>
          </cell>
          <cell r="D411">
            <v>2023</v>
          </cell>
          <cell r="E411" t="str">
            <v>FLU_ELDERLY</v>
          </cell>
          <cell r="F411" t="str">
            <v>Influenza older persons</v>
          </cell>
          <cell r="G411" t="str">
            <v>ADMIN</v>
          </cell>
          <cell r="H411" t="str">
            <v>Administrative coverage</v>
          </cell>
          <cell r="I411"/>
          <cell r="J411"/>
          <cell r="K411"/>
        </row>
        <row r="412">
          <cell r="B412" t="str">
            <v>USA</v>
          </cell>
          <cell r="C412" t="str">
            <v>United States of America</v>
          </cell>
          <cell r="D412">
            <v>2023</v>
          </cell>
          <cell r="E412" t="str">
            <v>FLU_ELDERLY</v>
          </cell>
          <cell r="F412" t="str">
            <v>Influenza older persons</v>
          </cell>
          <cell r="G412" t="str">
            <v>ADMIN</v>
          </cell>
          <cell r="H412" t="str">
            <v>Administrative coverage</v>
          </cell>
          <cell r="I412"/>
          <cell r="J412"/>
          <cell r="K412"/>
        </row>
        <row r="413">
          <cell r="B413" t="str">
            <v>URY</v>
          </cell>
          <cell r="C413" t="str">
            <v>Uruguay</v>
          </cell>
          <cell r="D413">
            <v>2023</v>
          </cell>
          <cell r="E413" t="str">
            <v>FLU_ELDERLY</v>
          </cell>
          <cell r="F413" t="str">
            <v>Influenza older persons</v>
          </cell>
          <cell r="G413" t="str">
            <v>ADMIN</v>
          </cell>
          <cell r="H413" t="str">
            <v>Administrative coverage</v>
          </cell>
          <cell r="I413">
            <v>590735</v>
          </cell>
          <cell r="J413">
            <v>195920</v>
          </cell>
          <cell r="K413">
            <v>33.17</v>
          </cell>
        </row>
        <row r="414">
          <cell r="B414" t="str">
            <v>UZB</v>
          </cell>
          <cell r="C414" t="str">
            <v>Uzbekistan</v>
          </cell>
          <cell r="D414">
            <v>2023</v>
          </cell>
          <cell r="E414" t="str">
            <v>FLU_ELDERLY</v>
          </cell>
          <cell r="F414" t="str">
            <v>Influenza older persons</v>
          </cell>
          <cell r="G414" t="str">
            <v>ADMIN</v>
          </cell>
          <cell r="H414" t="str">
            <v>Administrative coverage</v>
          </cell>
          <cell r="I414">
            <v>300000</v>
          </cell>
          <cell r="J414">
            <v>290000</v>
          </cell>
          <cell r="K414">
            <v>96.67</v>
          </cell>
        </row>
        <row r="415">
          <cell r="B415" t="str">
            <v>VUT</v>
          </cell>
          <cell r="C415" t="str">
            <v>Vanuatu</v>
          </cell>
          <cell r="D415">
            <v>2023</v>
          </cell>
          <cell r="E415" t="str">
            <v>FLU_ELDERLY</v>
          </cell>
          <cell r="F415" t="str">
            <v>Influenza older persons</v>
          </cell>
          <cell r="G415" t="str">
            <v>ADMIN</v>
          </cell>
          <cell r="H415" t="str">
            <v>Administrative coverage</v>
          </cell>
          <cell r="I415"/>
          <cell r="J415"/>
          <cell r="K415"/>
        </row>
        <row r="416">
          <cell r="B416" t="str">
            <v>VEN</v>
          </cell>
          <cell r="C416" t="str">
            <v>Venezuela (Bolivarian Republic of)</v>
          </cell>
          <cell r="D416">
            <v>2023</v>
          </cell>
          <cell r="E416" t="str">
            <v>FLU_ELDERLY</v>
          </cell>
          <cell r="F416" t="str">
            <v>Influenza older persons</v>
          </cell>
          <cell r="G416" t="str">
            <v>ADMIN</v>
          </cell>
          <cell r="H416" t="str">
            <v>Administrative coverage</v>
          </cell>
          <cell r="I416"/>
          <cell r="J416"/>
          <cell r="K416"/>
        </row>
        <row r="417">
          <cell r="B417" t="str">
            <v>VNM</v>
          </cell>
          <cell r="C417" t="str">
            <v>Viet Nam</v>
          </cell>
          <cell r="D417">
            <v>2023</v>
          </cell>
          <cell r="E417" t="str">
            <v>FLU_ELDERLY</v>
          </cell>
          <cell r="F417" t="str">
            <v>Influenza older persons</v>
          </cell>
          <cell r="G417" t="str">
            <v>ADMIN</v>
          </cell>
          <cell r="H417" t="str">
            <v>Administrative coverage</v>
          </cell>
          <cell r="I417"/>
          <cell r="J417"/>
          <cell r="K417"/>
        </row>
        <row r="418">
          <cell r="B418" t="str">
            <v>YEM</v>
          </cell>
          <cell r="C418" t="str">
            <v>Yemen</v>
          </cell>
          <cell r="D418">
            <v>2023</v>
          </cell>
          <cell r="E418" t="str">
            <v>FLU_ELDERLY</v>
          </cell>
          <cell r="F418" t="str">
            <v>Influenza older persons</v>
          </cell>
          <cell r="G418" t="str">
            <v>ADMIN</v>
          </cell>
          <cell r="H418" t="str">
            <v>Administrative coverage</v>
          </cell>
          <cell r="I418"/>
          <cell r="J418"/>
          <cell r="K418"/>
        </row>
        <row r="419">
          <cell r="B419" t="str">
            <v>ZMB</v>
          </cell>
          <cell r="C419" t="str">
            <v>Zambia</v>
          </cell>
          <cell r="D419">
            <v>2023</v>
          </cell>
          <cell r="E419" t="str">
            <v>FLU_ELDERLY</v>
          </cell>
          <cell r="F419" t="str">
            <v>Influenza older persons</v>
          </cell>
          <cell r="G419" t="str">
            <v>ADMIN</v>
          </cell>
          <cell r="H419" t="str">
            <v>Administrative coverage</v>
          </cell>
          <cell r="I419"/>
          <cell r="J419"/>
          <cell r="K419"/>
        </row>
        <row r="420">
          <cell r="B420" t="str">
            <v>ZWE</v>
          </cell>
          <cell r="C420" t="str">
            <v>Zimbabwe</v>
          </cell>
          <cell r="D420">
            <v>2023</v>
          </cell>
          <cell r="E420" t="str">
            <v>FLU_ELDERLY</v>
          </cell>
          <cell r="F420" t="str">
            <v>Influenza older persons</v>
          </cell>
          <cell r="G420" t="str">
            <v>ADMIN</v>
          </cell>
          <cell r="H420" t="str">
            <v>Administrative coverage</v>
          </cell>
          <cell r="I420"/>
          <cell r="J420"/>
          <cell r="K420"/>
        </row>
        <row r="421">
          <cell r="B421" t="str">
            <v>AFG</v>
          </cell>
          <cell r="C421" t="str">
            <v>Afghanistan</v>
          </cell>
          <cell r="D421">
            <v>2022</v>
          </cell>
          <cell r="E421" t="str">
            <v>FLU_ELDERLY</v>
          </cell>
          <cell r="F421" t="str">
            <v>Influenza older persons</v>
          </cell>
          <cell r="G421" t="str">
            <v>ADMIN</v>
          </cell>
          <cell r="H421" t="str">
            <v>Administrative coverage</v>
          </cell>
          <cell r="I421"/>
          <cell r="J421"/>
          <cell r="K421"/>
        </row>
        <row r="422">
          <cell r="B422" t="str">
            <v>ALB</v>
          </cell>
          <cell r="C422" t="str">
            <v>Albania</v>
          </cell>
          <cell r="D422">
            <v>2022</v>
          </cell>
          <cell r="E422" t="str">
            <v>FLU_ELDERLY</v>
          </cell>
          <cell r="F422" t="str">
            <v>Influenza older persons</v>
          </cell>
          <cell r="G422" t="str">
            <v>ADMIN</v>
          </cell>
          <cell r="H422" t="str">
            <v>Administrative coverage</v>
          </cell>
          <cell r="I422">
            <v>619000</v>
          </cell>
          <cell r="J422">
            <v>155255</v>
          </cell>
          <cell r="K422">
            <v>25.08</v>
          </cell>
        </row>
        <row r="423">
          <cell r="B423" t="str">
            <v>DZA</v>
          </cell>
          <cell r="C423" t="str">
            <v>Algeria</v>
          </cell>
          <cell r="D423">
            <v>2022</v>
          </cell>
          <cell r="E423" t="str">
            <v>FLU_ELDERLY</v>
          </cell>
          <cell r="F423" t="str">
            <v>Influenza older persons</v>
          </cell>
          <cell r="G423" t="str">
            <v>ADMIN</v>
          </cell>
          <cell r="H423" t="str">
            <v>Administrative coverage</v>
          </cell>
          <cell r="I423"/>
          <cell r="J423">
            <v>370856</v>
          </cell>
          <cell r="K423"/>
        </row>
        <row r="424">
          <cell r="B424" t="str">
            <v>AND</v>
          </cell>
          <cell r="C424" t="str">
            <v>Andorra</v>
          </cell>
          <cell r="D424">
            <v>2022</v>
          </cell>
          <cell r="E424" t="str">
            <v>FLU_ELDERLY</v>
          </cell>
          <cell r="F424" t="str">
            <v>Influenza older persons</v>
          </cell>
          <cell r="G424" t="str">
            <v>ADMIN</v>
          </cell>
          <cell r="H424" t="str">
            <v>Administrative coverage</v>
          </cell>
          <cell r="I424">
            <v>11728</v>
          </cell>
          <cell r="J424">
            <v>4881</v>
          </cell>
          <cell r="K424">
            <v>41.62</v>
          </cell>
        </row>
        <row r="425">
          <cell r="B425" t="str">
            <v>AGO</v>
          </cell>
          <cell r="C425" t="str">
            <v>Angola</v>
          </cell>
          <cell r="D425">
            <v>2022</v>
          </cell>
          <cell r="E425" t="str">
            <v>FLU_ELDERLY</v>
          </cell>
          <cell r="F425" t="str">
            <v>Influenza older persons</v>
          </cell>
          <cell r="G425" t="str">
            <v>ADMIN</v>
          </cell>
          <cell r="H425" t="str">
            <v>Administrative coverage</v>
          </cell>
          <cell r="I425"/>
          <cell r="J425"/>
          <cell r="K425"/>
        </row>
        <row r="426">
          <cell r="B426" t="str">
            <v>AIA</v>
          </cell>
          <cell r="C426" t="str">
            <v>Anguilla</v>
          </cell>
          <cell r="D426">
            <v>2022</v>
          </cell>
          <cell r="E426" t="str">
            <v>FLU_ELDERLY</v>
          </cell>
          <cell r="F426" t="str">
            <v>Influenza older persons</v>
          </cell>
          <cell r="G426" t="str">
            <v>ADMIN</v>
          </cell>
          <cell r="H426" t="str">
            <v>Administrative coverage</v>
          </cell>
          <cell r="I426">
            <v>62</v>
          </cell>
          <cell r="J426">
            <v>51</v>
          </cell>
          <cell r="K426">
            <v>82.26</v>
          </cell>
        </row>
        <row r="427">
          <cell r="B427" t="str">
            <v>ATG</v>
          </cell>
          <cell r="C427" t="str">
            <v>Antigua and Barbuda</v>
          </cell>
          <cell r="D427">
            <v>2022</v>
          </cell>
          <cell r="E427" t="str">
            <v>FLU_ELDERLY</v>
          </cell>
          <cell r="F427" t="str">
            <v>Influenza older persons</v>
          </cell>
          <cell r="G427" t="str">
            <v>ADMIN</v>
          </cell>
          <cell r="H427" t="str">
            <v>Administrative coverage</v>
          </cell>
          <cell r="I427"/>
          <cell r="J427"/>
          <cell r="K427"/>
        </row>
        <row r="428">
          <cell r="B428" t="str">
            <v>ARG</v>
          </cell>
          <cell r="C428" t="str">
            <v>Argentina</v>
          </cell>
          <cell r="D428">
            <v>2022</v>
          </cell>
          <cell r="E428" t="str">
            <v>FLU_ELDERLY</v>
          </cell>
          <cell r="F428" t="str">
            <v>Influenza older persons</v>
          </cell>
          <cell r="G428" t="str">
            <v>ADMIN</v>
          </cell>
          <cell r="H428" t="str">
            <v>Administrative coverage</v>
          </cell>
          <cell r="I428">
            <v>2673963</v>
          </cell>
          <cell r="J428">
            <v>2028218</v>
          </cell>
          <cell r="K428">
            <v>75.849999999999994</v>
          </cell>
        </row>
        <row r="429">
          <cell r="B429" t="str">
            <v>ARM</v>
          </cell>
          <cell r="C429" t="str">
            <v>Armenia</v>
          </cell>
          <cell r="D429">
            <v>2022</v>
          </cell>
          <cell r="E429" t="str">
            <v>FLU_ELDERLY</v>
          </cell>
          <cell r="F429" t="str">
            <v>Influenza older persons</v>
          </cell>
          <cell r="G429" t="str">
            <v>ADMIN</v>
          </cell>
          <cell r="H429" t="str">
            <v>Administrative coverage</v>
          </cell>
          <cell r="I429">
            <v>278796</v>
          </cell>
          <cell r="J429">
            <v>48171</v>
          </cell>
          <cell r="K429">
            <v>17.3</v>
          </cell>
        </row>
        <row r="430">
          <cell r="B430" t="str">
            <v>ABW</v>
          </cell>
          <cell r="C430" t="str">
            <v>Aruba</v>
          </cell>
          <cell r="D430">
            <v>2022</v>
          </cell>
          <cell r="E430" t="str">
            <v>FLU_ELDERLY</v>
          </cell>
          <cell r="F430" t="str">
            <v>Influenza older persons</v>
          </cell>
          <cell r="G430" t="str">
            <v>ADMIN</v>
          </cell>
          <cell r="H430" t="str">
            <v>Administrative coverage</v>
          </cell>
          <cell r="I430"/>
          <cell r="J430"/>
          <cell r="K430"/>
        </row>
        <row r="431">
          <cell r="B431" t="str">
            <v>AUS</v>
          </cell>
          <cell r="C431" t="str">
            <v>Australia</v>
          </cell>
          <cell r="D431">
            <v>2022</v>
          </cell>
          <cell r="E431" t="str">
            <v>FLU_ELDERLY</v>
          </cell>
          <cell r="F431" t="str">
            <v>Influenza older persons</v>
          </cell>
          <cell r="G431" t="str">
            <v>ADMIN</v>
          </cell>
          <cell r="H431" t="str">
            <v>Administrative coverage</v>
          </cell>
          <cell r="I431"/>
          <cell r="J431"/>
          <cell r="K431"/>
        </row>
        <row r="432">
          <cell r="B432" t="str">
            <v>AUT</v>
          </cell>
          <cell r="C432" t="str">
            <v>Austria</v>
          </cell>
          <cell r="D432">
            <v>2022</v>
          </cell>
          <cell r="E432" t="str">
            <v>FLU_ELDERLY</v>
          </cell>
          <cell r="F432" t="str">
            <v>Influenza older persons</v>
          </cell>
          <cell r="G432" t="str">
            <v>ADMIN</v>
          </cell>
          <cell r="H432" t="str">
            <v>Administrative coverage</v>
          </cell>
          <cell r="I432"/>
          <cell r="J432"/>
          <cell r="K432"/>
        </row>
        <row r="433">
          <cell r="B433" t="str">
            <v>AZE</v>
          </cell>
          <cell r="C433" t="str">
            <v>Azerbaijan</v>
          </cell>
          <cell r="D433">
            <v>2022</v>
          </cell>
          <cell r="E433" t="str">
            <v>FLU_ELDERLY</v>
          </cell>
          <cell r="F433" t="str">
            <v>Influenza older persons</v>
          </cell>
          <cell r="G433" t="str">
            <v>ADMIN</v>
          </cell>
          <cell r="H433" t="str">
            <v>Administrative coverage</v>
          </cell>
          <cell r="I433">
            <v>799873</v>
          </cell>
          <cell r="J433">
            <v>4158</v>
          </cell>
          <cell r="K433">
            <v>0.52</v>
          </cell>
        </row>
        <row r="434">
          <cell r="B434" t="str">
            <v>BHS</v>
          </cell>
          <cell r="C434" t="str">
            <v>Bahamas</v>
          </cell>
          <cell r="D434">
            <v>2022</v>
          </cell>
          <cell r="E434" t="str">
            <v>FLU_ELDERLY</v>
          </cell>
          <cell r="F434" t="str">
            <v>Influenza older persons</v>
          </cell>
          <cell r="G434" t="str">
            <v>ADMIN</v>
          </cell>
          <cell r="H434" t="str">
            <v>Administrative coverage</v>
          </cell>
          <cell r="I434"/>
          <cell r="J434"/>
          <cell r="K434"/>
        </row>
        <row r="435">
          <cell r="B435" t="str">
            <v>BHR</v>
          </cell>
          <cell r="C435" t="str">
            <v>Bahrain</v>
          </cell>
          <cell r="D435">
            <v>2022</v>
          </cell>
          <cell r="E435" t="str">
            <v>FLU_ELDERLY</v>
          </cell>
          <cell r="F435" t="str">
            <v>Influenza older persons</v>
          </cell>
          <cell r="G435" t="str">
            <v>ADMIN</v>
          </cell>
          <cell r="H435" t="str">
            <v>Administrative coverage</v>
          </cell>
          <cell r="I435"/>
          <cell r="J435">
            <v>16561</v>
          </cell>
          <cell r="K435"/>
        </row>
        <row r="436">
          <cell r="B436" t="str">
            <v>BGD</v>
          </cell>
          <cell r="C436" t="str">
            <v>Bangladesh</v>
          </cell>
          <cell r="D436">
            <v>2022</v>
          </cell>
          <cell r="E436" t="str">
            <v>FLU_ELDERLY</v>
          </cell>
          <cell r="F436" t="str">
            <v>Influenza older persons</v>
          </cell>
          <cell r="G436" t="str">
            <v>ADMIN</v>
          </cell>
          <cell r="H436" t="str">
            <v>Administrative coverage</v>
          </cell>
          <cell r="I436"/>
          <cell r="J436"/>
          <cell r="K436"/>
        </row>
        <row r="437">
          <cell r="B437" t="str">
            <v>BRB</v>
          </cell>
          <cell r="C437" t="str">
            <v>Barbados</v>
          </cell>
          <cell r="D437">
            <v>2022</v>
          </cell>
          <cell r="E437" t="str">
            <v>FLU_ELDERLY</v>
          </cell>
          <cell r="F437" t="str">
            <v>Influenza older persons</v>
          </cell>
          <cell r="G437" t="str">
            <v>ADMIN</v>
          </cell>
          <cell r="H437" t="str">
            <v>Administrative coverage</v>
          </cell>
          <cell r="I437"/>
          <cell r="J437"/>
          <cell r="K437"/>
        </row>
        <row r="438">
          <cell r="B438" t="str">
            <v>BLR</v>
          </cell>
          <cell r="C438" t="str">
            <v>Belarus</v>
          </cell>
          <cell r="D438">
            <v>2022</v>
          </cell>
          <cell r="E438" t="str">
            <v>FLU_ELDERLY</v>
          </cell>
          <cell r="F438" t="str">
            <v>Influenza older persons</v>
          </cell>
          <cell r="G438" t="str">
            <v>ADMIN</v>
          </cell>
          <cell r="H438" t="str">
            <v>Administrative coverage</v>
          </cell>
          <cell r="I438">
            <v>898296</v>
          </cell>
          <cell r="J438">
            <v>682464</v>
          </cell>
          <cell r="K438">
            <v>75.97</v>
          </cell>
        </row>
        <row r="439">
          <cell r="B439" t="str">
            <v>BEL</v>
          </cell>
          <cell r="C439" t="str">
            <v>Belgium</v>
          </cell>
          <cell r="D439">
            <v>2022</v>
          </cell>
          <cell r="E439" t="str">
            <v>FLU_ELDERLY</v>
          </cell>
          <cell r="F439" t="str">
            <v>Influenza older persons</v>
          </cell>
          <cell r="G439" t="str">
            <v>ADMIN</v>
          </cell>
          <cell r="H439" t="str">
            <v>Administrative coverage</v>
          </cell>
          <cell r="I439"/>
          <cell r="J439"/>
          <cell r="K439">
            <v>57.3</v>
          </cell>
        </row>
        <row r="440">
          <cell r="B440" t="str">
            <v>BLZ</v>
          </cell>
          <cell r="C440" t="str">
            <v>Belize</v>
          </cell>
          <cell r="D440">
            <v>2022</v>
          </cell>
          <cell r="E440" t="str">
            <v>FLU_ELDERLY</v>
          </cell>
          <cell r="F440" t="str">
            <v>Influenza older persons</v>
          </cell>
          <cell r="G440" t="str">
            <v>ADMIN</v>
          </cell>
          <cell r="H440" t="str">
            <v>Administrative coverage</v>
          </cell>
          <cell r="I440">
            <v>25000</v>
          </cell>
          <cell r="J440">
            <v>201</v>
          </cell>
          <cell r="K440">
            <v>0.8</v>
          </cell>
        </row>
        <row r="441">
          <cell r="B441" t="str">
            <v>BEN</v>
          </cell>
          <cell r="C441" t="str">
            <v>Benin</v>
          </cell>
          <cell r="D441">
            <v>2022</v>
          </cell>
          <cell r="E441" t="str">
            <v>FLU_ELDERLY</v>
          </cell>
          <cell r="F441" t="str">
            <v>Influenza older persons</v>
          </cell>
          <cell r="G441" t="str">
            <v>ADMIN</v>
          </cell>
          <cell r="H441" t="str">
            <v>Administrative coverage</v>
          </cell>
          <cell r="I441"/>
          <cell r="J441"/>
          <cell r="K441"/>
        </row>
        <row r="442">
          <cell r="B442" t="str">
            <v>BMU</v>
          </cell>
          <cell r="C442" t="str">
            <v>Bermuda</v>
          </cell>
          <cell r="D442">
            <v>2022</v>
          </cell>
          <cell r="E442" t="str">
            <v>FLU_ELDERLY</v>
          </cell>
          <cell r="F442" t="str">
            <v>Influenza older persons</v>
          </cell>
          <cell r="G442" t="str">
            <v>ADMIN</v>
          </cell>
          <cell r="H442" t="str">
            <v>Administrative coverage</v>
          </cell>
          <cell r="I442">
            <v>13608</v>
          </cell>
          <cell r="J442"/>
          <cell r="K442"/>
        </row>
        <row r="443">
          <cell r="B443" t="str">
            <v>BTN</v>
          </cell>
          <cell r="C443" t="str">
            <v>Bhutan</v>
          </cell>
          <cell r="D443">
            <v>2022</v>
          </cell>
          <cell r="E443" t="str">
            <v>FLU_ELDERLY</v>
          </cell>
          <cell r="F443" t="str">
            <v>Influenza older persons</v>
          </cell>
          <cell r="G443" t="str">
            <v>ADMIN</v>
          </cell>
          <cell r="H443" t="str">
            <v>Administrative coverage</v>
          </cell>
          <cell r="I443">
            <v>57223</v>
          </cell>
          <cell r="J443">
            <v>40545</v>
          </cell>
          <cell r="K443">
            <v>70.849999999999994</v>
          </cell>
        </row>
        <row r="444">
          <cell r="B444" t="str">
            <v>BOL</v>
          </cell>
          <cell r="C444" t="str">
            <v>Bolivia (Plurinational State of)</v>
          </cell>
          <cell r="D444">
            <v>2022</v>
          </cell>
          <cell r="E444" t="str">
            <v>FLU_ELDERLY</v>
          </cell>
          <cell r="F444" t="str">
            <v>Influenza older persons</v>
          </cell>
          <cell r="G444" t="str">
            <v>ADMIN</v>
          </cell>
          <cell r="H444" t="str">
            <v>Administrative coverage</v>
          </cell>
          <cell r="I444">
            <v>760314</v>
          </cell>
          <cell r="J444">
            <v>385161</v>
          </cell>
          <cell r="K444">
            <v>50.66</v>
          </cell>
        </row>
        <row r="445">
          <cell r="B445" t="str">
            <v>BIH</v>
          </cell>
          <cell r="C445" t="str">
            <v>Bosnia and Herzegovina</v>
          </cell>
          <cell r="D445">
            <v>2022</v>
          </cell>
          <cell r="E445" t="str">
            <v>FLU_ELDERLY</v>
          </cell>
          <cell r="F445" t="str">
            <v>Influenza older persons</v>
          </cell>
          <cell r="G445" t="str">
            <v>ADMIN</v>
          </cell>
          <cell r="H445" t="str">
            <v>Administrative coverage</v>
          </cell>
          <cell r="I445">
            <v>360000</v>
          </cell>
          <cell r="J445">
            <v>17458</v>
          </cell>
          <cell r="K445">
            <v>4.8</v>
          </cell>
        </row>
        <row r="446">
          <cell r="B446" t="str">
            <v>BWA</v>
          </cell>
          <cell r="C446" t="str">
            <v>Botswana</v>
          </cell>
          <cell r="D446">
            <v>2022</v>
          </cell>
          <cell r="E446" t="str">
            <v>FLU_ELDERLY</v>
          </cell>
          <cell r="F446" t="str">
            <v>Influenza older persons</v>
          </cell>
          <cell r="G446" t="str">
            <v>ADMIN</v>
          </cell>
          <cell r="H446" t="str">
            <v>Administrative coverage</v>
          </cell>
          <cell r="I446"/>
          <cell r="J446"/>
          <cell r="K446"/>
        </row>
        <row r="447">
          <cell r="B447" t="str">
            <v>BRA</v>
          </cell>
          <cell r="C447" t="str">
            <v>Brazil</v>
          </cell>
          <cell r="D447">
            <v>2022</v>
          </cell>
          <cell r="E447" t="str">
            <v>FLU_ELDERLY</v>
          </cell>
          <cell r="F447" t="str">
            <v>Influenza older persons</v>
          </cell>
          <cell r="G447" t="str">
            <v>ADMIN</v>
          </cell>
          <cell r="H447" t="str">
            <v>Administrative coverage</v>
          </cell>
          <cell r="I447">
            <v>30197052</v>
          </cell>
          <cell r="J447">
            <v>21209677</v>
          </cell>
          <cell r="K447">
            <v>70.239999999999995</v>
          </cell>
        </row>
        <row r="448">
          <cell r="B448" t="str">
            <v>VGB</v>
          </cell>
          <cell r="C448" t="str">
            <v>British Virgin Islands</v>
          </cell>
          <cell r="D448">
            <v>2022</v>
          </cell>
          <cell r="E448" t="str">
            <v>FLU_ELDERLY</v>
          </cell>
          <cell r="F448" t="str">
            <v>Influenza older persons</v>
          </cell>
          <cell r="G448" t="str">
            <v>ADMIN</v>
          </cell>
          <cell r="H448" t="str">
            <v>Administrative coverage</v>
          </cell>
          <cell r="I448"/>
          <cell r="J448">
            <v>25</v>
          </cell>
          <cell r="K448"/>
        </row>
        <row r="449">
          <cell r="B449" t="str">
            <v>BRN</v>
          </cell>
          <cell r="C449" t="str">
            <v>Brunei Darussalam</v>
          </cell>
          <cell r="D449">
            <v>2022</v>
          </cell>
          <cell r="E449" t="str">
            <v>FLU_ELDERLY</v>
          </cell>
          <cell r="F449" t="str">
            <v>Influenza older persons</v>
          </cell>
          <cell r="G449" t="str">
            <v>ADMIN</v>
          </cell>
          <cell r="H449" t="str">
            <v>Administrative coverage</v>
          </cell>
          <cell r="I449"/>
          <cell r="J449"/>
          <cell r="K449"/>
        </row>
        <row r="450">
          <cell r="B450" t="str">
            <v>BGR</v>
          </cell>
          <cell r="C450" t="str">
            <v>Bulgaria</v>
          </cell>
          <cell r="D450">
            <v>2022</v>
          </cell>
          <cell r="E450" t="str">
            <v>FLU_ELDERLY</v>
          </cell>
          <cell r="F450" t="str">
            <v>Influenza older persons</v>
          </cell>
          <cell r="G450" t="str">
            <v>ADMIN</v>
          </cell>
          <cell r="H450" t="str">
            <v>Administrative coverage</v>
          </cell>
          <cell r="I450"/>
          <cell r="J450"/>
          <cell r="K450"/>
        </row>
        <row r="451">
          <cell r="B451" t="str">
            <v>BFA</v>
          </cell>
          <cell r="C451" t="str">
            <v>Burkina Faso</v>
          </cell>
          <cell r="D451">
            <v>2022</v>
          </cell>
          <cell r="E451" t="str">
            <v>FLU_ELDERLY</v>
          </cell>
          <cell r="F451" t="str">
            <v>Influenza older persons</v>
          </cell>
          <cell r="G451" t="str">
            <v>ADMIN</v>
          </cell>
          <cell r="H451" t="str">
            <v>Administrative coverage</v>
          </cell>
          <cell r="I451"/>
          <cell r="J451"/>
          <cell r="K451"/>
        </row>
        <row r="452">
          <cell r="B452" t="str">
            <v>BDI</v>
          </cell>
          <cell r="C452" t="str">
            <v>Burundi</v>
          </cell>
          <cell r="D452">
            <v>2022</v>
          </cell>
          <cell r="E452" t="str">
            <v>FLU_ELDERLY</v>
          </cell>
          <cell r="F452" t="str">
            <v>Influenza older persons</v>
          </cell>
          <cell r="G452" t="str">
            <v>ADMIN</v>
          </cell>
          <cell r="H452" t="str">
            <v>Administrative coverage</v>
          </cell>
          <cell r="I452"/>
          <cell r="J452"/>
          <cell r="K452"/>
        </row>
        <row r="453">
          <cell r="B453" t="str">
            <v>CPV</v>
          </cell>
          <cell r="C453" t="str">
            <v>Cabo Verde</v>
          </cell>
          <cell r="D453">
            <v>2022</v>
          </cell>
          <cell r="E453" t="str">
            <v>FLU_ELDERLY</v>
          </cell>
          <cell r="F453" t="str">
            <v>Influenza older persons</v>
          </cell>
          <cell r="G453" t="str">
            <v>ADMIN</v>
          </cell>
          <cell r="H453" t="str">
            <v>Administrative coverage</v>
          </cell>
          <cell r="I453"/>
          <cell r="J453"/>
          <cell r="K453"/>
        </row>
        <row r="454">
          <cell r="B454" t="str">
            <v>KHM</v>
          </cell>
          <cell r="C454" t="str">
            <v>Cambodia</v>
          </cell>
          <cell r="D454">
            <v>2022</v>
          </cell>
          <cell r="E454" t="str">
            <v>FLU_ELDERLY</v>
          </cell>
          <cell r="F454" t="str">
            <v>Influenza older persons</v>
          </cell>
          <cell r="G454" t="str">
            <v>ADMIN</v>
          </cell>
          <cell r="H454" t="str">
            <v>Administrative coverage</v>
          </cell>
          <cell r="I454"/>
          <cell r="J454"/>
          <cell r="K454"/>
        </row>
        <row r="455">
          <cell r="B455" t="str">
            <v>CMR</v>
          </cell>
          <cell r="C455" t="str">
            <v>Cameroon</v>
          </cell>
          <cell r="D455">
            <v>2022</v>
          </cell>
          <cell r="E455" t="str">
            <v>FLU_ELDERLY</v>
          </cell>
          <cell r="F455" t="str">
            <v>Influenza older persons</v>
          </cell>
          <cell r="G455" t="str">
            <v>ADMIN</v>
          </cell>
          <cell r="H455" t="str">
            <v>Administrative coverage</v>
          </cell>
          <cell r="I455"/>
          <cell r="J455"/>
          <cell r="K455"/>
        </row>
        <row r="456">
          <cell r="B456" t="str">
            <v>CAN</v>
          </cell>
          <cell r="C456" t="str">
            <v>Canada</v>
          </cell>
          <cell r="D456">
            <v>2022</v>
          </cell>
          <cell r="E456" t="str">
            <v>FLU_ELDERLY</v>
          </cell>
          <cell r="F456" t="str">
            <v>Influenza older persons</v>
          </cell>
          <cell r="G456" t="str">
            <v>ADMIN</v>
          </cell>
          <cell r="H456" t="str">
            <v>Administrative coverage</v>
          </cell>
          <cell r="I456"/>
          <cell r="J456"/>
          <cell r="K456">
            <v>71</v>
          </cell>
        </row>
        <row r="457">
          <cell r="B457" t="str">
            <v>CYM</v>
          </cell>
          <cell r="C457" t="str">
            <v>Cayman Islands</v>
          </cell>
          <cell r="D457">
            <v>2022</v>
          </cell>
          <cell r="E457" t="str">
            <v>FLU_ELDERLY</v>
          </cell>
          <cell r="F457" t="str">
            <v>Influenza older persons</v>
          </cell>
          <cell r="G457" t="str">
            <v>ADMIN</v>
          </cell>
          <cell r="H457" t="str">
            <v>Administrative coverage</v>
          </cell>
          <cell r="I457"/>
          <cell r="J457"/>
          <cell r="K457"/>
        </row>
        <row r="458">
          <cell r="B458" t="str">
            <v>CAF</v>
          </cell>
          <cell r="C458" t="str">
            <v>Central African Republic</v>
          </cell>
          <cell r="D458">
            <v>2022</v>
          </cell>
          <cell r="E458" t="str">
            <v>FLU_ELDERLY</v>
          </cell>
          <cell r="F458" t="str">
            <v>Influenza older persons</v>
          </cell>
          <cell r="G458" t="str">
            <v>ADMIN</v>
          </cell>
          <cell r="H458" t="str">
            <v>Administrative coverage</v>
          </cell>
          <cell r="I458"/>
          <cell r="J458"/>
          <cell r="K458"/>
        </row>
        <row r="459">
          <cell r="B459" t="str">
            <v>TCD</v>
          </cell>
          <cell r="C459" t="str">
            <v>Chad</v>
          </cell>
          <cell r="D459">
            <v>2022</v>
          </cell>
          <cell r="E459" t="str">
            <v>FLU_ELDERLY</v>
          </cell>
          <cell r="F459" t="str">
            <v>Influenza older persons</v>
          </cell>
          <cell r="G459" t="str">
            <v>ADMIN</v>
          </cell>
          <cell r="H459" t="str">
            <v>Administrative coverage</v>
          </cell>
          <cell r="I459"/>
          <cell r="J459"/>
          <cell r="K459"/>
        </row>
        <row r="460">
          <cell r="B460" t="str">
            <v>CHL</v>
          </cell>
          <cell r="C460" t="str">
            <v>Chile</v>
          </cell>
          <cell r="D460">
            <v>2022</v>
          </cell>
          <cell r="E460" t="str">
            <v>FLU_ELDERLY</v>
          </cell>
          <cell r="F460" t="str">
            <v>Influenza older persons</v>
          </cell>
          <cell r="G460" t="str">
            <v>ADMIN</v>
          </cell>
          <cell r="H460" t="str">
            <v>Administrative coverage</v>
          </cell>
          <cell r="I460">
            <v>2560621</v>
          </cell>
          <cell r="J460">
            <v>1799071</v>
          </cell>
          <cell r="K460">
            <v>70.260000000000005</v>
          </cell>
        </row>
        <row r="461">
          <cell r="B461" t="str">
            <v>CHN</v>
          </cell>
          <cell r="C461" t="str">
            <v>China</v>
          </cell>
          <cell r="D461">
            <v>2022</v>
          </cell>
          <cell r="E461" t="str">
            <v>FLU_ELDERLY</v>
          </cell>
          <cell r="F461" t="str">
            <v>Influenza older persons</v>
          </cell>
          <cell r="G461" t="str">
            <v>ADMIN</v>
          </cell>
          <cell r="H461" t="str">
            <v>Administrative coverage</v>
          </cell>
          <cell r="I461"/>
          <cell r="J461"/>
          <cell r="K461"/>
        </row>
        <row r="462">
          <cell r="B462" t="str">
            <v>HKG</v>
          </cell>
          <cell r="C462" t="str">
            <v>China, Hong Kong SAR</v>
          </cell>
          <cell r="D462">
            <v>2022</v>
          </cell>
          <cell r="E462" t="str">
            <v>FLU_ELDERLY</v>
          </cell>
          <cell r="F462" t="str">
            <v>Influenza older persons</v>
          </cell>
          <cell r="G462" t="str">
            <v>ADMIN</v>
          </cell>
          <cell r="H462" t="str">
            <v>Administrative coverage</v>
          </cell>
          <cell r="I462">
            <v>3147700</v>
          </cell>
          <cell r="J462">
            <v>736400</v>
          </cell>
          <cell r="K462">
            <v>23.39</v>
          </cell>
        </row>
        <row r="463">
          <cell r="B463" t="str">
            <v>MAC</v>
          </cell>
          <cell r="C463" t="str">
            <v>China, Macao SAR</v>
          </cell>
          <cell r="D463">
            <v>2022</v>
          </cell>
          <cell r="E463" t="str">
            <v>FLU_ELDERLY</v>
          </cell>
          <cell r="F463" t="str">
            <v>Influenza older persons</v>
          </cell>
          <cell r="G463" t="str">
            <v>ADMIN</v>
          </cell>
          <cell r="H463" t="str">
            <v>Administrative coverage</v>
          </cell>
          <cell r="I463">
            <v>83200</v>
          </cell>
          <cell r="J463">
            <v>33617</v>
          </cell>
          <cell r="K463">
            <v>40.409999999999997</v>
          </cell>
        </row>
        <row r="464">
          <cell r="B464" t="str">
            <v>COL</v>
          </cell>
          <cell r="C464" t="str">
            <v>Colombia</v>
          </cell>
          <cell r="D464">
            <v>2022</v>
          </cell>
          <cell r="E464" t="str">
            <v>FLU_ELDERLY</v>
          </cell>
          <cell r="F464" t="str">
            <v>Influenza older persons</v>
          </cell>
          <cell r="G464" t="str">
            <v>ADMIN</v>
          </cell>
          <cell r="H464" t="str">
            <v>Administrative coverage</v>
          </cell>
          <cell r="I464">
            <v>2132374</v>
          </cell>
          <cell r="J464">
            <v>1511015</v>
          </cell>
          <cell r="K464">
            <v>70.86</v>
          </cell>
        </row>
        <row r="465">
          <cell r="B465" t="str">
            <v>COM</v>
          </cell>
          <cell r="C465" t="str">
            <v>Comoros</v>
          </cell>
          <cell r="D465">
            <v>2022</v>
          </cell>
          <cell r="E465" t="str">
            <v>FLU_ELDERLY</v>
          </cell>
          <cell r="F465" t="str">
            <v>Influenza older persons</v>
          </cell>
          <cell r="G465" t="str">
            <v>ADMIN</v>
          </cell>
          <cell r="H465" t="str">
            <v>Administrative coverage</v>
          </cell>
          <cell r="I465"/>
          <cell r="J465"/>
          <cell r="K465"/>
        </row>
        <row r="466">
          <cell r="B466" t="str">
            <v>COG</v>
          </cell>
          <cell r="C466" t="str">
            <v>Congo</v>
          </cell>
          <cell r="D466">
            <v>2022</v>
          </cell>
          <cell r="E466" t="str">
            <v>FLU_ELDERLY</v>
          </cell>
          <cell r="F466" t="str">
            <v>Influenza older persons</v>
          </cell>
          <cell r="G466" t="str">
            <v>ADMIN</v>
          </cell>
          <cell r="H466" t="str">
            <v>Administrative coverage</v>
          </cell>
          <cell r="I466"/>
          <cell r="J466"/>
          <cell r="K466"/>
        </row>
        <row r="467">
          <cell r="B467" t="str">
            <v>COK</v>
          </cell>
          <cell r="C467" t="str">
            <v>Cook Islands</v>
          </cell>
          <cell r="D467">
            <v>2022</v>
          </cell>
          <cell r="E467" t="str">
            <v>FLU_ELDERLY</v>
          </cell>
          <cell r="F467" t="str">
            <v>Influenza older persons</v>
          </cell>
          <cell r="G467" t="str">
            <v>ADMIN</v>
          </cell>
          <cell r="H467" t="str">
            <v>Administrative coverage</v>
          </cell>
          <cell r="I467"/>
          <cell r="J467"/>
          <cell r="K467"/>
        </row>
        <row r="468">
          <cell r="B468" t="str">
            <v>CRI</v>
          </cell>
          <cell r="C468" t="str">
            <v>Costa Rica</v>
          </cell>
          <cell r="D468">
            <v>2022</v>
          </cell>
          <cell r="E468" t="str">
            <v>FLU_ELDERLY</v>
          </cell>
          <cell r="F468" t="str">
            <v>Influenza older persons</v>
          </cell>
          <cell r="G468" t="str">
            <v>ADMIN</v>
          </cell>
          <cell r="H468" t="str">
            <v>Administrative coverage</v>
          </cell>
          <cell r="I468">
            <v>853883</v>
          </cell>
          <cell r="J468"/>
          <cell r="K468"/>
        </row>
        <row r="469">
          <cell r="B469" t="str">
            <v>CIV</v>
          </cell>
          <cell r="C469" t="str">
            <v>Côte d'Ivoire</v>
          </cell>
          <cell r="D469">
            <v>2022</v>
          </cell>
          <cell r="E469" t="str">
            <v>FLU_ELDERLY</v>
          </cell>
          <cell r="F469" t="str">
            <v>Influenza older persons</v>
          </cell>
          <cell r="G469" t="str">
            <v>ADMIN</v>
          </cell>
          <cell r="H469" t="str">
            <v>Administrative coverage</v>
          </cell>
          <cell r="I469"/>
          <cell r="J469">
            <v>4041</v>
          </cell>
          <cell r="K469"/>
        </row>
        <row r="470">
          <cell r="B470" t="str">
            <v>HRV</v>
          </cell>
          <cell r="C470" t="str">
            <v>Croatia</v>
          </cell>
          <cell r="D470">
            <v>2022</v>
          </cell>
          <cell r="E470" t="str">
            <v>FLU_ELDERLY</v>
          </cell>
          <cell r="F470" t="str">
            <v>Influenza older persons</v>
          </cell>
          <cell r="G470" t="str">
            <v>ADMIN</v>
          </cell>
          <cell r="H470" t="str">
            <v>Administrative coverage</v>
          </cell>
          <cell r="I470">
            <v>758633</v>
          </cell>
          <cell r="J470">
            <v>233231</v>
          </cell>
          <cell r="K470">
            <v>30.74</v>
          </cell>
        </row>
        <row r="471">
          <cell r="B471" t="str">
            <v>CUB</v>
          </cell>
          <cell r="C471" t="str">
            <v>Cuba</v>
          </cell>
          <cell r="D471">
            <v>2022</v>
          </cell>
          <cell r="E471" t="str">
            <v>FLU_ELDERLY</v>
          </cell>
          <cell r="F471" t="str">
            <v>Influenza older persons</v>
          </cell>
          <cell r="G471" t="str">
            <v>ADMIN</v>
          </cell>
          <cell r="H471" t="str">
            <v>Administrative coverage</v>
          </cell>
          <cell r="I471">
            <v>181682</v>
          </cell>
          <cell r="J471">
            <v>177499</v>
          </cell>
          <cell r="K471">
            <v>97.6</v>
          </cell>
        </row>
        <row r="472">
          <cell r="B472" t="str">
            <v>CYP</v>
          </cell>
          <cell r="C472" t="str">
            <v>Cyprus</v>
          </cell>
          <cell r="D472">
            <v>2022</v>
          </cell>
          <cell r="E472" t="str">
            <v>FLU_ELDERLY</v>
          </cell>
          <cell r="F472" t="str">
            <v>Influenza older persons</v>
          </cell>
          <cell r="G472" t="str">
            <v>ADMIN</v>
          </cell>
          <cell r="H472" t="str">
            <v>Administrative coverage</v>
          </cell>
          <cell r="I472"/>
          <cell r="J472"/>
          <cell r="K472"/>
        </row>
        <row r="473">
          <cell r="B473" t="str">
            <v>CZE</v>
          </cell>
          <cell r="C473" t="str">
            <v>Czechia</v>
          </cell>
          <cell r="D473">
            <v>2022</v>
          </cell>
          <cell r="E473" t="str">
            <v>FLU_ELDERLY</v>
          </cell>
          <cell r="F473" t="str">
            <v>Influenza older persons</v>
          </cell>
          <cell r="G473" t="str">
            <v>ADMIN</v>
          </cell>
          <cell r="H473" t="str">
            <v>Administrative coverage</v>
          </cell>
          <cell r="I473">
            <v>2169109</v>
          </cell>
          <cell r="J473"/>
          <cell r="K473">
            <v>20.8</v>
          </cell>
        </row>
        <row r="474">
          <cell r="B474" t="str">
            <v>PRK</v>
          </cell>
          <cell r="C474" t="str">
            <v>Democratic People's Republic of Korea</v>
          </cell>
          <cell r="D474">
            <v>2022</v>
          </cell>
          <cell r="E474" t="str">
            <v>FLU_ELDERLY</v>
          </cell>
          <cell r="F474" t="str">
            <v>Influenza older persons</v>
          </cell>
          <cell r="G474" t="str">
            <v>ADMIN</v>
          </cell>
          <cell r="H474" t="str">
            <v>Administrative coverage</v>
          </cell>
          <cell r="I474">
            <v>4035000</v>
          </cell>
          <cell r="J474">
            <v>3889740</v>
          </cell>
          <cell r="K474">
            <v>96.4</v>
          </cell>
        </row>
        <row r="475">
          <cell r="B475" t="str">
            <v>COD</v>
          </cell>
          <cell r="C475" t="str">
            <v>Democratic Republic of the Congo</v>
          </cell>
          <cell r="D475">
            <v>2022</v>
          </cell>
          <cell r="E475" t="str">
            <v>FLU_ELDERLY</v>
          </cell>
          <cell r="F475" t="str">
            <v>Influenza older persons</v>
          </cell>
          <cell r="G475" t="str">
            <v>ADMIN</v>
          </cell>
          <cell r="H475" t="str">
            <v>Administrative coverage</v>
          </cell>
          <cell r="I475"/>
          <cell r="J475"/>
          <cell r="K475"/>
        </row>
        <row r="476">
          <cell r="B476" t="str">
            <v>DNK</v>
          </cell>
          <cell r="C476" t="str">
            <v>Denmark</v>
          </cell>
          <cell r="D476">
            <v>2022</v>
          </cell>
          <cell r="E476" t="str">
            <v>FLU_ELDERLY</v>
          </cell>
          <cell r="F476" t="str">
            <v>Influenza older persons</v>
          </cell>
          <cell r="G476" t="str">
            <v>ADMIN</v>
          </cell>
          <cell r="H476" t="str">
            <v>Administrative coverage</v>
          </cell>
          <cell r="I476">
            <v>1190524</v>
          </cell>
          <cell r="J476">
            <v>924868</v>
          </cell>
          <cell r="K476">
            <v>77.69</v>
          </cell>
        </row>
        <row r="477">
          <cell r="B477" t="str">
            <v>DJI</v>
          </cell>
          <cell r="C477" t="str">
            <v>Djibouti</v>
          </cell>
          <cell r="D477">
            <v>2022</v>
          </cell>
          <cell r="E477" t="str">
            <v>FLU_ELDERLY</v>
          </cell>
          <cell r="F477" t="str">
            <v>Influenza older persons</v>
          </cell>
          <cell r="G477" t="str">
            <v>ADMIN</v>
          </cell>
          <cell r="H477" t="str">
            <v>Administrative coverage</v>
          </cell>
          <cell r="I477"/>
          <cell r="J477"/>
          <cell r="K477"/>
        </row>
        <row r="478">
          <cell r="B478" t="str">
            <v>DMA</v>
          </cell>
          <cell r="C478" t="str">
            <v>Dominica</v>
          </cell>
          <cell r="D478">
            <v>2022</v>
          </cell>
          <cell r="E478" t="str">
            <v>FLU_ELDERLY</v>
          </cell>
          <cell r="F478" t="str">
            <v>Influenza older persons</v>
          </cell>
          <cell r="G478" t="str">
            <v>ADMIN</v>
          </cell>
          <cell r="H478" t="str">
            <v>Administrative coverage</v>
          </cell>
          <cell r="I478"/>
          <cell r="J478"/>
          <cell r="K478"/>
        </row>
        <row r="479">
          <cell r="B479" t="str">
            <v>DOM</v>
          </cell>
          <cell r="C479" t="str">
            <v>Dominican Republic</v>
          </cell>
          <cell r="D479">
            <v>2022</v>
          </cell>
          <cell r="E479" t="str">
            <v>FLU_ELDERLY</v>
          </cell>
          <cell r="F479" t="str">
            <v>Influenza older persons</v>
          </cell>
          <cell r="G479" t="str">
            <v>ADMIN</v>
          </cell>
          <cell r="H479" t="str">
            <v>Administrative coverage</v>
          </cell>
          <cell r="I479">
            <v>40000</v>
          </cell>
          <cell r="J479">
            <v>65529</v>
          </cell>
          <cell r="K479"/>
        </row>
        <row r="480">
          <cell r="B480" t="str">
            <v>ECU</v>
          </cell>
          <cell r="C480" t="str">
            <v>Ecuador</v>
          </cell>
          <cell r="D480">
            <v>2022</v>
          </cell>
          <cell r="E480" t="str">
            <v>FLU_ELDERLY</v>
          </cell>
          <cell r="F480" t="str">
            <v>Influenza older persons</v>
          </cell>
          <cell r="G480" t="str">
            <v>ADMIN</v>
          </cell>
          <cell r="H480" t="str">
            <v>Administrative coverage</v>
          </cell>
          <cell r="I480">
            <v>1268975</v>
          </cell>
          <cell r="J480">
            <v>994969</v>
          </cell>
          <cell r="K480">
            <v>78.41</v>
          </cell>
        </row>
        <row r="481">
          <cell r="B481" t="str">
            <v>EGY</v>
          </cell>
          <cell r="C481" t="str">
            <v>Egypt</v>
          </cell>
          <cell r="D481">
            <v>2022</v>
          </cell>
          <cell r="E481" t="str">
            <v>FLU_ELDERLY</v>
          </cell>
          <cell r="F481" t="str">
            <v>Influenza older persons</v>
          </cell>
          <cell r="G481" t="str">
            <v>ADMIN</v>
          </cell>
          <cell r="H481" t="str">
            <v>Administrative coverage</v>
          </cell>
          <cell r="I481"/>
          <cell r="J481"/>
          <cell r="K481"/>
        </row>
        <row r="482">
          <cell r="B482" t="str">
            <v>SLV</v>
          </cell>
          <cell r="C482" t="str">
            <v>El Salvador</v>
          </cell>
          <cell r="D482">
            <v>2022</v>
          </cell>
          <cell r="E482" t="str">
            <v>FLU_ELDERLY</v>
          </cell>
          <cell r="F482" t="str">
            <v>Influenza older persons</v>
          </cell>
          <cell r="G482" t="str">
            <v>ADMIN</v>
          </cell>
          <cell r="H482" t="str">
            <v>Administrative coverage</v>
          </cell>
          <cell r="I482">
            <v>800011</v>
          </cell>
          <cell r="J482">
            <v>456336</v>
          </cell>
          <cell r="K482">
            <v>57.04</v>
          </cell>
        </row>
        <row r="483">
          <cell r="B483" t="str">
            <v>GNQ</v>
          </cell>
          <cell r="C483" t="str">
            <v>Equatorial Guinea</v>
          </cell>
          <cell r="D483">
            <v>2022</v>
          </cell>
          <cell r="E483" t="str">
            <v>FLU_ELDERLY</v>
          </cell>
          <cell r="F483" t="str">
            <v>Influenza older persons</v>
          </cell>
          <cell r="G483" t="str">
            <v>ADMIN</v>
          </cell>
          <cell r="H483" t="str">
            <v>Administrative coverage</v>
          </cell>
          <cell r="I483"/>
          <cell r="J483"/>
          <cell r="K483"/>
        </row>
        <row r="484">
          <cell r="B484" t="str">
            <v>ERI</v>
          </cell>
          <cell r="C484" t="str">
            <v>Eritrea</v>
          </cell>
          <cell r="D484">
            <v>2022</v>
          </cell>
          <cell r="E484" t="str">
            <v>FLU_ELDERLY</v>
          </cell>
          <cell r="F484" t="str">
            <v>Influenza older persons</v>
          </cell>
          <cell r="G484" t="str">
            <v>ADMIN</v>
          </cell>
          <cell r="H484" t="str">
            <v>Administrative coverage</v>
          </cell>
          <cell r="I484"/>
          <cell r="J484"/>
          <cell r="K484"/>
        </row>
        <row r="485">
          <cell r="B485" t="str">
            <v>EST</v>
          </cell>
          <cell r="C485" t="str">
            <v>Estonia</v>
          </cell>
          <cell r="D485">
            <v>2022</v>
          </cell>
          <cell r="E485" t="str">
            <v>FLU_ELDERLY</v>
          </cell>
          <cell r="F485" t="str">
            <v>Influenza older persons</v>
          </cell>
          <cell r="G485" t="str">
            <v>ADMIN</v>
          </cell>
          <cell r="H485" t="str">
            <v>Administrative coverage</v>
          </cell>
          <cell r="I485">
            <v>272166</v>
          </cell>
          <cell r="J485">
            <v>82302</v>
          </cell>
          <cell r="K485">
            <v>30.24</v>
          </cell>
        </row>
        <row r="486">
          <cell r="B486" t="str">
            <v>SWZ</v>
          </cell>
          <cell r="C486" t="str">
            <v>Eswatini</v>
          </cell>
          <cell r="D486">
            <v>2022</v>
          </cell>
          <cell r="E486" t="str">
            <v>FLU_ELDERLY</v>
          </cell>
          <cell r="F486" t="str">
            <v>Influenza older persons</v>
          </cell>
          <cell r="G486" t="str">
            <v>ADMIN</v>
          </cell>
          <cell r="H486" t="str">
            <v>Administrative coverage</v>
          </cell>
          <cell r="I486"/>
          <cell r="J486"/>
          <cell r="K486"/>
        </row>
        <row r="487">
          <cell r="B487" t="str">
            <v>ETH</v>
          </cell>
          <cell r="C487" t="str">
            <v>Ethiopia</v>
          </cell>
          <cell r="D487">
            <v>2022</v>
          </cell>
          <cell r="E487" t="str">
            <v>FLU_ELDERLY</v>
          </cell>
          <cell r="F487" t="str">
            <v>Influenza older persons</v>
          </cell>
          <cell r="G487" t="str">
            <v>ADMIN</v>
          </cell>
          <cell r="H487" t="str">
            <v>Administrative coverage</v>
          </cell>
          <cell r="I487"/>
          <cell r="J487"/>
          <cell r="K487"/>
        </row>
        <row r="488">
          <cell r="B488" t="str">
            <v>FJI</v>
          </cell>
          <cell r="C488" t="str">
            <v>Fiji</v>
          </cell>
          <cell r="D488">
            <v>2022</v>
          </cell>
          <cell r="E488" t="str">
            <v>FLU_ELDERLY</v>
          </cell>
          <cell r="F488" t="str">
            <v>Influenza older persons</v>
          </cell>
          <cell r="G488" t="str">
            <v>ADMIN</v>
          </cell>
          <cell r="H488" t="str">
            <v>Administrative coverage</v>
          </cell>
          <cell r="I488"/>
          <cell r="J488"/>
          <cell r="K488"/>
        </row>
        <row r="489">
          <cell r="B489" t="str">
            <v>FIN</v>
          </cell>
          <cell r="C489" t="str">
            <v>Finland</v>
          </cell>
          <cell r="D489">
            <v>2022</v>
          </cell>
          <cell r="E489" t="str">
            <v>FLU_ELDERLY</v>
          </cell>
          <cell r="F489" t="str">
            <v>Influenza older persons</v>
          </cell>
          <cell r="G489" t="str">
            <v>ADMIN</v>
          </cell>
          <cell r="H489" t="str">
            <v>Administrative coverage</v>
          </cell>
          <cell r="I489"/>
          <cell r="J489"/>
          <cell r="K489">
            <v>63</v>
          </cell>
        </row>
        <row r="490">
          <cell r="B490" t="str">
            <v>FRA</v>
          </cell>
          <cell r="C490" t="str">
            <v>France</v>
          </cell>
          <cell r="D490">
            <v>2022</v>
          </cell>
          <cell r="E490" t="str">
            <v>FLU_ELDERLY</v>
          </cell>
          <cell r="F490" t="str">
            <v>Influenza older persons</v>
          </cell>
          <cell r="G490" t="str">
            <v>ADMIN</v>
          </cell>
          <cell r="H490" t="str">
            <v>Administrative coverage</v>
          </cell>
          <cell r="I490"/>
          <cell r="J490"/>
          <cell r="K490">
            <v>56.8</v>
          </cell>
        </row>
        <row r="491">
          <cell r="B491" t="str">
            <v>PYF</v>
          </cell>
          <cell r="C491" t="str">
            <v>French Polynesia</v>
          </cell>
          <cell r="D491">
            <v>2022</v>
          </cell>
          <cell r="E491" t="str">
            <v>FLU_ELDERLY</v>
          </cell>
          <cell r="F491" t="str">
            <v>Influenza older persons</v>
          </cell>
          <cell r="G491" t="str">
            <v>ADMIN</v>
          </cell>
          <cell r="H491" t="str">
            <v>Administrative coverage</v>
          </cell>
          <cell r="I491"/>
          <cell r="J491">
            <v>2038</v>
          </cell>
          <cell r="K491"/>
        </row>
        <row r="492">
          <cell r="B492" t="str">
            <v>GAB</v>
          </cell>
          <cell r="C492" t="str">
            <v>Gabon</v>
          </cell>
          <cell r="D492">
            <v>2022</v>
          </cell>
          <cell r="E492" t="str">
            <v>FLU_ELDERLY</v>
          </cell>
          <cell r="F492" t="str">
            <v>Influenza older persons</v>
          </cell>
          <cell r="G492" t="str">
            <v>ADMIN</v>
          </cell>
          <cell r="H492" t="str">
            <v>Administrative coverage</v>
          </cell>
          <cell r="I492"/>
          <cell r="J492"/>
          <cell r="K492"/>
        </row>
        <row r="493">
          <cell r="B493" t="str">
            <v>GMB</v>
          </cell>
          <cell r="C493" t="str">
            <v>Gambia</v>
          </cell>
          <cell r="D493">
            <v>2022</v>
          </cell>
          <cell r="E493" t="str">
            <v>FLU_ELDERLY</v>
          </cell>
          <cell r="F493" t="str">
            <v>Influenza older persons</v>
          </cell>
          <cell r="G493" t="str">
            <v>ADMIN</v>
          </cell>
          <cell r="H493" t="str">
            <v>Administrative coverage</v>
          </cell>
          <cell r="I493"/>
          <cell r="J493"/>
          <cell r="K493"/>
        </row>
        <row r="494">
          <cell r="B494" t="str">
            <v>GEO</v>
          </cell>
          <cell r="C494" t="str">
            <v>Georgia</v>
          </cell>
          <cell r="D494">
            <v>2022</v>
          </cell>
          <cell r="E494" t="str">
            <v>FLU_ELDERLY</v>
          </cell>
          <cell r="F494" t="str">
            <v>Influenza older persons</v>
          </cell>
          <cell r="G494" t="str">
            <v>ADMIN</v>
          </cell>
          <cell r="H494" t="str">
            <v>Administrative coverage</v>
          </cell>
          <cell r="I494">
            <v>555900</v>
          </cell>
          <cell r="J494">
            <v>57138</v>
          </cell>
          <cell r="K494">
            <v>10.28</v>
          </cell>
        </row>
        <row r="495">
          <cell r="B495" t="str">
            <v>DEU</v>
          </cell>
          <cell r="C495" t="str">
            <v>Germany</v>
          </cell>
          <cell r="D495">
            <v>2022</v>
          </cell>
          <cell r="E495" t="str">
            <v>FLU_ELDERLY</v>
          </cell>
          <cell r="F495" t="str">
            <v>Influenza older persons</v>
          </cell>
          <cell r="G495" t="str">
            <v>ADMIN</v>
          </cell>
          <cell r="H495" t="str">
            <v>Administrative coverage</v>
          </cell>
          <cell r="I495"/>
          <cell r="J495"/>
          <cell r="K495">
            <v>43.3</v>
          </cell>
        </row>
        <row r="496">
          <cell r="B496" t="str">
            <v>GHA</v>
          </cell>
          <cell r="C496" t="str">
            <v>Ghana</v>
          </cell>
          <cell r="D496">
            <v>2022</v>
          </cell>
          <cell r="E496" t="str">
            <v>FLU_ELDERLY</v>
          </cell>
          <cell r="F496" t="str">
            <v>Influenza older persons</v>
          </cell>
          <cell r="G496" t="str">
            <v>ADMIN</v>
          </cell>
          <cell r="H496" t="str">
            <v>Administrative coverage</v>
          </cell>
          <cell r="I496"/>
          <cell r="J496"/>
          <cell r="K496"/>
        </row>
        <row r="497">
          <cell r="B497" t="str">
            <v>GRC</v>
          </cell>
          <cell r="C497" t="str">
            <v>Greece</v>
          </cell>
          <cell r="D497">
            <v>2022</v>
          </cell>
          <cell r="E497" t="str">
            <v>FLU_ELDERLY</v>
          </cell>
          <cell r="F497" t="str">
            <v>Influenza older persons</v>
          </cell>
          <cell r="G497" t="str">
            <v>ADMIN</v>
          </cell>
          <cell r="H497" t="str">
            <v>Administrative coverage</v>
          </cell>
          <cell r="I497">
            <v>2734621</v>
          </cell>
          <cell r="J497">
            <v>1816916</v>
          </cell>
          <cell r="K497">
            <v>66.44</v>
          </cell>
        </row>
        <row r="498">
          <cell r="B498" t="str">
            <v>GRD</v>
          </cell>
          <cell r="C498" t="str">
            <v>Grenada</v>
          </cell>
          <cell r="D498">
            <v>2022</v>
          </cell>
          <cell r="E498" t="str">
            <v>FLU_ELDERLY</v>
          </cell>
          <cell r="F498" t="str">
            <v>Influenza older persons</v>
          </cell>
          <cell r="G498" t="str">
            <v>ADMIN</v>
          </cell>
          <cell r="H498" t="str">
            <v>Administrative coverage</v>
          </cell>
          <cell r="I498"/>
          <cell r="J498">
            <v>14</v>
          </cell>
          <cell r="K498"/>
        </row>
        <row r="499">
          <cell r="B499" t="str">
            <v>GTM</v>
          </cell>
          <cell r="C499" t="str">
            <v>Guatemala</v>
          </cell>
          <cell r="D499">
            <v>2022</v>
          </cell>
          <cell r="E499" t="str">
            <v>FLU_ELDERLY</v>
          </cell>
          <cell r="F499" t="str">
            <v>Influenza older persons</v>
          </cell>
          <cell r="G499" t="str">
            <v>ADMIN</v>
          </cell>
          <cell r="H499" t="str">
            <v>Administrative coverage</v>
          </cell>
          <cell r="I499">
            <v>1317437</v>
          </cell>
          <cell r="J499">
            <v>44975</v>
          </cell>
          <cell r="K499">
            <v>3.41</v>
          </cell>
        </row>
        <row r="500">
          <cell r="B500" t="str">
            <v>GIN</v>
          </cell>
          <cell r="C500" t="str">
            <v>Guinea</v>
          </cell>
          <cell r="D500">
            <v>2022</v>
          </cell>
          <cell r="E500" t="str">
            <v>FLU_ELDERLY</v>
          </cell>
          <cell r="F500" t="str">
            <v>Influenza older persons</v>
          </cell>
          <cell r="G500" t="str">
            <v>ADMIN</v>
          </cell>
          <cell r="H500" t="str">
            <v>Administrative coverage</v>
          </cell>
          <cell r="I500"/>
          <cell r="J500"/>
          <cell r="K500"/>
        </row>
        <row r="501">
          <cell r="B501" t="str">
            <v>GNB</v>
          </cell>
          <cell r="C501" t="str">
            <v>Guinea-Bissau</v>
          </cell>
          <cell r="D501">
            <v>2022</v>
          </cell>
          <cell r="E501" t="str">
            <v>FLU_ELDERLY</v>
          </cell>
          <cell r="F501" t="str">
            <v>Influenza older persons</v>
          </cell>
          <cell r="G501" t="str">
            <v>ADMIN</v>
          </cell>
          <cell r="H501" t="str">
            <v>Administrative coverage</v>
          </cell>
          <cell r="I501"/>
          <cell r="J501"/>
          <cell r="K501"/>
        </row>
        <row r="502">
          <cell r="B502" t="str">
            <v>GUY</v>
          </cell>
          <cell r="C502" t="str">
            <v>Guyana</v>
          </cell>
          <cell r="D502">
            <v>2022</v>
          </cell>
          <cell r="E502" t="str">
            <v>FLU_ELDERLY</v>
          </cell>
          <cell r="F502" t="str">
            <v>Influenza older persons</v>
          </cell>
          <cell r="G502" t="str">
            <v>ADMIN</v>
          </cell>
          <cell r="H502" t="str">
            <v>Administrative coverage</v>
          </cell>
          <cell r="I502"/>
          <cell r="J502"/>
          <cell r="K502"/>
        </row>
        <row r="503">
          <cell r="B503" t="str">
            <v>HTI</v>
          </cell>
          <cell r="C503" t="str">
            <v>Haiti</v>
          </cell>
          <cell r="D503">
            <v>2022</v>
          </cell>
          <cell r="E503" t="str">
            <v>FLU_ELDERLY</v>
          </cell>
          <cell r="F503" t="str">
            <v>Influenza older persons</v>
          </cell>
          <cell r="G503" t="str">
            <v>ADMIN</v>
          </cell>
          <cell r="H503" t="str">
            <v>Administrative coverage</v>
          </cell>
          <cell r="I503"/>
          <cell r="J503"/>
          <cell r="K503"/>
        </row>
        <row r="504">
          <cell r="B504" t="str">
            <v>HND</v>
          </cell>
          <cell r="C504" t="str">
            <v>Honduras</v>
          </cell>
          <cell r="D504">
            <v>2022</v>
          </cell>
          <cell r="E504" t="str">
            <v>FLU_ELDERLY</v>
          </cell>
          <cell r="F504" t="str">
            <v>Influenza older persons</v>
          </cell>
          <cell r="G504" t="str">
            <v>ADMIN</v>
          </cell>
          <cell r="H504" t="str">
            <v>Administrative coverage</v>
          </cell>
          <cell r="I504">
            <v>445935</v>
          </cell>
          <cell r="J504">
            <v>459455</v>
          </cell>
          <cell r="K504">
            <v>103.03</v>
          </cell>
        </row>
        <row r="505">
          <cell r="B505" t="str">
            <v>HUN</v>
          </cell>
          <cell r="C505" t="str">
            <v>Hungary</v>
          </cell>
          <cell r="D505">
            <v>2022</v>
          </cell>
          <cell r="E505" t="str">
            <v>FLU_ELDERLY</v>
          </cell>
          <cell r="F505" t="str">
            <v>Influenza older persons</v>
          </cell>
          <cell r="G505" t="str">
            <v>ADMIN</v>
          </cell>
          <cell r="H505" t="str">
            <v>Administrative coverage</v>
          </cell>
          <cell r="I505">
            <v>2590051</v>
          </cell>
          <cell r="J505">
            <v>512694</v>
          </cell>
          <cell r="K505">
            <v>19.79</v>
          </cell>
        </row>
        <row r="506">
          <cell r="B506" t="str">
            <v>ISL</v>
          </cell>
          <cell r="C506" t="str">
            <v>Iceland</v>
          </cell>
          <cell r="D506">
            <v>2022</v>
          </cell>
          <cell r="E506" t="str">
            <v>FLU_ELDERLY</v>
          </cell>
          <cell r="F506" t="str">
            <v>Influenza older persons</v>
          </cell>
          <cell r="G506" t="str">
            <v>ADMIN</v>
          </cell>
          <cell r="H506" t="str">
            <v>Administrative coverage</v>
          </cell>
          <cell r="I506">
            <v>77086</v>
          </cell>
          <cell r="J506">
            <v>41930</v>
          </cell>
          <cell r="K506">
            <v>54.39</v>
          </cell>
        </row>
        <row r="507">
          <cell r="B507" t="str">
            <v>IND</v>
          </cell>
          <cell r="C507" t="str">
            <v>India</v>
          </cell>
          <cell r="D507">
            <v>2022</v>
          </cell>
          <cell r="E507" t="str">
            <v>FLU_ELDERLY</v>
          </cell>
          <cell r="F507" t="str">
            <v>Influenza older persons</v>
          </cell>
          <cell r="G507" t="str">
            <v>ADMIN</v>
          </cell>
          <cell r="H507" t="str">
            <v>Administrative coverage</v>
          </cell>
          <cell r="I507"/>
          <cell r="J507"/>
          <cell r="K507"/>
        </row>
        <row r="508">
          <cell r="B508" t="str">
            <v>IDN</v>
          </cell>
          <cell r="C508" t="str">
            <v>Indonesia</v>
          </cell>
          <cell r="D508">
            <v>2022</v>
          </cell>
          <cell r="E508" t="str">
            <v>FLU_ELDERLY</v>
          </cell>
          <cell r="F508" t="str">
            <v>Influenza older persons</v>
          </cell>
          <cell r="G508" t="str">
            <v>ADMIN</v>
          </cell>
          <cell r="H508" t="str">
            <v>Administrative coverage</v>
          </cell>
          <cell r="I508"/>
          <cell r="J508"/>
          <cell r="K508"/>
        </row>
        <row r="509">
          <cell r="B509" t="str">
            <v>IRN</v>
          </cell>
          <cell r="C509" t="str">
            <v>Iran (Islamic Republic of)</v>
          </cell>
          <cell r="D509">
            <v>2022</v>
          </cell>
          <cell r="E509" t="str">
            <v>FLU_ELDERLY</v>
          </cell>
          <cell r="F509" t="str">
            <v>Influenza older persons</v>
          </cell>
          <cell r="G509" t="str">
            <v>ADMIN</v>
          </cell>
          <cell r="H509" t="str">
            <v>Administrative coverage</v>
          </cell>
          <cell r="I509"/>
          <cell r="J509"/>
          <cell r="K509"/>
        </row>
        <row r="510">
          <cell r="B510" t="str">
            <v>IRQ</v>
          </cell>
          <cell r="C510" t="str">
            <v>Iraq</v>
          </cell>
          <cell r="D510">
            <v>2022</v>
          </cell>
          <cell r="E510" t="str">
            <v>FLU_ELDERLY</v>
          </cell>
          <cell r="F510" t="str">
            <v>Influenza older persons</v>
          </cell>
          <cell r="G510" t="str">
            <v>ADMIN</v>
          </cell>
          <cell r="H510" t="str">
            <v>Administrative coverage</v>
          </cell>
          <cell r="I510"/>
          <cell r="J510"/>
          <cell r="K510"/>
        </row>
        <row r="511">
          <cell r="B511" t="str">
            <v>IRL</v>
          </cell>
          <cell r="C511" t="str">
            <v>Ireland</v>
          </cell>
          <cell r="D511">
            <v>2022</v>
          </cell>
          <cell r="E511" t="str">
            <v>FLU_ELDERLY</v>
          </cell>
          <cell r="F511" t="str">
            <v>Influenza older persons</v>
          </cell>
          <cell r="G511" t="str">
            <v>ADMIN</v>
          </cell>
          <cell r="H511" t="str">
            <v>Administrative coverage</v>
          </cell>
          <cell r="I511">
            <v>743088</v>
          </cell>
          <cell r="J511">
            <v>563269</v>
          </cell>
          <cell r="K511">
            <v>75.8</v>
          </cell>
        </row>
        <row r="512">
          <cell r="B512" t="str">
            <v>ISR</v>
          </cell>
          <cell r="C512" t="str">
            <v>Israel</v>
          </cell>
          <cell r="D512">
            <v>2022</v>
          </cell>
          <cell r="E512" t="str">
            <v>FLU_ELDERLY</v>
          </cell>
          <cell r="F512" t="str">
            <v>Influenza older persons</v>
          </cell>
          <cell r="G512" t="str">
            <v>ADMIN</v>
          </cell>
          <cell r="H512" t="str">
            <v>Administrative coverage</v>
          </cell>
          <cell r="I512">
            <v>1170041</v>
          </cell>
          <cell r="J512">
            <v>715634</v>
          </cell>
          <cell r="K512">
            <v>61.16</v>
          </cell>
        </row>
        <row r="513">
          <cell r="B513" t="str">
            <v>ITA</v>
          </cell>
          <cell r="C513" t="str">
            <v>Italy</v>
          </cell>
          <cell r="D513">
            <v>2022</v>
          </cell>
          <cell r="E513" t="str">
            <v>FLU_ELDERLY</v>
          </cell>
          <cell r="F513" t="str">
            <v>Influenza older persons</v>
          </cell>
          <cell r="G513" t="str">
            <v>ADMIN</v>
          </cell>
          <cell r="H513" t="str">
            <v>Administrative coverage</v>
          </cell>
          <cell r="I513"/>
          <cell r="J513"/>
          <cell r="K513">
            <v>58.1</v>
          </cell>
        </row>
        <row r="514">
          <cell r="B514" t="str">
            <v>JAM</v>
          </cell>
          <cell r="C514" t="str">
            <v>Jamaica</v>
          </cell>
          <cell r="D514">
            <v>2022</v>
          </cell>
          <cell r="E514" t="str">
            <v>FLU_ELDERLY</v>
          </cell>
          <cell r="F514" t="str">
            <v>Influenza older persons</v>
          </cell>
          <cell r="G514" t="str">
            <v>ADMIN</v>
          </cell>
          <cell r="H514" t="str">
            <v>Administrative coverage</v>
          </cell>
          <cell r="I514"/>
          <cell r="J514">
            <v>289</v>
          </cell>
          <cell r="K514"/>
        </row>
        <row r="515">
          <cell r="B515" t="str">
            <v>JPN</v>
          </cell>
          <cell r="C515" t="str">
            <v>Japan</v>
          </cell>
          <cell r="D515">
            <v>2022</v>
          </cell>
          <cell r="E515" t="str">
            <v>FLU_ELDERLY</v>
          </cell>
          <cell r="F515" t="str">
            <v>Influenza older persons</v>
          </cell>
          <cell r="G515" t="str">
            <v>ADMIN</v>
          </cell>
          <cell r="H515" t="str">
            <v>Administrative coverage</v>
          </cell>
          <cell r="I515"/>
          <cell r="J515"/>
          <cell r="K515"/>
        </row>
        <row r="516">
          <cell r="B516" t="str">
            <v>JOR</v>
          </cell>
          <cell r="C516" t="str">
            <v>Jordan</v>
          </cell>
          <cell r="D516">
            <v>2022</v>
          </cell>
          <cell r="E516" t="str">
            <v>FLU_ELDERLY</v>
          </cell>
          <cell r="F516" t="str">
            <v>Influenza older persons</v>
          </cell>
          <cell r="G516" t="str">
            <v>ADMIN</v>
          </cell>
          <cell r="H516" t="str">
            <v>Administrative coverage</v>
          </cell>
          <cell r="I516"/>
          <cell r="J516"/>
          <cell r="K516"/>
        </row>
        <row r="517">
          <cell r="B517" t="str">
            <v>KAZ</v>
          </cell>
          <cell r="C517" t="str">
            <v>Kazakhstan</v>
          </cell>
          <cell r="D517">
            <v>2022</v>
          </cell>
          <cell r="E517" t="str">
            <v>FLU_ELDERLY</v>
          </cell>
          <cell r="F517" t="str">
            <v>Influenza older persons</v>
          </cell>
          <cell r="G517" t="str">
            <v>ADMIN</v>
          </cell>
          <cell r="H517" t="str">
            <v>Administrative coverage</v>
          </cell>
          <cell r="I517">
            <v>1594931</v>
          </cell>
          <cell r="J517">
            <v>454591</v>
          </cell>
          <cell r="K517">
            <v>28.5</v>
          </cell>
        </row>
        <row r="518">
          <cell r="B518" t="str">
            <v>KEN</v>
          </cell>
          <cell r="C518" t="str">
            <v>Kenya</v>
          </cell>
          <cell r="D518">
            <v>2022</v>
          </cell>
          <cell r="E518" t="str">
            <v>FLU_ELDERLY</v>
          </cell>
          <cell r="F518" t="str">
            <v>Influenza older persons</v>
          </cell>
          <cell r="G518" t="str">
            <v>ADMIN</v>
          </cell>
          <cell r="H518" t="str">
            <v>Administrative coverage</v>
          </cell>
          <cell r="I518"/>
          <cell r="J518"/>
          <cell r="K518"/>
        </row>
        <row r="519">
          <cell r="B519" t="str">
            <v>KIR</v>
          </cell>
          <cell r="C519" t="str">
            <v>Kiribati</v>
          </cell>
          <cell r="D519">
            <v>2022</v>
          </cell>
          <cell r="E519" t="str">
            <v>FLU_ELDERLY</v>
          </cell>
          <cell r="F519" t="str">
            <v>Influenza older persons</v>
          </cell>
          <cell r="G519" t="str">
            <v>ADMIN</v>
          </cell>
          <cell r="H519" t="str">
            <v>Administrative coverage</v>
          </cell>
          <cell r="I519"/>
          <cell r="J519"/>
          <cell r="K519"/>
        </row>
        <row r="520">
          <cell r="B520" t="str">
            <v>XKX</v>
          </cell>
          <cell r="C520" t="str">
            <v>Kosovo (in accordance with UN Security Council resolution 1244 (1999))</v>
          </cell>
          <cell r="D520">
            <v>2022</v>
          </cell>
          <cell r="E520" t="str">
            <v>FLU_ELDERLY</v>
          </cell>
          <cell r="F520" t="str">
            <v>Influenza older persons</v>
          </cell>
          <cell r="G520" t="str">
            <v>ADMIN</v>
          </cell>
          <cell r="H520" t="str">
            <v>Administrative coverage</v>
          </cell>
          <cell r="I520">
            <v>160780</v>
          </cell>
          <cell r="J520">
            <v>49831</v>
          </cell>
          <cell r="K520">
            <v>30.99</v>
          </cell>
        </row>
        <row r="521">
          <cell r="B521" t="str">
            <v>KWT</v>
          </cell>
          <cell r="C521" t="str">
            <v>Kuwait</v>
          </cell>
          <cell r="D521">
            <v>2022</v>
          </cell>
          <cell r="E521" t="str">
            <v>FLU_ELDERLY</v>
          </cell>
          <cell r="F521" t="str">
            <v>Influenza older persons</v>
          </cell>
          <cell r="G521" t="str">
            <v>ADMIN</v>
          </cell>
          <cell r="H521" t="str">
            <v>Administrative coverage</v>
          </cell>
          <cell r="I521"/>
          <cell r="J521"/>
          <cell r="K521"/>
        </row>
        <row r="522">
          <cell r="B522" t="str">
            <v>KGZ</v>
          </cell>
          <cell r="C522" t="str">
            <v>Kyrgyzstan</v>
          </cell>
          <cell r="D522">
            <v>2022</v>
          </cell>
          <cell r="E522" t="str">
            <v>FLU_ELDERLY</v>
          </cell>
          <cell r="F522" t="str">
            <v>Influenza older persons</v>
          </cell>
          <cell r="G522" t="str">
            <v>ADMIN</v>
          </cell>
          <cell r="H522" t="str">
            <v>Administrative coverage</v>
          </cell>
          <cell r="I522"/>
          <cell r="J522"/>
          <cell r="K522"/>
        </row>
        <row r="523">
          <cell r="B523" t="str">
            <v>LAO</v>
          </cell>
          <cell r="C523" t="str">
            <v>Lao People's Democratic Republic</v>
          </cell>
          <cell r="D523">
            <v>2022</v>
          </cell>
          <cell r="E523" t="str">
            <v>FLU_ELDERLY</v>
          </cell>
          <cell r="F523" t="str">
            <v>Influenza older persons</v>
          </cell>
          <cell r="G523" t="str">
            <v>ADMIN</v>
          </cell>
          <cell r="H523" t="str">
            <v>Administrative coverage</v>
          </cell>
          <cell r="I523"/>
          <cell r="J523"/>
          <cell r="K523"/>
        </row>
        <row r="524">
          <cell r="B524" t="str">
            <v>LVA</v>
          </cell>
          <cell r="C524" t="str">
            <v>Latvia</v>
          </cell>
          <cell r="D524">
            <v>2022</v>
          </cell>
          <cell r="E524" t="str">
            <v>FLU_ELDERLY</v>
          </cell>
          <cell r="F524" t="str">
            <v>Influenza older persons</v>
          </cell>
          <cell r="G524" t="str">
            <v>ADMIN</v>
          </cell>
          <cell r="H524" t="str">
            <v>Administrative coverage</v>
          </cell>
          <cell r="I524">
            <v>393698</v>
          </cell>
          <cell r="J524">
            <v>30351</v>
          </cell>
          <cell r="K524">
            <v>7.71</v>
          </cell>
        </row>
        <row r="525">
          <cell r="B525" t="str">
            <v>LBN</v>
          </cell>
          <cell r="C525" t="str">
            <v>Lebanon</v>
          </cell>
          <cell r="D525">
            <v>2022</v>
          </cell>
          <cell r="E525" t="str">
            <v>FLU_ELDERLY</v>
          </cell>
          <cell r="F525" t="str">
            <v>Influenza older persons</v>
          </cell>
          <cell r="G525" t="str">
            <v>ADMIN</v>
          </cell>
          <cell r="H525" t="str">
            <v>Administrative coverage</v>
          </cell>
          <cell r="I525"/>
          <cell r="J525"/>
          <cell r="K525"/>
        </row>
        <row r="526">
          <cell r="B526" t="str">
            <v>LSO</v>
          </cell>
          <cell r="C526" t="str">
            <v>Lesotho</v>
          </cell>
          <cell r="D526">
            <v>2022</v>
          </cell>
          <cell r="E526" t="str">
            <v>FLU_ELDERLY</v>
          </cell>
          <cell r="F526" t="str">
            <v>Influenza older persons</v>
          </cell>
          <cell r="G526" t="str">
            <v>ADMIN</v>
          </cell>
          <cell r="H526" t="str">
            <v>Administrative coverage</v>
          </cell>
          <cell r="I526"/>
          <cell r="J526"/>
          <cell r="K526"/>
        </row>
        <row r="527">
          <cell r="B527" t="str">
            <v>LBR</v>
          </cell>
          <cell r="C527" t="str">
            <v>Liberia</v>
          </cell>
          <cell r="D527">
            <v>2022</v>
          </cell>
          <cell r="E527" t="str">
            <v>FLU_ELDERLY</v>
          </cell>
          <cell r="F527" t="str">
            <v>Influenza older persons</v>
          </cell>
          <cell r="G527" t="str">
            <v>ADMIN</v>
          </cell>
          <cell r="H527" t="str">
            <v>Administrative coverage</v>
          </cell>
          <cell r="I527"/>
          <cell r="J527"/>
          <cell r="K527"/>
        </row>
        <row r="528">
          <cell r="B528" t="str">
            <v>LBY</v>
          </cell>
          <cell r="C528" t="str">
            <v>Libya</v>
          </cell>
          <cell r="D528">
            <v>2022</v>
          </cell>
          <cell r="E528" t="str">
            <v>FLU_ELDERLY</v>
          </cell>
          <cell r="F528" t="str">
            <v>Influenza older persons</v>
          </cell>
          <cell r="G528" t="str">
            <v>ADMIN</v>
          </cell>
          <cell r="H528" t="str">
            <v>Administrative coverage</v>
          </cell>
          <cell r="I528"/>
          <cell r="J528"/>
          <cell r="K528"/>
        </row>
        <row r="529">
          <cell r="B529" t="str">
            <v>LTU</v>
          </cell>
          <cell r="C529" t="str">
            <v>Lithuania</v>
          </cell>
          <cell r="D529">
            <v>2022</v>
          </cell>
          <cell r="E529" t="str">
            <v>FLU_ELDERLY</v>
          </cell>
          <cell r="F529" t="str">
            <v>Influenza older persons</v>
          </cell>
          <cell r="G529" t="str">
            <v>ADMIN</v>
          </cell>
          <cell r="H529" t="str">
            <v>Administrative coverage</v>
          </cell>
          <cell r="I529">
            <v>558838</v>
          </cell>
          <cell r="J529">
            <v>120347</v>
          </cell>
          <cell r="K529">
            <v>21.54</v>
          </cell>
        </row>
        <row r="530">
          <cell r="B530" t="str">
            <v>LUX</v>
          </cell>
          <cell r="C530" t="str">
            <v>Luxembourg</v>
          </cell>
          <cell r="D530">
            <v>2022</v>
          </cell>
          <cell r="E530" t="str">
            <v>FLU_ELDERLY</v>
          </cell>
          <cell r="F530" t="str">
            <v>Influenza older persons</v>
          </cell>
          <cell r="G530" t="str">
            <v>ADMIN</v>
          </cell>
          <cell r="H530" t="str">
            <v>Administrative coverage</v>
          </cell>
          <cell r="I530">
            <v>40510</v>
          </cell>
          <cell r="J530"/>
          <cell r="K530">
            <v>44.83</v>
          </cell>
        </row>
        <row r="531">
          <cell r="B531" t="str">
            <v>MDG</v>
          </cell>
          <cell r="C531" t="str">
            <v>Madagascar</v>
          </cell>
          <cell r="D531">
            <v>2022</v>
          </cell>
          <cell r="E531" t="str">
            <v>FLU_ELDERLY</v>
          </cell>
          <cell r="F531" t="str">
            <v>Influenza older persons</v>
          </cell>
          <cell r="G531" t="str">
            <v>ADMIN</v>
          </cell>
          <cell r="H531" t="str">
            <v>Administrative coverage</v>
          </cell>
          <cell r="I531"/>
          <cell r="J531"/>
          <cell r="K531"/>
        </row>
        <row r="532">
          <cell r="B532" t="str">
            <v>MWI</v>
          </cell>
          <cell r="C532" t="str">
            <v>Malawi</v>
          </cell>
          <cell r="D532">
            <v>2022</v>
          </cell>
          <cell r="E532" t="str">
            <v>FLU_ELDERLY</v>
          </cell>
          <cell r="F532" t="str">
            <v>Influenza older persons</v>
          </cell>
          <cell r="G532" t="str">
            <v>ADMIN</v>
          </cell>
          <cell r="H532" t="str">
            <v>Administrative coverage</v>
          </cell>
          <cell r="I532"/>
          <cell r="J532"/>
          <cell r="K532"/>
        </row>
        <row r="533">
          <cell r="B533" t="str">
            <v>MYS</v>
          </cell>
          <cell r="C533" t="str">
            <v>Malaysia</v>
          </cell>
          <cell r="D533">
            <v>2022</v>
          </cell>
          <cell r="E533" t="str">
            <v>FLU_ELDERLY</v>
          </cell>
          <cell r="F533" t="str">
            <v>Influenza older persons</v>
          </cell>
          <cell r="G533" t="str">
            <v>ADMIN</v>
          </cell>
          <cell r="H533" t="str">
            <v>Administrative coverage</v>
          </cell>
          <cell r="I533"/>
          <cell r="J533"/>
          <cell r="K533"/>
        </row>
        <row r="534">
          <cell r="B534" t="str">
            <v>MDV</v>
          </cell>
          <cell r="C534" t="str">
            <v>Maldives</v>
          </cell>
          <cell r="D534">
            <v>2022</v>
          </cell>
          <cell r="E534" t="str">
            <v>FLU_ELDERLY</v>
          </cell>
          <cell r="F534" t="str">
            <v>Influenza older persons</v>
          </cell>
          <cell r="G534" t="str">
            <v>ADMIN</v>
          </cell>
          <cell r="H534" t="str">
            <v>Administrative coverage</v>
          </cell>
          <cell r="I534"/>
          <cell r="J534"/>
          <cell r="K534"/>
        </row>
        <row r="535">
          <cell r="B535" t="str">
            <v>MLI</v>
          </cell>
          <cell r="C535" t="str">
            <v>Mali</v>
          </cell>
          <cell r="D535">
            <v>2022</v>
          </cell>
          <cell r="E535" t="str">
            <v>FLU_ELDERLY</v>
          </cell>
          <cell r="F535" t="str">
            <v>Influenza older persons</v>
          </cell>
          <cell r="G535" t="str">
            <v>ADMIN</v>
          </cell>
          <cell r="H535" t="str">
            <v>Administrative coverage</v>
          </cell>
          <cell r="I535"/>
          <cell r="J535"/>
          <cell r="K535"/>
        </row>
        <row r="536">
          <cell r="B536" t="str">
            <v>MLT</v>
          </cell>
          <cell r="C536" t="str">
            <v>Malta</v>
          </cell>
          <cell r="D536">
            <v>2022</v>
          </cell>
          <cell r="E536" t="str">
            <v>FLU_ELDERLY</v>
          </cell>
          <cell r="F536" t="str">
            <v>Influenza older persons</v>
          </cell>
          <cell r="G536" t="str">
            <v>ADMIN</v>
          </cell>
          <cell r="H536" t="str">
            <v>Administrative coverage</v>
          </cell>
          <cell r="I536">
            <v>80000</v>
          </cell>
          <cell r="J536">
            <v>40377</v>
          </cell>
          <cell r="K536">
            <v>50.47</v>
          </cell>
        </row>
        <row r="537">
          <cell r="B537" t="str">
            <v>MHL</v>
          </cell>
          <cell r="C537" t="str">
            <v>Marshall Islands</v>
          </cell>
          <cell r="D537">
            <v>2022</v>
          </cell>
          <cell r="E537" t="str">
            <v>FLU_ELDERLY</v>
          </cell>
          <cell r="F537" t="str">
            <v>Influenza older persons</v>
          </cell>
          <cell r="G537" t="str">
            <v>ADMIN</v>
          </cell>
          <cell r="H537" t="str">
            <v>Administrative coverage</v>
          </cell>
          <cell r="I537"/>
          <cell r="J537"/>
          <cell r="K537"/>
        </row>
        <row r="538">
          <cell r="B538" t="str">
            <v>MRT</v>
          </cell>
          <cell r="C538" t="str">
            <v>Mauritania</v>
          </cell>
          <cell r="D538">
            <v>2022</v>
          </cell>
          <cell r="E538" t="str">
            <v>FLU_ELDERLY</v>
          </cell>
          <cell r="F538" t="str">
            <v>Influenza older persons</v>
          </cell>
          <cell r="G538" t="str">
            <v>ADMIN</v>
          </cell>
          <cell r="H538" t="str">
            <v>Administrative coverage</v>
          </cell>
          <cell r="I538"/>
          <cell r="J538"/>
          <cell r="K538"/>
        </row>
        <row r="539">
          <cell r="B539" t="str">
            <v>MUS</v>
          </cell>
          <cell r="C539" t="str">
            <v>Mauritius</v>
          </cell>
          <cell r="D539">
            <v>2022</v>
          </cell>
          <cell r="E539" t="str">
            <v>FLU_ELDERLY</v>
          </cell>
          <cell r="F539" t="str">
            <v>Influenza older persons</v>
          </cell>
          <cell r="G539" t="str">
            <v>ADMIN</v>
          </cell>
          <cell r="H539" t="str">
            <v>Administrative coverage</v>
          </cell>
          <cell r="I539"/>
          <cell r="J539">
            <v>88250</v>
          </cell>
          <cell r="K539"/>
        </row>
        <row r="540">
          <cell r="B540" t="str">
            <v>MEX</v>
          </cell>
          <cell r="C540" t="str">
            <v>Mexico</v>
          </cell>
          <cell r="D540">
            <v>2022</v>
          </cell>
          <cell r="E540" t="str">
            <v>FLU_ELDERLY</v>
          </cell>
          <cell r="F540" t="str">
            <v>Influenza older persons</v>
          </cell>
          <cell r="G540" t="str">
            <v>ADMIN</v>
          </cell>
          <cell r="H540" t="str">
            <v>Administrative coverage</v>
          </cell>
          <cell r="I540">
            <v>11328886</v>
          </cell>
          <cell r="J540">
            <v>10762883</v>
          </cell>
          <cell r="K540">
            <v>95</v>
          </cell>
        </row>
        <row r="541">
          <cell r="B541" t="str">
            <v>FSM</v>
          </cell>
          <cell r="C541" t="str">
            <v>Micronesia (Federated States of)</v>
          </cell>
          <cell r="D541">
            <v>2022</v>
          </cell>
          <cell r="E541" t="str">
            <v>FLU_ELDERLY</v>
          </cell>
          <cell r="F541" t="str">
            <v>Influenza older persons</v>
          </cell>
          <cell r="G541" t="str">
            <v>ADMIN</v>
          </cell>
          <cell r="H541" t="str">
            <v>Administrative coverage</v>
          </cell>
          <cell r="I541"/>
          <cell r="J541"/>
          <cell r="K541"/>
        </row>
        <row r="542">
          <cell r="B542" t="str">
            <v>MCO</v>
          </cell>
          <cell r="C542" t="str">
            <v>Monaco</v>
          </cell>
          <cell r="D542">
            <v>2022</v>
          </cell>
          <cell r="E542" t="str">
            <v>FLU_ELDERLY</v>
          </cell>
          <cell r="F542" t="str">
            <v>Influenza older persons</v>
          </cell>
          <cell r="G542" t="str">
            <v>ADMIN</v>
          </cell>
          <cell r="H542" t="str">
            <v>Administrative coverage</v>
          </cell>
          <cell r="I542"/>
          <cell r="J542"/>
          <cell r="K542"/>
        </row>
        <row r="543">
          <cell r="B543" t="str">
            <v>MNG</v>
          </cell>
          <cell r="C543" t="str">
            <v>Mongolia</v>
          </cell>
          <cell r="D543">
            <v>2022</v>
          </cell>
          <cell r="E543" t="str">
            <v>FLU_ELDERLY</v>
          </cell>
          <cell r="F543" t="str">
            <v>Influenza older persons</v>
          </cell>
          <cell r="G543" t="str">
            <v>ADMIN</v>
          </cell>
          <cell r="H543" t="str">
            <v>Administrative coverage</v>
          </cell>
          <cell r="I543"/>
          <cell r="J543"/>
          <cell r="K543"/>
        </row>
        <row r="544">
          <cell r="B544" t="str">
            <v>MNE</v>
          </cell>
          <cell r="C544" t="str">
            <v>Montenegro</v>
          </cell>
          <cell r="D544">
            <v>2022</v>
          </cell>
          <cell r="E544" t="str">
            <v>FLU_ELDERLY</v>
          </cell>
          <cell r="F544" t="str">
            <v>Influenza older persons</v>
          </cell>
          <cell r="G544" t="str">
            <v>ADMIN</v>
          </cell>
          <cell r="H544" t="str">
            <v>Administrative coverage</v>
          </cell>
          <cell r="I544">
            <v>98760</v>
          </cell>
          <cell r="J544">
            <v>13374</v>
          </cell>
          <cell r="K544">
            <v>13.54</v>
          </cell>
        </row>
        <row r="545">
          <cell r="B545" t="str">
            <v>MSR</v>
          </cell>
          <cell r="C545" t="str">
            <v>Montserrat</v>
          </cell>
          <cell r="D545">
            <v>2022</v>
          </cell>
          <cell r="E545" t="str">
            <v>FLU_ELDERLY</v>
          </cell>
          <cell r="F545" t="str">
            <v>Influenza older persons</v>
          </cell>
          <cell r="G545" t="str">
            <v>ADMIN</v>
          </cell>
          <cell r="H545" t="str">
            <v>Administrative coverage</v>
          </cell>
          <cell r="I545"/>
          <cell r="J545"/>
          <cell r="K545"/>
        </row>
        <row r="546">
          <cell r="B546" t="str">
            <v>MAR</v>
          </cell>
          <cell r="C546" t="str">
            <v>Morocco</v>
          </cell>
          <cell r="D546">
            <v>2022</v>
          </cell>
          <cell r="E546" t="str">
            <v>FLU_ELDERLY</v>
          </cell>
          <cell r="F546" t="str">
            <v>Influenza older persons</v>
          </cell>
          <cell r="G546" t="str">
            <v>ADMIN</v>
          </cell>
          <cell r="H546" t="str">
            <v>Administrative coverage</v>
          </cell>
          <cell r="I546"/>
          <cell r="J546"/>
          <cell r="K546"/>
        </row>
        <row r="547">
          <cell r="B547" t="str">
            <v>MOZ</v>
          </cell>
          <cell r="C547" t="str">
            <v>Mozambique</v>
          </cell>
          <cell r="D547">
            <v>2022</v>
          </cell>
          <cell r="E547" t="str">
            <v>FLU_ELDERLY</v>
          </cell>
          <cell r="F547" t="str">
            <v>Influenza older persons</v>
          </cell>
          <cell r="G547" t="str">
            <v>ADMIN</v>
          </cell>
          <cell r="H547" t="str">
            <v>Administrative coverage</v>
          </cell>
          <cell r="I547"/>
          <cell r="J547"/>
          <cell r="K547"/>
        </row>
        <row r="548">
          <cell r="B548" t="str">
            <v>MMR</v>
          </cell>
          <cell r="C548" t="str">
            <v>Myanmar</v>
          </cell>
          <cell r="D548">
            <v>2022</v>
          </cell>
          <cell r="E548" t="str">
            <v>FLU_ELDERLY</v>
          </cell>
          <cell r="F548" t="str">
            <v>Influenza older persons</v>
          </cell>
          <cell r="G548" t="str">
            <v>ADMIN</v>
          </cell>
          <cell r="H548" t="str">
            <v>Administrative coverage</v>
          </cell>
          <cell r="I548"/>
          <cell r="J548"/>
          <cell r="K548"/>
        </row>
        <row r="549">
          <cell r="B549" t="str">
            <v>NAM</v>
          </cell>
          <cell r="C549" t="str">
            <v>Namibia</v>
          </cell>
          <cell r="D549">
            <v>2022</v>
          </cell>
          <cell r="E549" t="str">
            <v>FLU_ELDERLY</v>
          </cell>
          <cell r="F549" t="str">
            <v>Influenza older persons</v>
          </cell>
          <cell r="G549" t="str">
            <v>ADMIN</v>
          </cell>
          <cell r="H549" t="str">
            <v>Administrative coverage</v>
          </cell>
          <cell r="I549"/>
          <cell r="J549"/>
          <cell r="K549"/>
        </row>
        <row r="550">
          <cell r="B550" t="str">
            <v>NRU</v>
          </cell>
          <cell r="C550" t="str">
            <v>Nauru</v>
          </cell>
          <cell r="D550">
            <v>2022</v>
          </cell>
          <cell r="E550" t="str">
            <v>FLU_ELDERLY</v>
          </cell>
          <cell r="F550" t="str">
            <v>Influenza older persons</v>
          </cell>
          <cell r="G550" t="str">
            <v>ADMIN</v>
          </cell>
          <cell r="H550" t="str">
            <v>Administrative coverage</v>
          </cell>
          <cell r="I550"/>
          <cell r="J550"/>
          <cell r="K550"/>
        </row>
        <row r="551">
          <cell r="B551" t="str">
            <v>NPL</v>
          </cell>
          <cell r="C551" t="str">
            <v>Nepal</v>
          </cell>
          <cell r="D551">
            <v>2022</v>
          </cell>
          <cell r="E551" t="str">
            <v>FLU_ELDERLY</v>
          </cell>
          <cell r="F551" t="str">
            <v>Influenza older persons</v>
          </cell>
          <cell r="G551" t="str">
            <v>ADMIN</v>
          </cell>
          <cell r="H551" t="str">
            <v>Administrative coverage</v>
          </cell>
          <cell r="I551"/>
          <cell r="J551"/>
          <cell r="K551"/>
        </row>
        <row r="552">
          <cell r="B552" t="str">
            <v>NLD</v>
          </cell>
          <cell r="C552" t="str">
            <v>Netherlands (Kingdom of the)</v>
          </cell>
          <cell r="D552">
            <v>2022</v>
          </cell>
          <cell r="E552" t="str">
            <v>FLU_ELDERLY</v>
          </cell>
          <cell r="F552" t="str">
            <v>Influenza older persons</v>
          </cell>
          <cell r="G552" t="str">
            <v>ADMIN</v>
          </cell>
          <cell r="H552" t="str">
            <v>Administrative coverage</v>
          </cell>
          <cell r="I552"/>
          <cell r="J552"/>
          <cell r="K552">
            <v>66.599999999999994</v>
          </cell>
        </row>
        <row r="553">
          <cell r="B553" t="str">
            <v>NCL</v>
          </cell>
          <cell r="C553" t="str">
            <v>New Caledonia</v>
          </cell>
          <cell r="D553">
            <v>2022</v>
          </cell>
          <cell r="E553" t="str">
            <v>FLU_ELDERLY</v>
          </cell>
          <cell r="F553" t="str">
            <v>Influenza older persons</v>
          </cell>
          <cell r="G553" t="str">
            <v>ADMIN</v>
          </cell>
          <cell r="H553" t="str">
            <v>Administrative coverage</v>
          </cell>
          <cell r="I553">
            <v>28706</v>
          </cell>
          <cell r="J553"/>
          <cell r="K553"/>
        </row>
        <row r="554">
          <cell r="B554" t="str">
            <v>NZL</v>
          </cell>
          <cell r="C554" t="str">
            <v>New Zealand</v>
          </cell>
          <cell r="D554">
            <v>2022</v>
          </cell>
          <cell r="E554" t="str">
            <v>FLU_ELDERLY</v>
          </cell>
          <cell r="F554" t="str">
            <v>Influenza older persons</v>
          </cell>
          <cell r="G554" t="str">
            <v>ADMIN</v>
          </cell>
          <cell r="H554" t="str">
            <v>Administrative coverage</v>
          </cell>
          <cell r="I554">
            <v>843432</v>
          </cell>
          <cell r="J554">
            <v>569866</v>
          </cell>
          <cell r="K554">
            <v>67.569999999999993</v>
          </cell>
        </row>
        <row r="555">
          <cell r="B555" t="str">
            <v>NIC</v>
          </cell>
          <cell r="C555" t="str">
            <v>Nicaragua</v>
          </cell>
          <cell r="D555">
            <v>2022</v>
          </cell>
          <cell r="E555" t="str">
            <v>FLU_ELDERLY</v>
          </cell>
          <cell r="F555" t="str">
            <v>Influenza older persons</v>
          </cell>
          <cell r="G555" t="str">
            <v>ADMIN</v>
          </cell>
          <cell r="H555" t="str">
            <v>Administrative coverage</v>
          </cell>
          <cell r="I555">
            <v>167479</v>
          </cell>
          <cell r="J555">
            <v>162175</v>
          </cell>
          <cell r="K555">
            <v>96.83</v>
          </cell>
        </row>
        <row r="556">
          <cell r="B556" t="str">
            <v>NER</v>
          </cell>
          <cell r="C556" t="str">
            <v>Niger</v>
          </cell>
          <cell r="D556">
            <v>2022</v>
          </cell>
          <cell r="E556" t="str">
            <v>FLU_ELDERLY</v>
          </cell>
          <cell r="F556" t="str">
            <v>Influenza older persons</v>
          </cell>
          <cell r="G556" t="str">
            <v>ADMIN</v>
          </cell>
          <cell r="H556" t="str">
            <v>Administrative coverage</v>
          </cell>
          <cell r="I556"/>
          <cell r="J556"/>
          <cell r="K556"/>
        </row>
        <row r="557">
          <cell r="B557" t="str">
            <v>NGA</v>
          </cell>
          <cell r="C557" t="str">
            <v>Nigeria</v>
          </cell>
          <cell r="D557">
            <v>2022</v>
          </cell>
          <cell r="E557" t="str">
            <v>FLU_ELDERLY</v>
          </cell>
          <cell r="F557" t="str">
            <v>Influenza older persons</v>
          </cell>
          <cell r="G557" t="str">
            <v>ADMIN</v>
          </cell>
          <cell r="H557" t="str">
            <v>Administrative coverage</v>
          </cell>
          <cell r="I557"/>
          <cell r="J557"/>
          <cell r="K557"/>
        </row>
        <row r="558">
          <cell r="B558" t="str">
            <v>NIU</v>
          </cell>
          <cell r="C558" t="str">
            <v>Niue</v>
          </cell>
          <cell r="D558">
            <v>2022</v>
          </cell>
          <cell r="E558" t="str">
            <v>FLU_ELDERLY</v>
          </cell>
          <cell r="F558" t="str">
            <v>Influenza older persons</v>
          </cell>
          <cell r="G558" t="str">
            <v>ADMIN</v>
          </cell>
          <cell r="H558" t="str">
            <v>Administrative coverage</v>
          </cell>
          <cell r="I558"/>
          <cell r="J558"/>
          <cell r="K558"/>
        </row>
        <row r="559">
          <cell r="B559" t="str">
            <v>MKD</v>
          </cell>
          <cell r="C559" t="str">
            <v>North Macedonia</v>
          </cell>
          <cell r="D559">
            <v>2022</v>
          </cell>
          <cell r="E559" t="str">
            <v>FLU_ELDERLY</v>
          </cell>
          <cell r="F559" t="str">
            <v>Influenza older persons</v>
          </cell>
          <cell r="G559" t="str">
            <v>ADMIN</v>
          </cell>
          <cell r="H559" t="str">
            <v>Administrative coverage</v>
          </cell>
          <cell r="I559">
            <v>315331</v>
          </cell>
          <cell r="J559">
            <v>36136</v>
          </cell>
          <cell r="K559">
            <v>11.46</v>
          </cell>
        </row>
        <row r="560">
          <cell r="B560" t="str">
            <v>MNP</v>
          </cell>
          <cell r="C560" t="str">
            <v>Northern Mariana Islands</v>
          </cell>
          <cell r="D560">
            <v>2022</v>
          </cell>
          <cell r="E560" t="str">
            <v>FLU_ELDERLY</v>
          </cell>
          <cell r="F560" t="str">
            <v>Influenza older persons</v>
          </cell>
          <cell r="G560" t="str">
            <v>ADMIN</v>
          </cell>
          <cell r="H560" t="str">
            <v>Administrative coverage</v>
          </cell>
          <cell r="I560"/>
          <cell r="J560"/>
          <cell r="K560"/>
        </row>
        <row r="561">
          <cell r="B561" t="str">
            <v>NOR</v>
          </cell>
          <cell r="C561" t="str">
            <v>Norway</v>
          </cell>
          <cell r="D561">
            <v>2022</v>
          </cell>
          <cell r="E561" t="str">
            <v>FLU_ELDERLY</v>
          </cell>
          <cell r="F561" t="str">
            <v>Influenza older persons</v>
          </cell>
          <cell r="G561" t="str">
            <v>ADMIN</v>
          </cell>
          <cell r="H561" t="str">
            <v>Administrative coverage</v>
          </cell>
          <cell r="I561"/>
          <cell r="J561"/>
          <cell r="K561">
            <v>63.56</v>
          </cell>
        </row>
        <row r="562">
          <cell r="B562" t="str">
            <v>PSE</v>
          </cell>
          <cell r="C562" t="str">
            <v>occupied Palestinian territory, including east Jerusalem</v>
          </cell>
          <cell r="D562">
            <v>2022</v>
          </cell>
          <cell r="E562" t="str">
            <v>FLU_ELDERLY</v>
          </cell>
          <cell r="F562" t="str">
            <v>Influenza older persons</v>
          </cell>
          <cell r="G562" t="str">
            <v>ADMIN</v>
          </cell>
          <cell r="H562" t="str">
            <v>Administrative coverage</v>
          </cell>
          <cell r="I562"/>
          <cell r="J562"/>
          <cell r="K562"/>
        </row>
        <row r="563">
          <cell r="B563" t="str">
            <v>OMN</v>
          </cell>
          <cell r="C563" t="str">
            <v>Oman</v>
          </cell>
          <cell r="D563">
            <v>2022</v>
          </cell>
          <cell r="E563" t="str">
            <v>FLU_ELDERLY</v>
          </cell>
          <cell r="F563" t="str">
            <v>Influenza older persons</v>
          </cell>
          <cell r="G563" t="str">
            <v>ADMIN</v>
          </cell>
          <cell r="H563" t="str">
            <v>Administrative coverage</v>
          </cell>
          <cell r="I563"/>
          <cell r="J563"/>
          <cell r="K563"/>
        </row>
        <row r="564">
          <cell r="B564" t="str">
            <v>PAK</v>
          </cell>
          <cell r="C564" t="str">
            <v>Pakistan</v>
          </cell>
          <cell r="D564">
            <v>2022</v>
          </cell>
          <cell r="E564" t="str">
            <v>FLU_ELDERLY</v>
          </cell>
          <cell r="F564" t="str">
            <v>Influenza older persons</v>
          </cell>
          <cell r="G564" t="str">
            <v>ADMIN</v>
          </cell>
          <cell r="H564" t="str">
            <v>Administrative coverage</v>
          </cell>
          <cell r="I564"/>
          <cell r="J564"/>
          <cell r="K564"/>
        </row>
        <row r="565">
          <cell r="B565" t="str">
            <v>PLW</v>
          </cell>
          <cell r="C565" t="str">
            <v>Palau</v>
          </cell>
          <cell r="D565">
            <v>2022</v>
          </cell>
          <cell r="E565" t="str">
            <v>FLU_ELDERLY</v>
          </cell>
          <cell r="F565" t="str">
            <v>Influenza older persons</v>
          </cell>
          <cell r="G565" t="str">
            <v>ADMIN</v>
          </cell>
          <cell r="H565" t="str">
            <v>Administrative coverage</v>
          </cell>
          <cell r="I565"/>
          <cell r="J565"/>
          <cell r="K565"/>
        </row>
        <row r="566">
          <cell r="B566" t="str">
            <v>PAN</v>
          </cell>
          <cell r="C566" t="str">
            <v>Panama</v>
          </cell>
          <cell r="D566">
            <v>2022</v>
          </cell>
          <cell r="E566" t="str">
            <v>FLU_ELDERLY</v>
          </cell>
          <cell r="F566" t="str">
            <v>Influenza older persons</v>
          </cell>
          <cell r="G566" t="str">
            <v>ADMIN</v>
          </cell>
          <cell r="H566" t="str">
            <v>Administrative coverage</v>
          </cell>
          <cell r="I566">
            <v>310037</v>
          </cell>
          <cell r="J566">
            <v>207101</v>
          </cell>
          <cell r="K566">
            <v>66.8</v>
          </cell>
        </row>
        <row r="567">
          <cell r="B567" t="str">
            <v>PNG</v>
          </cell>
          <cell r="C567" t="str">
            <v>Papua New Guinea</v>
          </cell>
          <cell r="D567">
            <v>2022</v>
          </cell>
          <cell r="E567" t="str">
            <v>FLU_ELDERLY</v>
          </cell>
          <cell r="F567" t="str">
            <v>Influenza older persons</v>
          </cell>
          <cell r="G567" t="str">
            <v>ADMIN</v>
          </cell>
          <cell r="H567" t="str">
            <v>Administrative coverage</v>
          </cell>
          <cell r="I567"/>
          <cell r="J567"/>
          <cell r="K567"/>
        </row>
        <row r="568">
          <cell r="B568" t="str">
            <v>PRY</v>
          </cell>
          <cell r="C568" t="str">
            <v>Paraguay</v>
          </cell>
          <cell r="D568">
            <v>2022</v>
          </cell>
          <cell r="E568" t="str">
            <v>FLU_ELDERLY</v>
          </cell>
          <cell r="F568" t="str">
            <v>Influenza older persons</v>
          </cell>
          <cell r="G568" t="str">
            <v>ADMIN</v>
          </cell>
          <cell r="H568" t="str">
            <v>Administrative coverage</v>
          </cell>
          <cell r="I568">
            <v>773005</v>
          </cell>
          <cell r="J568">
            <v>265830</v>
          </cell>
          <cell r="K568">
            <v>34.39</v>
          </cell>
        </row>
        <row r="569">
          <cell r="B569" t="str">
            <v>PER</v>
          </cell>
          <cell r="C569" t="str">
            <v>Peru</v>
          </cell>
          <cell r="D569">
            <v>2022</v>
          </cell>
          <cell r="E569" t="str">
            <v>FLU_ELDERLY</v>
          </cell>
          <cell r="F569" t="str">
            <v>Influenza older persons</v>
          </cell>
          <cell r="G569" t="str">
            <v>ADMIN</v>
          </cell>
          <cell r="H569" t="str">
            <v>Administrative coverage</v>
          </cell>
          <cell r="I569">
            <v>2331875</v>
          </cell>
          <cell r="J569">
            <v>1351013</v>
          </cell>
          <cell r="K569">
            <v>57.94</v>
          </cell>
        </row>
        <row r="570">
          <cell r="B570" t="str">
            <v>PHL</v>
          </cell>
          <cell r="C570" t="str">
            <v>Philippines</v>
          </cell>
          <cell r="D570">
            <v>2022</v>
          </cell>
          <cell r="E570" t="str">
            <v>FLU_ELDERLY</v>
          </cell>
          <cell r="F570" t="str">
            <v>Influenza older persons</v>
          </cell>
          <cell r="G570" t="str">
            <v>ADMIN</v>
          </cell>
          <cell r="H570" t="str">
            <v>Administrative coverage</v>
          </cell>
          <cell r="I570">
            <v>1676721</v>
          </cell>
          <cell r="J570">
            <v>385546</v>
          </cell>
          <cell r="K570">
            <v>22.99</v>
          </cell>
        </row>
        <row r="571">
          <cell r="B571" t="str">
            <v>POL</v>
          </cell>
          <cell r="C571" t="str">
            <v>Poland</v>
          </cell>
          <cell r="D571">
            <v>2022</v>
          </cell>
          <cell r="E571" t="str">
            <v>FLU_ELDERLY</v>
          </cell>
          <cell r="F571" t="str">
            <v>Influenza older persons</v>
          </cell>
          <cell r="G571" t="str">
            <v>ADMIN</v>
          </cell>
          <cell r="H571" t="str">
            <v>Administrative coverage</v>
          </cell>
          <cell r="I571"/>
          <cell r="J571"/>
          <cell r="K571"/>
        </row>
        <row r="572">
          <cell r="B572" t="str">
            <v>PRT</v>
          </cell>
          <cell r="C572" t="str">
            <v>Portugal</v>
          </cell>
          <cell r="D572">
            <v>2022</v>
          </cell>
          <cell r="E572" t="str">
            <v>FLU_ELDERLY</v>
          </cell>
          <cell r="F572" t="str">
            <v>Influenza older persons</v>
          </cell>
          <cell r="G572" t="str">
            <v>ADMIN</v>
          </cell>
          <cell r="H572" t="str">
            <v>Administrative coverage</v>
          </cell>
          <cell r="I572"/>
          <cell r="J572"/>
          <cell r="K572"/>
        </row>
        <row r="573">
          <cell r="B573" t="str">
            <v>QAT</v>
          </cell>
          <cell r="C573" t="str">
            <v>Qatar</v>
          </cell>
          <cell r="D573">
            <v>2022</v>
          </cell>
          <cell r="E573" t="str">
            <v>FLU_ELDERLY</v>
          </cell>
          <cell r="F573" t="str">
            <v>Influenza older persons</v>
          </cell>
          <cell r="G573" t="str">
            <v>ADMIN</v>
          </cell>
          <cell r="H573" t="str">
            <v>Administrative coverage</v>
          </cell>
          <cell r="I573">
            <v>42000</v>
          </cell>
          <cell r="J573">
            <v>6959</v>
          </cell>
          <cell r="K573">
            <v>16.57</v>
          </cell>
        </row>
        <row r="574">
          <cell r="B574" t="str">
            <v>KOR</v>
          </cell>
          <cell r="C574" t="str">
            <v>Republic of Korea</v>
          </cell>
          <cell r="D574">
            <v>2022</v>
          </cell>
          <cell r="E574" t="str">
            <v>FLU_ELDERLY</v>
          </cell>
          <cell r="F574" t="str">
            <v>Influenza older persons</v>
          </cell>
          <cell r="G574" t="str">
            <v>ADMIN</v>
          </cell>
          <cell r="H574" t="str">
            <v>Administrative coverage</v>
          </cell>
          <cell r="I574">
            <v>8866005</v>
          </cell>
          <cell r="J574">
            <v>7133922</v>
          </cell>
          <cell r="K574">
            <v>80.459999999999994</v>
          </cell>
        </row>
        <row r="575">
          <cell r="B575" t="str">
            <v>MDA</v>
          </cell>
          <cell r="C575" t="str">
            <v>Republic of Moldova</v>
          </cell>
          <cell r="D575">
            <v>2022</v>
          </cell>
          <cell r="E575" t="str">
            <v>FLU_ELDERLY</v>
          </cell>
          <cell r="F575" t="str">
            <v>Influenza older persons</v>
          </cell>
          <cell r="G575" t="str">
            <v>ADMIN</v>
          </cell>
          <cell r="H575" t="str">
            <v>Administrative coverage</v>
          </cell>
          <cell r="I575"/>
          <cell r="J575"/>
          <cell r="K575"/>
        </row>
        <row r="576">
          <cell r="B576" t="str">
            <v>ROU</v>
          </cell>
          <cell r="C576" t="str">
            <v>Romania</v>
          </cell>
          <cell r="D576">
            <v>2022</v>
          </cell>
          <cell r="E576" t="str">
            <v>FLU_ELDERLY</v>
          </cell>
          <cell r="F576" t="str">
            <v>Influenza older persons</v>
          </cell>
          <cell r="G576" t="str">
            <v>ADMIN</v>
          </cell>
          <cell r="H576" t="str">
            <v>Administrative coverage</v>
          </cell>
          <cell r="I576">
            <v>3706321</v>
          </cell>
          <cell r="J576">
            <v>854394</v>
          </cell>
          <cell r="K576">
            <v>23.05</v>
          </cell>
        </row>
        <row r="577">
          <cell r="B577" t="str">
            <v>RUS</v>
          </cell>
          <cell r="C577" t="str">
            <v>Russian Federation</v>
          </cell>
          <cell r="D577">
            <v>2022</v>
          </cell>
          <cell r="E577" t="str">
            <v>FLU_ELDERLY</v>
          </cell>
          <cell r="F577" t="str">
            <v>Influenza older persons</v>
          </cell>
          <cell r="G577" t="str">
            <v>ADMIN</v>
          </cell>
          <cell r="H577" t="str">
            <v>Administrative coverage</v>
          </cell>
          <cell r="I577">
            <v>29208808</v>
          </cell>
          <cell r="J577">
            <v>16070239</v>
          </cell>
          <cell r="K577">
            <v>55.02</v>
          </cell>
        </row>
        <row r="578">
          <cell r="B578" t="str">
            <v>RWA</v>
          </cell>
          <cell r="C578" t="str">
            <v>Rwanda</v>
          </cell>
          <cell r="D578">
            <v>2022</v>
          </cell>
          <cell r="E578" t="str">
            <v>FLU_ELDERLY</v>
          </cell>
          <cell r="F578" t="str">
            <v>Influenza older persons</v>
          </cell>
          <cell r="G578" t="str">
            <v>ADMIN</v>
          </cell>
          <cell r="H578" t="str">
            <v>Administrative coverage</v>
          </cell>
          <cell r="I578"/>
          <cell r="J578"/>
          <cell r="K578"/>
        </row>
        <row r="579">
          <cell r="B579" t="str">
            <v>KNA</v>
          </cell>
          <cell r="C579" t="str">
            <v>Saint Kitts and Nevis</v>
          </cell>
          <cell r="D579">
            <v>2022</v>
          </cell>
          <cell r="E579" t="str">
            <v>FLU_ELDERLY</v>
          </cell>
          <cell r="F579" t="str">
            <v>Influenza older persons</v>
          </cell>
          <cell r="G579" t="str">
            <v>ADMIN</v>
          </cell>
          <cell r="H579" t="str">
            <v>Administrative coverage</v>
          </cell>
          <cell r="I579"/>
          <cell r="J579">
            <v>27</v>
          </cell>
          <cell r="K579"/>
        </row>
        <row r="580">
          <cell r="B580" t="str">
            <v>LCA</v>
          </cell>
          <cell r="C580" t="str">
            <v>Saint Lucia</v>
          </cell>
          <cell r="D580">
            <v>2022</v>
          </cell>
          <cell r="E580" t="str">
            <v>FLU_ELDERLY</v>
          </cell>
          <cell r="F580" t="str">
            <v>Influenza older persons</v>
          </cell>
          <cell r="G580" t="str">
            <v>ADMIN</v>
          </cell>
          <cell r="H580" t="str">
            <v>Administrative coverage</v>
          </cell>
          <cell r="I580"/>
          <cell r="J580"/>
          <cell r="K580"/>
        </row>
        <row r="581">
          <cell r="B581" t="str">
            <v>VCT</v>
          </cell>
          <cell r="C581" t="str">
            <v>Saint Vincent and the Grenadines</v>
          </cell>
          <cell r="D581">
            <v>2022</v>
          </cell>
          <cell r="E581" t="str">
            <v>FLU_ELDERLY</v>
          </cell>
          <cell r="F581" t="str">
            <v>Influenza older persons</v>
          </cell>
          <cell r="G581" t="str">
            <v>ADMIN</v>
          </cell>
          <cell r="H581" t="str">
            <v>Administrative coverage</v>
          </cell>
          <cell r="I581"/>
          <cell r="J581"/>
          <cell r="K581"/>
        </row>
        <row r="582">
          <cell r="B582" t="str">
            <v>WSM</v>
          </cell>
          <cell r="C582" t="str">
            <v>Samoa</v>
          </cell>
          <cell r="D582">
            <v>2022</v>
          </cell>
          <cell r="E582" t="str">
            <v>FLU_ELDERLY</v>
          </cell>
          <cell r="F582" t="str">
            <v>Influenza older persons</v>
          </cell>
          <cell r="G582" t="str">
            <v>ADMIN</v>
          </cell>
          <cell r="H582" t="str">
            <v>Administrative coverage</v>
          </cell>
          <cell r="I582"/>
          <cell r="J582"/>
          <cell r="K582"/>
        </row>
        <row r="583">
          <cell r="B583" t="str">
            <v>SMR</v>
          </cell>
          <cell r="C583" t="str">
            <v>San Marino</v>
          </cell>
          <cell r="D583">
            <v>2022</v>
          </cell>
          <cell r="E583" t="str">
            <v>FLU_ELDERLY</v>
          </cell>
          <cell r="F583" t="str">
            <v>Influenza older persons</v>
          </cell>
          <cell r="G583" t="str">
            <v>ADMIN</v>
          </cell>
          <cell r="H583" t="str">
            <v>Administrative coverage</v>
          </cell>
          <cell r="I583">
            <v>7031</v>
          </cell>
          <cell r="J583">
            <v>3002</v>
          </cell>
          <cell r="K583">
            <v>42.7</v>
          </cell>
        </row>
        <row r="584">
          <cell r="B584" t="str">
            <v>SAU</v>
          </cell>
          <cell r="C584" t="str">
            <v>Saudi Arabia</v>
          </cell>
          <cell r="D584">
            <v>2022</v>
          </cell>
          <cell r="E584" t="str">
            <v>FLU_ELDERLY</v>
          </cell>
          <cell r="F584" t="str">
            <v>Influenza older persons</v>
          </cell>
          <cell r="G584" t="str">
            <v>ADMIN</v>
          </cell>
          <cell r="H584" t="str">
            <v>Administrative coverage</v>
          </cell>
          <cell r="I584">
            <v>1950000</v>
          </cell>
          <cell r="J584">
            <v>232650</v>
          </cell>
          <cell r="K584">
            <v>11.93</v>
          </cell>
        </row>
        <row r="585">
          <cell r="B585" t="str">
            <v>SEN</v>
          </cell>
          <cell r="C585" t="str">
            <v>Senegal</v>
          </cell>
          <cell r="D585">
            <v>2022</v>
          </cell>
          <cell r="E585" t="str">
            <v>FLU_ELDERLY</v>
          </cell>
          <cell r="F585" t="str">
            <v>Influenza older persons</v>
          </cell>
          <cell r="G585" t="str">
            <v>ADMIN</v>
          </cell>
          <cell r="H585" t="str">
            <v>Administrative coverage</v>
          </cell>
          <cell r="I585"/>
          <cell r="J585"/>
          <cell r="K585"/>
        </row>
        <row r="586">
          <cell r="B586" t="str">
            <v>SRB</v>
          </cell>
          <cell r="C586" t="str">
            <v>Serbia</v>
          </cell>
          <cell r="D586">
            <v>2022</v>
          </cell>
          <cell r="E586" t="str">
            <v>FLU_ELDERLY</v>
          </cell>
          <cell r="F586" t="str">
            <v>Influenza older persons</v>
          </cell>
          <cell r="G586" t="str">
            <v>ADMIN</v>
          </cell>
          <cell r="H586" t="str">
            <v>Administrative coverage</v>
          </cell>
          <cell r="I586">
            <v>1454228</v>
          </cell>
          <cell r="J586">
            <v>220989</v>
          </cell>
          <cell r="K586">
            <v>15.2</v>
          </cell>
        </row>
        <row r="587">
          <cell r="B587" t="str">
            <v>SYC</v>
          </cell>
          <cell r="C587" t="str">
            <v>Seychelles</v>
          </cell>
          <cell r="D587">
            <v>2022</v>
          </cell>
          <cell r="E587" t="str">
            <v>FLU_ELDERLY</v>
          </cell>
          <cell r="F587" t="str">
            <v>Influenza older persons</v>
          </cell>
          <cell r="G587" t="str">
            <v>ADMIN</v>
          </cell>
          <cell r="H587" t="str">
            <v>Administrative coverage</v>
          </cell>
          <cell r="I587"/>
          <cell r="J587"/>
          <cell r="K587"/>
        </row>
        <row r="588">
          <cell r="B588" t="str">
            <v>SLE</v>
          </cell>
          <cell r="C588" t="str">
            <v>Sierra Leone</v>
          </cell>
          <cell r="D588">
            <v>2022</v>
          </cell>
          <cell r="E588" t="str">
            <v>FLU_ELDERLY</v>
          </cell>
          <cell r="F588" t="str">
            <v>Influenza older persons</v>
          </cell>
          <cell r="G588" t="str">
            <v>ADMIN</v>
          </cell>
          <cell r="H588" t="str">
            <v>Administrative coverage</v>
          </cell>
          <cell r="I588"/>
          <cell r="J588"/>
          <cell r="K588"/>
        </row>
        <row r="589">
          <cell r="B589" t="str">
            <v>SGP</v>
          </cell>
          <cell r="C589" t="str">
            <v>Singapore</v>
          </cell>
          <cell r="D589">
            <v>2022</v>
          </cell>
          <cell r="E589" t="str">
            <v>FLU_ELDERLY</v>
          </cell>
          <cell r="F589" t="str">
            <v>Influenza older persons</v>
          </cell>
          <cell r="G589" t="str">
            <v>ADMIN</v>
          </cell>
          <cell r="H589" t="str">
            <v>Administrative coverage</v>
          </cell>
          <cell r="I589"/>
          <cell r="J589"/>
          <cell r="K589"/>
        </row>
        <row r="590">
          <cell r="B590" t="str">
            <v>SVK</v>
          </cell>
          <cell r="C590" t="str">
            <v>Slovakia</v>
          </cell>
          <cell r="D590">
            <v>2022</v>
          </cell>
          <cell r="E590" t="str">
            <v>FLU_ELDERLY</v>
          </cell>
          <cell r="F590" t="str">
            <v>Influenza older persons</v>
          </cell>
          <cell r="G590" t="str">
            <v>ADMIN</v>
          </cell>
          <cell r="H590" t="str">
            <v>Administrative coverage</v>
          </cell>
          <cell r="I590">
            <v>1361346</v>
          </cell>
          <cell r="J590">
            <v>176033</v>
          </cell>
          <cell r="K590">
            <v>12.93</v>
          </cell>
        </row>
        <row r="591">
          <cell r="B591" t="str">
            <v>SVN</v>
          </cell>
          <cell r="C591" t="str">
            <v>Slovenia</v>
          </cell>
          <cell r="D591">
            <v>2022</v>
          </cell>
          <cell r="E591" t="str">
            <v>FLU_ELDERLY</v>
          </cell>
          <cell r="F591" t="str">
            <v>Influenza older persons</v>
          </cell>
          <cell r="G591" t="str">
            <v>ADMIN</v>
          </cell>
          <cell r="H591" t="str">
            <v>Administrative coverage</v>
          </cell>
          <cell r="I591">
            <v>440649</v>
          </cell>
          <cell r="J591">
            <v>107785</v>
          </cell>
          <cell r="K591">
            <v>24.46</v>
          </cell>
        </row>
        <row r="592">
          <cell r="B592" t="str">
            <v>SLB</v>
          </cell>
          <cell r="C592" t="str">
            <v>Solomon Islands</v>
          </cell>
          <cell r="D592">
            <v>2022</v>
          </cell>
          <cell r="E592" t="str">
            <v>FLU_ELDERLY</v>
          </cell>
          <cell r="F592" t="str">
            <v>Influenza older persons</v>
          </cell>
          <cell r="G592" t="str">
            <v>ADMIN</v>
          </cell>
          <cell r="H592" t="str">
            <v>Administrative coverage</v>
          </cell>
          <cell r="I592"/>
          <cell r="J592"/>
          <cell r="K592"/>
        </row>
        <row r="593">
          <cell r="B593" t="str">
            <v>SOM</v>
          </cell>
          <cell r="C593" t="str">
            <v>Somalia</v>
          </cell>
          <cell r="D593">
            <v>2022</v>
          </cell>
          <cell r="E593" t="str">
            <v>FLU_ELDERLY</v>
          </cell>
          <cell r="F593" t="str">
            <v>Influenza older persons</v>
          </cell>
          <cell r="G593" t="str">
            <v>ADMIN</v>
          </cell>
          <cell r="H593" t="str">
            <v>Administrative coverage</v>
          </cell>
          <cell r="I593"/>
          <cell r="J593"/>
          <cell r="K593"/>
        </row>
        <row r="594">
          <cell r="B594" t="str">
            <v>ZAF</v>
          </cell>
          <cell r="C594" t="str">
            <v>South Africa</v>
          </cell>
          <cell r="D594">
            <v>2022</v>
          </cell>
          <cell r="E594" t="str">
            <v>FLU_ELDERLY</v>
          </cell>
          <cell r="F594" t="str">
            <v>Influenza older persons</v>
          </cell>
          <cell r="G594" t="str">
            <v>ADMIN</v>
          </cell>
          <cell r="H594" t="str">
            <v>Administrative coverage</v>
          </cell>
          <cell r="I594">
            <v>65</v>
          </cell>
          <cell r="J594"/>
          <cell r="K594"/>
        </row>
        <row r="595">
          <cell r="B595" t="str">
            <v>SSD</v>
          </cell>
          <cell r="C595" t="str">
            <v>South Sudan</v>
          </cell>
          <cell r="D595">
            <v>2022</v>
          </cell>
          <cell r="E595" t="str">
            <v>FLU_ELDERLY</v>
          </cell>
          <cell r="F595" t="str">
            <v>Influenza older persons</v>
          </cell>
          <cell r="G595" t="str">
            <v>ADMIN</v>
          </cell>
          <cell r="H595" t="str">
            <v>Administrative coverage</v>
          </cell>
          <cell r="I595"/>
          <cell r="J595"/>
          <cell r="K595"/>
        </row>
        <row r="596">
          <cell r="B596" t="str">
            <v>ESP</v>
          </cell>
          <cell r="C596" t="str">
            <v>Spain</v>
          </cell>
          <cell r="D596">
            <v>2022</v>
          </cell>
          <cell r="E596" t="str">
            <v>FLU_ELDERLY</v>
          </cell>
          <cell r="F596" t="str">
            <v>Influenza older persons</v>
          </cell>
          <cell r="G596" t="str">
            <v>ADMIN</v>
          </cell>
          <cell r="H596" t="str">
            <v>Administrative coverage</v>
          </cell>
          <cell r="I596">
            <v>9885248</v>
          </cell>
          <cell r="J596">
            <v>6390213</v>
          </cell>
          <cell r="K596">
            <v>64.599999999999994</v>
          </cell>
        </row>
        <row r="597">
          <cell r="B597" t="str">
            <v>LKA</v>
          </cell>
          <cell r="C597" t="str">
            <v>Sri Lanka</v>
          </cell>
          <cell r="D597">
            <v>2022</v>
          </cell>
          <cell r="E597" t="str">
            <v>FLU_ELDERLY</v>
          </cell>
          <cell r="F597" t="str">
            <v>Influenza older persons</v>
          </cell>
          <cell r="G597" t="str">
            <v>ADMIN</v>
          </cell>
          <cell r="H597" t="str">
            <v>Administrative coverage</v>
          </cell>
          <cell r="I597"/>
          <cell r="J597"/>
          <cell r="K597"/>
        </row>
        <row r="598">
          <cell r="B598" t="str">
            <v>SDN</v>
          </cell>
          <cell r="C598" t="str">
            <v>Sudan</v>
          </cell>
          <cell r="D598">
            <v>2022</v>
          </cell>
          <cell r="E598" t="str">
            <v>FLU_ELDERLY</v>
          </cell>
          <cell r="F598" t="str">
            <v>Influenza older persons</v>
          </cell>
          <cell r="G598" t="str">
            <v>ADMIN</v>
          </cell>
          <cell r="H598" t="str">
            <v>Administrative coverage</v>
          </cell>
          <cell r="I598"/>
          <cell r="J598"/>
          <cell r="K598"/>
        </row>
        <row r="599">
          <cell r="B599" t="str">
            <v>SUR</v>
          </cell>
          <cell r="C599" t="str">
            <v>Suriname</v>
          </cell>
          <cell r="D599">
            <v>2022</v>
          </cell>
          <cell r="E599" t="str">
            <v>FLU_ELDERLY</v>
          </cell>
          <cell r="F599" t="str">
            <v>Influenza older persons</v>
          </cell>
          <cell r="G599" t="str">
            <v>ADMIN</v>
          </cell>
          <cell r="H599" t="str">
            <v>Administrative coverage</v>
          </cell>
          <cell r="I599"/>
          <cell r="J599"/>
          <cell r="K599"/>
        </row>
        <row r="600">
          <cell r="B600" t="str">
            <v>SWE</v>
          </cell>
          <cell r="C600" t="str">
            <v>Sweden</v>
          </cell>
          <cell r="D600">
            <v>2022</v>
          </cell>
          <cell r="E600" t="str">
            <v>FLU_ELDERLY</v>
          </cell>
          <cell r="F600" t="str">
            <v>Influenza older persons</v>
          </cell>
          <cell r="G600" t="str">
            <v>ADMIN</v>
          </cell>
          <cell r="H600" t="str">
            <v>Administrative coverage</v>
          </cell>
          <cell r="I600">
            <v>2118766</v>
          </cell>
          <cell r="J600">
            <v>1474700</v>
          </cell>
          <cell r="K600">
            <v>70</v>
          </cell>
        </row>
        <row r="601">
          <cell r="B601" t="str">
            <v>CHE</v>
          </cell>
          <cell r="C601" t="str">
            <v>Switzerland</v>
          </cell>
          <cell r="D601">
            <v>2022</v>
          </cell>
          <cell r="E601" t="str">
            <v>FLU_ELDERLY</v>
          </cell>
          <cell r="F601" t="str">
            <v>Influenza older persons</v>
          </cell>
          <cell r="G601" t="str">
            <v>ADMIN</v>
          </cell>
          <cell r="H601" t="str">
            <v>Administrative coverage</v>
          </cell>
          <cell r="I601"/>
          <cell r="J601"/>
          <cell r="K601">
            <v>37</v>
          </cell>
        </row>
        <row r="602">
          <cell r="B602" t="str">
            <v>SYR</v>
          </cell>
          <cell r="C602" t="str">
            <v>Syrian Arab Republic</v>
          </cell>
          <cell r="D602">
            <v>2022</v>
          </cell>
          <cell r="E602" t="str">
            <v>FLU_ELDERLY</v>
          </cell>
          <cell r="F602" t="str">
            <v>Influenza older persons</v>
          </cell>
          <cell r="G602" t="str">
            <v>ADMIN</v>
          </cell>
          <cell r="H602" t="str">
            <v>Administrative coverage</v>
          </cell>
          <cell r="I602"/>
          <cell r="J602"/>
          <cell r="K602"/>
        </row>
        <row r="603">
          <cell r="B603" t="str">
            <v>TJK</v>
          </cell>
          <cell r="C603" t="str">
            <v>Tajikistan</v>
          </cell>
          <cell r="D603">
            <v>2022</v>
          </cell>
          <cell r="E603" t="str">
            <v>FLU_ELDERLY</v>
          </cell>
          <cell r="F603" t="str">
            <v>Influenza older persons</v>
          </cell>
          <cell r="G603" t="str">
            <v>ADMIN</v>
          </cell>
          <cell r="H603" t="str">
            <v>Administrative coverage</v>
          </cell>
          <cell r="I603"/>
          <cell r="J603"/>
          <cell r="K603"/>
        </row>
        <row r="604">
          <cell r="B604" t="str">
            <v>THA</v>
          </cell>
          <cell r="C604" t="str">
            <v>Thailand</v>
          </cell>
          <cell r="D604">
            <v>2022</v>
          </cell>
          <cell r="E604" t="str">
            <v>FLU_ELDERLY</v>
          </cell>
          <cell r="F604" t="str">
            <v>Influenza older persons</v>
          </cell>
          <cell r="G604" t="str">
            <v>ADMIN</v>
          </cell>
          <cell r="H604" t="str">
            <v>Administrative coverage</v>
          </cell>
          <cell r="I604">
            <v>1649840</v>
          </cell>
          <cell r="J604">
            <v>1338957</v>
          </cell>
          <cell r="K604">
            <v>81.16</v>
          </cell>
        </row>
        <row r="605">
          <cell r="B605" t="str">
            <v>TLS</v>
          </cell>
          <cell r="C605" t="str">
            <v>Timor-Leste</v>
          </cell>
          <cell r="D605">
            <v>2022</v>
          </cell>
          <cell r="E605" t="str">
            <v>FLU_ELDERLY</v>
          </cell>
          <cell r="F605" t="str">
            <v>Influenza older persons</v>
          </cell>
          <cell r="G605" t="str">
            <v>ADMIN</v>
          </cell>
          <cell r="H605" t="str">
            <v>Administrative coverage</v>
          </cell>
          <cell r="I605"/>
          <cell r="J605"/>
          <cell r="K605"/>
        </row>
        <row r="606">
          <cell r="B606" t="str">
            <v>TGO</v>
          </cell>
          <cell r="C606" t="str">
            <v>Togo</v>
          </cell>
          <cell r="D606">
            <v>2022</v>
          </cell>
          <cell r="E606" t="str">
            <v>FLU_ELDERLY</v>
          </cell>
          <cell r="F606" t="str">
            <v>Influenza older persons</v>
          </cell>
          <cell r="G606" t="str">
            <v>ADMIN</v>
          </cell>
          <cell r="H606" t="str">
            <v>Administrative coverage</v>
          </cell>
          <cell r="I606"/>
          <cell r="J606"/>
          <cell r="K606"/>
        </row>
        <row r="607">
          <cell r="B607" t="str">
            <v>TKL</v>
          </cell>
          <cell r="C607" t="str">
            <v>Tokelau</v>
          </cell>
          <cell r="D607">
            <v>2022</v>
          </cell>
          <cell r="E607" t="str">
            <v>FLU_ELDERLY</v>
          </cell>
          <cell r="F607" t="str">
            <v>Influenza older persons</v>
          </cell>
          <cell r="G607" t="str">
            <v>ADMIN</v>
          </cell>
          <cell r="H607" t="str">
            <v>Administrative coverage</v>
          </cell>
          <cell r="I607"/>
          <cell r="J607"/>
          <cell r="K607"/>
        </row>
        <row r="608">
          <cell r="B608" t="str">
            <v>TON</v>
          </cell>
          <cell r="C608" t="str">
            <v>Tonga</v>
          </cell>
          <cell r="D608">
            <v>2022</v>
          </cell>
          <cell r="E608" t="str">
            <v>FLU_ELDERLY</v>
          </cell>
          <cell r="F608" t="str">
            <v>Influenza older persons</v>
          </cell>
          <cell r="G608" t="str">
            <v>ADMIN</v>
          </cell>
          <cell r="H608" t="str">
            <v>Administrative coverage</v>
          </cell>
          <cell r="I608"/>
          <cell r="J608"/>
          <cell r="K608"/>
        </row>
        <row r="609">
          <cell r="B609" t="str">
            <v>TTO</v>
          </cell>
          <cell r="C609" t="str">
            <v>Trinidad and Tobago</v>
          </cell>
          <cell r="D609">
            <v>2022</v>
          </cell>
          <cell r="E609" t="str">
            <v>FLU_ELDERLY</v>
          </cell>
          <cell r="F609" t="str">
            <v>Influenza older persons</v>
          </cell>
          <cell r="G609" t="str">
            <v>ADMIN</v>
          </cell>
          <cell r="H609" t="str">
            <v>Administrative coverage</v>
          </cell>
          <cell r="I609"/>
          <cell r="J609"/>
          <cell r="K609"/>
        </row>
        <row r="610">
          <cell r="B610" t="str">
            <v>TUN</v>
          </cell>
          <cell r="C610" t="str">
            <v>Tunisia</v>
          </cell>
          <cell r="D610">
            <v>2022</v>
          </cell>
          <cell r="E610" t="str">
            <v>FLU_ELDERLY</v>
          </cell>
          <cell r="F610" t="str">
            <v>Influenza older persons</v>
          </cell>
          <cell r="G610" t="str">
            <v>ADMIN</v>
          </cell>
          <cell r="H610" t="str">
            <v>Administrative coverage</v>
          </cell>
          <cell r="I610"/>
          <cell r="J610"/>
          <cell r="K610"/>
        </row>
        <row r="611">
          <cell r="B611" t="str">
            <v>TUR</v>
          </cell>
          <cell r="C611" t="str">
            <v>Türkiye</v>
          </cell>
          <cell r="D611">
            <v>2022</v>
          </cell>
          <cell r="E611" t="str">
            <v>FLU_ELDERLY</v>
          </cell>
          <cell r="F611" t="str">
            <v>Influenza older persons</v>
          </cell>
          <cell r="G611" t="str">
            <v>ADMIN</v>
          </cell>
          <cell r="H611" t="str">
            <v>Administrative coverage</v>
          </cell>
          <cell r="I611"/>
          <cell r="J611"/>
          <cell r="K611"/>
        </row>
        <row r="612">
          <cell r="B612" t="str">
            <v>TKM</v>
          </cell>
          <cell r="C612" t="str">
            <v>Turkmenistan</v>
          </cell>
          <cell r="D612">
            <v>2022</v>
          </cell>
          <cell r="E612" t="str">
            <v>FLU_ELDERLY</v>
          </cell>
          <cell r="F612" t="str">
            <v>Influenza older persons</v>
          </cell>
          <cell r="G612" t="str">
            <v>ADMIN</v>
          </cell>
          <cell r="H612" t="str">
            <v>Administrative coverage</v>
          </cell>
          <cell r="I612"/>
          <cell r="J612">
            <v>21055</v>
          </cell>
          <cell r="K612"/>
        </row>
        <row r="613">
          <cell r="B613" t="str">
            <v>TCA</v>
          </cell>
          <cell r="C613" t="str">
            <v>Turks and Caicos Islands</v>
          </cell>
          <cell r="D613">
            <v>2022</v>
          </cell>
          <cell r="E613" t="str">
            <v>FLU_ELDERLY</v>
          </cell>
          <cell r="F613" t="str">
            <v>Influenza older persons</v>
          </cell>
          <cell r="G613" t="str">
            <v>ADMIN</v>
          </cell>
          <cell r="H613" t="str">
            <v>Administrative coverage</v>
          </cell>
          <cell r="I613"/>
          <cell r="J613"/>
          <cell r="K613"/>
        </row>
        <row r="614">
          <cell r="B614" t="str">
            <v>TUV</v>
          </cell>
          <cell r="C614" t="str">
            <v>Tuvalu</v>
          </cell>
          <cell r="D614">
            <v>2022</v>
          </cell>
          <cell r="E614" t="str">
            <v>FLU_ELDERLY</v>
          </cell>
          <cell r="F614" t="str">
            <v>Influenza older persons</v>
          </cell>
          <cell r="G614" t="str">
            <v>ADMIN</v>
          </cell>
          <cell r="H614" t="str">
            <v>Administrative coverage</v>
          </cell>
          <cell r="I614"/>
          <cell r="J614"/>
          <cell r="K614"/>
        </row>
        <row r="615">
          <cell r="B615" t="str">
            <v>UGA</v>
          </cell>
          <cell r="C615" t="str">
            <v>Uganda</v>
          </cell>
          <cell r="D615">
            <v>2022</v>
          </cell>
          <cell r="E615" t="str">
            <v>FLU_ELDERLY</v>
          </cell>
          <cell r="F615" t="str">
            <v>Influenza older persons</v>
          </cell>
          <cell r="G615" t="str">
            <v>ADMIN</v>
          </cell>
          <cell r="H615" t="str">
            <v>Administrative coverage</v>
          </cell>
          <cell r="I615"/>
          <cell r="J615"/>
          <cell r="K615"/>
        </row>
        <row r="616">
          <cell r="B616" t="str">
            <v>UKR</v>
          </cell>
          <cell r="C616" t="str">
            <v>Ukraine</v>
          </cell>
          <cell r="D616">
            <v>2022</v>
          </cell>
          <cell r="E616" t="str">
            <v>FLU_ELDERLY</v>
          </cell>
          <cell r="F616" t="str">
            <v>Influenza older persons</v>
          </cell>
          <cell r="G616" t="str">
            <v>ADMIN</v>
          </cell>
          <cell r="H616" t="str">
            <v>Administrative coverage</v>
          </cell>
          <cell r="I616">
            <v>7211190</v>
          </cell>
          <cell r="J616">
            <v>13877</v>
          </cell>
          <cell r="K616">
            <v>0.19</v>
          </cell>
        </row>
        <row r="617">
          <cell r="B617" t="str">
            <v>ARE</v>
          </cell>
          <cell r="C617" t="str">
            <v>United Arab Emirates</v>
          </cell>
          <cell r="D617">
            <v>2022</v>
          </cell>
          <cell r="E617" t="str">
            <v>FLU_ELDERLY</v>
          </cell>
          <cell r="F617" t="str">
            <v>Influenza older persons</v>
          </cell>
          <cell r="G617" t="str">
            <v>ADMIN</v>
          </cell>
          <cell r="H617" t="str">
            <v>Administrative coverage</v>
          </cell>
          <cell r="I617"/>
          <cell r="J617"/>
          <cell r="K617"/>
        </row>
        <row r="618">
          <cell r="B618" t="str">
            <v>GBR</v>
          </cell>
          <cell r="C618" t="str">
            <v>United Kingdom of Great Britain and Northern Ireland</v>
          </cell>
          <cell r="D618">
            <v>2022</v>
          </cell>
          <cell r="E618" t="str">
            <v>FLU_ELDERLY</v>
          </cell>
          <cell r="F618" t="str">
            <v>Influenza older persons</v>
          </cell>
          <cell r="G618" t="str">
            <v>ADMIN</v>
          </cell>
          <cell r="H618" t="str">
            <v>Administrative coverage</v>
          </cell>
          <cell r="I618">
            <v>12761344</v>
          </cell>
          <cell r="J618">
            <v>10743169</v>
          </cell>
          <cell r="K618">
            <v>84.19</v>
          </cell>
        </row>
        <row r="619">
          <cell r="B619" t="str">
            <v>TZA</v>
          </cell>
          <cell r="C619" t="str">
            <v>United Republic of Tanzania</v>
          </cell>
          <cell r="D619">
            <v>2022</v>
          </cell>
          <cell r="E619" t="str">
            <v>FLU_ELDERLY</v>
          </cell>
          <cell r="F619" t="str">
            <v>Influenza older persons</v>
          </cell>
          <cell r="G619" t="str">
            <v>ADMIN</v>
          </cell>
          <cell r="H619" t="str">
            <v>Administrative coverage</v>
          </cell>
          <cell r="I619"/>
          <cell r="J619"/>
          <cell r="K619"/>
        </row>
        <row r="620">
          <cell r="B620" t="str">
            <v>USA</v>
          </cell>
          <cell r="C620" t="str">
            <v>United States of America</v>
          </cell>
          <cell r="D620">
            <v>2022</v>
          </cell>
          <cell r="E620" t="str">
            <v>FLU_ELDERLY</v>
          </cell>
          <cell r="F620" t="str">
            <v>Influenza older persons</v>
          </cell>
          <cell r="G620" t="str">
            <v>ADMIN</v>
          </cell>
          <cell r="H620" t="str">
            <v>Administrative coverage</v>
          </cell>
          <cell r="I620"/>
          <cell r="J620"/>
          <cell r="K620"/>
        </row>
        <row r="621">
          <cell r="B621" t="str">
            <v>URY</v>
          </cell>
          <cell r="C621" t="str">
            <v>Uruguay</v>
          </cell>
          <cell r="D621">
            <v>2022</v>
          </cell>
          <cell r="E621" t="str">
            <v>FLU_ELDERLY</v>
          </cell>
          <cell r="F621" t="str">
            <v>Influenza older persons</v>
          </cell>
          <cell r="G621" t="str">
            <v>ADMIN</v>
          </cell>
          <cell r="H621" t="str">
            <v>Administrative coverage</v>
          </cell>
          <cell r="I621">
            <v>595570</v>
          </cell>
          <cell r="J621">
            <v>194897</v>
          </cell>
          <cell r="K621">
            <v>32.72</v>
          </cell>
        </row>
        <row r="622">
          <cell r="B622" t="str">
            <v>UZB</v>
          </cell>
          <cell r="C622" t="str">
            <v>Uzbekistan</v>
          </cell>
          <cell r="D622">
            <v>2022</v>
          </cell>
          <cell r="E622" t="str">
            <v>FLU_ELDERLY</v>
          </cell>
          <cell r="F622" t="str">
            <v>Influenza older persons</v>
          </cell>
          <cell r="G622" t="str">
            <v>ADMIN</v>
          </cell>
          <cell r="H622" t="str">
            <v>Administrative coverage</v>
          </cell>
          <cell r="I622">
            <v>250000</v>
          </cell>
          <cell r="J622">
            <v>224000</v>
          </cell>
          <cell r="K622"/>
        </row>
        <row r="623">
          <cell r="B623" t="str">
            <v>VUT</v>
          </cell>
          <cell r="C623" t="str">
            <v>Vanuatu</v>
          </cell>
          <cell r="D623">
            <v>2022</v>
          </cell>
          <cell r="E623" t="str">
            <v>FLU_ELDERLY</v>
          </cell>
          <cell r="F623" t="str">
            <v>Influenza older persons</v>
          </cell>
          <cell r="G623" t="str">
            <v>ADMIN</v>
          </cell>
          <cell r="H623" t="str">
            <v>Administrative coverage</v>
          </cell>
          <cell r="I623"/>
          <cell r="J623"/>
          <cell r="K623"/>
        </row>
        <row r="624">
          <cell r="B624" t="str">
            <v>VEN</v>
          </cell>
          <cell r="C624" t="str">
            <v>Venezuela (Bolivarian Republic of)</v>
          </cell>
          <cell r="D624">
            <v>2022</v>
          </cell>
          <cell r="E624" t="str">
            <v>FLU_ELDERLY</v>
          </cell>
          <cell r="F624" t="str">
            <v>Influenza older persons</v>
          </cell>
          <cell r="G624" t="str">
            <v>ADMIN</v>
          </cell>
          <cell r="H624" t="str">
            <v>Administrative coverage</v>
          </cell>
          <cell r="I624"/>
          <cell r="J624"/>
          <cell r="K624"/>
        </row>
        <row r="625">
          <cell r="B625" t="str">
            <v>VNM</v>
          </cell>
          <cell r="C625" t="str">
            <v>Viet Nam</v>
          </cell>
          <cell r="D625">
            <v>2022</v>
          </cell>
          <cell r="E625" t="str">
            <v>FLU_ELDERLY</v>
          </cell>
          <cell r="F625" t="str">
            <v>Influenza older persons</v>
          </cell>
          <cell r="G625" t="str">
            <v>ADMIN</v>
          </cell>
          <cell r="H625" t="str">
            <v>Administrative coverage</v>
          </cell>
          <cell r="I625"/>
          <cell r="J625"/>
          <cell r="K625"/>
        </row>
        <row r="626">
          <cell r="B626" t="str">
            <v>YEM</v>
          </cell>
          <cell r="C626" t="str">
            <v>Yemen</v>
          </cell>
          <cell r="D626">
            <v>2022</v>
          </cell>
          <cell r="E626" t="str">
            <v>FLU_ELDERLY</v>
          </cell>
          <cell r="F626" t="str">
            <v>Influenza older persons</v>
          </cell>
          <cell r="G626" t="str">
            <v>ADMIN</v>
          </cell>
          <cell r="H626" t="str">
            <v>Administrative coverage</v>
          </cell>
          <cell r="I626"/>
          <cell r="J626"/>
          <cell r="K626"/>
        </row>
        <row r="627">
          <cell r="B627" t="str">
            <v>ZMB</v>
          </cell>
          <cell r="C627" t="str">
            <v>Zambia</v>
          </cell>
          <cell r="D627">
            <v>2022</v>
          </cell>
          <cell r="E627" t="str">
            <v>FLU_ELDERLY</v>
          </cell>
          <cell r="F627" t="str">
            <v>Influenza older persons</v>
          </cell>
          <cell r="G627" t="str">
            <v>ADMIN</v>
          </cell>
          <cell r="H627" t="str">
            <v>Administrative coverage</v>
          </cell>
          <cell r="I627"/>
          <cell r="J627"/>
          <cell r="K627"/>
        </row>
        <row r="628">
          <cell r="B628" t="str">
            <v>ZWE</v>
          </cell>
          <cell r="C628" t="str">
            <v>Zimbabwe</v>
          </cell>
          <cell r="D628">
            <v>2022</v>
          </cell>
          <cell r="E628" t="str">
            <v>FLU_ELDERLY</v>
          </cell>
          <cell r="F628" t="str">
            <v>Influenza older persons</v>
          </cell>
          <cell r="G628" t="str">
            <v>ADMIN</v>
          </cell>
          <cell r="H628" t="str">
            <v>Administrative coverage</v>
          </cell>
          <cell r="I628"/>
          <cell r="J628"/>
          <cell r="K628"/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"/>
    </sheetNames>
    <sheetDataSet>
      <sheetData sheetId="0">
        <row r="2">
          <cell r="A2" t="str">
            <v>ABW</v>
          </cell>
          <cell r="B2" t="str">
            <v>Aruba (Neth.)</v>
          </cell>
          <cell r="C2">
            <v>84.17</v>
          </cell>
          <cell r="D2">
            <v>84.23</v>
          </cell>
          <cell r="E2">
            <v>84.24</v>
          </cell>
          <cell r="F2">
            <v>84.21</v>
          </cell>
          <cell r="G2">
            <v>84.23</v>
          </cell>
          <cell r="H2">
            <v>84.25</v>
          </cell>
          <cell r="I2">
            <v>84.2</v>
          </cell>
        </row>
        <row r="3">
          <cell r="A3" t="str">
            <v>AFG</v>
          </cell>
          <cell r="B3" t="str">
            <v>Afghanistan</v>
          </cell>
          <cell r="C3">
            <v>46.68</v>
          </cell>
          <cell r="D3">
            <v>46.32</v>
          </cell>
          <cell r="E3">
            <v>46.54</v>
          </cell>
          <cell r="F3">
            <v>46.31</v>
          </cell>
          <cell r="G3">
            <v>46</v>
          </cell>
          <cell r="H3">
            <v>46</v>
          </cell>
          <cell r="I3">
            <v>46</v>
          </cell>
        </row>
        <row r="4">
          <cell r="A4" t="str">
            <v>AGO</v>
          </cell>
          <cell r="B4" t="str">
            <v>Angola</v>
          </cell>
          <cell r="C4">
            <v>59.61</v>
          </cell>
          <cell r="D4">
            <v>59.96</v>
          </cell>
          <cell r="E4">
            <v>60.31</v>
          </cell>
          <cell r="F4">
            <v>60.14</v>
          </cell>
          <cell r="G4">
            <v>59.78</v>
          </cell>
          <cell r="H4">
            <v>59.98</v>
          </cell>
          <cell r="I4">
            <v>60.07</v>
          </cell>
        </row>
        <row r="5">
          <cell r="A5" t="str">
            <v>AIA</v>
          </cell>
          <cell r="B5" t="str">
            <v>Anguilla (U.K.)</v>
          </cell>
          <cell r="C5">
            <v>79.84</v>
          </cell>
          <cell r="D5">
            <v>79.97</v>
          </cell>
          <cell r="E5">
            <v>79.87</v>
          </cell>
          <cell r="F5">
            <v>79.989999999999995</v>
          </cell>
          <cell r="G5">
            <v>79.94</v>
          </cell>
          <cell r="H5">
            <v>79.900000000000006</v>
          </cell>
          <cell r="I5">
            <v>79.98</v>
          </cell>
        </row>
        <row r="6">
          <cell r="A6" t="str">
            <v>ALA</v>
          </cell>
          <cell r="B6" t="str">
            <v>ALA</v>
          </cell>
          <cell r="C6">
            <v>80.819999999999993</v>
          </cell>
          <cell r="D6">
            <v>80.900000000000006</v>
          </cell>
          <cell r="E6">
            <v>80.8</v>
          </cell>
          <cell r="F6">
            <v>80.61</v>
          </cell>
          <cell r="G6">
            <v>80.97</v>
          </cell>
          <cell r="H6">
            <v>80.84</v>
          </cell>
          <cell r="I6">
            <v>80.930000000000007</v>
          </cell>
        </row>
        <row r="7">
          <cell r="A7" t="str">
            <v>ALB</v>
          </cell>
          <cell r="B7" t="str">
            <v>Albania</v>
          </cell>
          <cell r="C7">
            <v>71.83</v>
          </cell>
          <cell r="D7">
            <v>71.63</v>
          </cell>
          <cell r="E7">
            <v>71.61</v>
          </cell>
          <cell r="F7">
            <v>71.540000000000006</v>
          </cell>
          <cell r="G7">
            <v>71.760000000000005</v>
          </cell>
          <cell r="H7">
            <v>71.81</v>
          </cell>
          <cell r="I7">
            <v>71.61</v>
          </cell>
        </row>
        <row r="8">
          <cell r="A8" t="str">
            <v>AND</v>
          </cell>
          <cell r="B8" t="str">
            <v>Andorra</v>
          </cell>
          <cell r="C8">
            <v>74.540000000000006</v>
          </cell>
          <cell r="D8">
            <v>74.010000000000005</v>
          </cell>
          <cell r="E8">
            <v>74.180000000000007</v>
          </cell>
          <cell r="F8">
            <v>73.989999999999995</v>
          </cell>
          <cell r="G8">
            <v>74.739999999999995</v>
          </cell>
          <cell r="H8">
            <v>74.02</v>
          </cell>
          <cell r="I8">
            <v>73.88</v>
          </cell>
        </row>
        <row r="9">
          <cell r="A9" t="str">
            <v>ARE</v>
          </cell>
          <cell r="B9" t="str">
            <v>United Arab Emirates</v>
          </cell>
          <cell r="C9">
            <v>47.52</v>
          </cell>
          <cell r="D9">
            <v>47.48</v>
          </cell>
          <cell r="E9">
            <v>47.58</v>
          </cell>
          <cell r="F9">
            <v>47.58</v>
          </cell>
          <cell r="G9">
            <v>47.48</v>
          </cell>
          <cell r="H9">
            <v>47.22</v>
          </cell>
          <cell r="I9">
            <v>47.4</v>
          </cell>
        </row>
        <row r="10">
          <cell r="A10" t="str">
            <v>ARG</v>
          </cell>
          <cell r="B10" t="str">
            <v>Argentina</v>
          </cell>
          <cell r="C10">
            <v>58.42</v>
          </cell>
          <cell r="D10">
            <v>58.74</v>
          </cell>
          <cell r="E10">
            <v>58.3</v>
          </cell>
          <cell r="F10">
            <v>58.82</v>
          </cell>
          <cell r="G10">
            <v>58.82</v>
          </cell>
          <cell r="H10">
            <v>58.14</v>
          </cell>
          <cell r="I10">
            <v>58.26</v>
          </cell>
        </row>
        <row r="11">
          <cell r="A11" t="str">
            <v>ARM</v>
          </cell>
          <cell r="B11" t="str">
            <v>Armenia</v>
          </cell>
          <cell r="C11">
            <v>69.760000000000005</v>
          </cell>
          <cell r="D11">
            <v>69.81</v>
          </cell>
          <cell r="E11">
            <v>69.83</v>
          </cell>
          <cell r="F11">
            <v>69.540000000000006</v>
          </cell>
          <cell r="G11">
            <v>69.400000000000006</v>
          </cell>
          <cell r="H11">
            <v>69.62</v>
          </cell>
          <cell r="I11">
            <v>69.61</v>
          </cell>
        </row>
        <row r="12">
          <cell r="A12" t="str">
            <v>ASM</v>
          </cell>
          <cell r="B12" t="str">
            <v>American Samoa (U.S.)</v>
          </cell>
          <cell r="C12">
            <v>82.23</v>
          </cell>
          <cell r="D12">
            <v>82.24</v>
          </cell>
          <cell r="E12">
            <v>82.35</v>
          </cell>
          <cell r="F12">
            <v>82.4</v>
          </cell>
          <cell r="G12">
            <v>82.3</v>
          </cell>
          <cell r="H12">
            <v>82.44</v>
          </cell>
          <cell r="I12">
            <v>82.49</v>
          </cell>
        </row>
        <row r="13">
          <cell r="A13" t="str">
            <v>ATF</v>
          </cell>
          <cell r="B13" t="str">
            <v>French Southern and Antarctic Lands (Fr.)</v>
          </cell>
          <cell r="C13">
            <v>83.77</v>
          </cell>
          <cell r="D13">
            <v>83.86</v>
          </cell>
          <cell r="E13">
            <v>83.98</v>
          </cell>
          <cell r="F13">
            <v>83.97</v>
          </cell>
          <cell r="G13">
            <v>83.86</v>
          </cell>
          <cell r="H13">
            <v>83.94</v>
          </cell>
          <cell r="I13">
            <v>83.93</v>
          </cell>
        </row>
        <row r="14">
          <cell r="A14" t="str">
            <v>ATG</v>
          </cell>
          <cell r="B14" t="str">
            <v>Antigua and Barbuda</v>
          </cell>
          <cell r="C14">
            <v>80.05</v>
          </cell>
          <cell r="D14">
            <v>80.03</v>
          </cell>
          <cell r="E14">
            <v>80.010000000000005</v>
          </cell>
          <cell r="F14">
            <v>80.040000000000006</v>
          </cell>
          <cell r="G14">
            <v>80.09</v>
          </cell>
          <cell r="H14">
            <v>79.98</v>
          </cell>
          <cell r="I14">
            <v>80.069999999999993</v>
          </cell>
        </row>
        <row r="15">
          <cell r="A15" t="str">
            <v>AUS</v>
          </cell>
          <cell r="B15" t="str">
            <v>Australia</v>
          </cell>
          <cell r="C15">
            <v>46.55</v>
          </cell>
          <cell r="D15">
            <v>47.08</v>
          </cell>
          <cell r="E15">
            <v>46.91</v>
          </cell>
          <cell r="F15">
            <v>47.17</v>
          </cell>
          <cell r="G15">
            <v>47.01</v>
          </cell>
          <cell r="H15">
            <v>46.84</v>
          </cell>
          <cell r="I15">
            <v>46.6</v>
          </cell>
        </row>
        <row r="16">
          <cell r="A16" t="str">
            <v>AUT</v>
          </cell>
          <cell r="B16" t="str">
            <v>Austria</v>
          </cell>
          <cell r="C16">
            <v>77.209999999999994</v>
          </cell>
          <cell r="D16">
            <v>77.27</v>
          </cell>
          <cell r="E16">
            <v>77.319999999999993</v>
          </cell>
          <cell r="F16">
            <v>77.150000000000006</v>
          </cell>
          <cell r="G16">
            <v>77.28</v>
          </cell>
          <cell r="H16">
            <v>77.08</v>
          </cell>
          <cell r="I16">
            <v>77.03</v>
          </cell>
        </row>
        <row r="17">
          <cell r="A17" t="str">
            <v>AZE</v>
          </cell>
          <cell r="B17" t="str">
            <v>Azerbaijan</v>
          </cell>
          <cell r="C17">
            <v>68.849999999999994</v>
          </cell>
          <cell r="D17">
            <v>68.91</v>
          </cell>
          <cell r="E17">
            <v>68.86</v>
          </cell>
          <cell r="F17">
            <v>68.599999999999994</v>
          </cell>
          <cell r="G17">
            <v>68.430000000000007</v>
          </cell>
          <cell r="H17">
            <v>68.73</v>
          </cell>
          <cell r="I17">
            <v>68.61</v>
          </cell>
        </row>
        <row r="18">
          <cell r="A18" t="str">
            <v>BDI</v>
          </cell>
          <cell r="B18" t="str">
            <v>Burundi</v>
          </cell>
          <cell r="C18">
            <v>68.92</v>
          </cell>
          <cell r="D18">
            <v>68.89</v>
          </cell>
          <cell r="E18">
            <v>68.87</v>
          </cell>
          <cell r="F18">
            <v>69.13</v>
          </cell>
          <cell r="G18">
            <v>69.08</v>
          </cell>
          <cell r="H18">
            <v>68.84</v>
          </cell>
          <cell r="I18">
            <v>68.77</v>
          </cell>
        </row>
        <row r="19">
          <cell r="A19" t="str">
            <v>BEL</v>
          </cell>
          <cell r="B19" t="str">
            <v>Belgium</v>
          </cell>
          <cell r="C19">
            <v>80.52</v>
          </cell>
          <cell r="D19">
            <v>80.319999999999993</v>
          </cell>
          <cell r="E19">
            <v>80.44</v>
          </cell>
          <cell r="F19">
            <v>80.150000000000006</v>
          </cell>
          <cell r="G19">
            <v>80.3</v>
          </cell>
          <cell r="H19">
            <v>80.08</v>
          </cell>
          <cell r="I19">
            <v>80.31</v>
          </cell>
        </row>
        <row r="20">
          <cell r="A20" t="str">
            <v>BEN</v>
          </cell>
          <cell r="B20" t="str">
            <v>Benin</v>
          </cell>
          <cell r="C20">
            <v>61.23</v>
          </cell>
          <cell r="D20">
            <v>61.06</v>
          </cell>
          <cell r="E20">
            <v>61.2</v>
          </cell>
          <cell r="F20">
            <v>61.06</v>
          </cell>
          <cell r="G20">
            <v>61.23</v>
          </cell>
          <cell r="H20">
            <v>61.22</v>
          </cell>
          <cell r="I20">
            <v>61.08</v>
          </cell>
        </row>
        <row r="21">
          <cell r="A21" t="str">
            <v>BES</v>
          </cell>
          <cell r="B21" t="str">
            <v>Bonaire, Sint Eustatius and Saba</v>
          </cell>
          <cell r="C21">
            <v>83.24</v>
          </cell>
          <cell r="D21">
            <v>83.26</v>
          </cell>
          <cell r="E21">
            <v>83.28</v>
          </cell>
          <cell r="F21">
            <v>83.21</v>
          </cell>
          <cell r="G21">
            <v>83.2</v>
          </cell>
          <cell r="H21">
            <v>83.26</v>
          </cell>
          <cell r="I21">
            <v>83.25</v>
          </cell>
        </row>
        <row r="22">
          <cell r="A22" t="str">
            <v>BFA</v>
          </cell>
          <cell r="B22" t="str">
            <v>Burkina Faso</v>
          </cell>
          <cell r="C22">
            <v>47.45</v>
          </cell>
          <cell r="D22">
            <v>47.41</v>
          </cell>
          <cell r="E22">
            <v>47.58</v>
          </cell>
          <cell r="F22">
            <v>47.58</v>
          </cell>
          <cell r="G22">
            <v>47.64</v>
          </cell>
          <cell r="H22">
            <v>47.65</v>
          </cell>
          <cell r="I22">
            <v>47.51</v>
          </cell>
        </row>
        <row r="23">
          <cell r="A23" t="str">
            <v>BGD</v>
          </cell>
          <cell r="B23" t="str">
            <v>Bangladesh</v>
          </cell>
          <cell r="C23">
            <v>76.459999999999994</v>
          </cell>
          <cell r="D23">
            <v>76.2</v>
          </cell>
          <cell r="E23">
            <v>76.14</v>
          </cell>
          <cell r="F23">
            <v>76.459999999999994</v>
          </cell>
          <cell r="G23">
            <v>76.290000000000006</v>
          </cell>
          <cell r="H23">
            <v>76.37</v>
          </cell>
          <cell r="I23">
            <v>76.150000000000006</v>
          </cell>
        </row>
        <row r="24">
          <cell r="A24" t="str">
            <v>BGR</v>
          </cell>
          <cell r="B24" t="str">
            <v>Bulgaria</v>
          </cell>
          <cell r="C24">
            <v>72.83</v>
          </cell>
          <cell r="D24">
            <v>72.5</v>
          </cell>
          <cell r="E24">
            <v>72.790000000000006</v>
          </cell>
          <cell r="F24">
            <v>72.19</v>
          </cell>
          <cell r="G24">
            <v>72.489999999999995</v>
          </cell>
          <cell r="H24">
            <v>72.8</v>
          </cell>
          <cell r="I24">
            <v>72.5</v>
          </cell>
        </row>
        <row r="25">
          <cell r="A25" t="str">
            <v>BHR</v>
          </cell>
          <cell r="B25" t="str">
            <v>Bahrain</v>
          </cell>
          <cell r="C25">
            <v>68.290000000000006</v>
          </cell>
          <cell r="D25">
            <v>68.02</v>
          </cell>
          <cell r="E25">
            <v>68.459999999999994</v>
          </cell>
          <cell r="F25">
            <v>68.430000000000007</v>
          </cell>
          <cell r="G25">
            <v>68.02</v>
          </cell>
          <cell r="H25">
            <v>67.88</v>
          </cell>
          <cell r="I25">
            <v>68.319999999999993</v>
          </cell>
        </row>
        <row r="26">
          <cell r="A26" t="str">
            <v>BHS</v>
          </cell>
          <cell r="B26" t="str">
            <v>The Bahamas</v>
          </cell>
          <cell r="C26">
            <v>76.709999999999994</v>
          </cell>
          <cell r="D26">
            <v>76.83</v>
          </cell>
          <cell r="E26">
            <v>76.77</v>
          </cell>
          <cell r="F26">
            <v>76.760000000000005</v>
          </cell>
          <cell r="G26">
            <v>76.78</v>
          </cell>
          <cell r="H26">
            <v>76.760000000000005</v>
          </cell>
          <cell r="I26">
            <v>76.84</v>
          </cell>
        </row>
        <row r="27">
          <cell r="A27" t="str">
            <v>BIH</v>
          </cell>
          <cell r="B27" t="str">
            <v>Bosnia and Herzegovina</v>
          </cell>
          <cell r="C27">
            <v>74.739999999999995</v>
          </cell>
          <cell r="D27">
            <v>74.47</v>
          </cell>
          <cell r="E27">
            <v>74.55</v>
          </cell>
          <cell r="F27">
            <v>74.62</v>
          </cell>
          <cell r="G27">
            <v>74.69</v>
          </cell>
          <cell r="H27">
            <v>74.81</v>
          </cell>
          <cell r="I27">
            <v>74.489999999999995</v>
          </cell>
        </row>
        <row r="28">
          <cell r="A28" t="str">
            <v>BLM</v>
          </cell>
          <cell r="B28" t="str">
            <v>Saint-Barthélemy (Fr.)</v>
          </cell>
          <cell r="C28">
            <v>79.849999999999994</v>
          </cell>
          <cell r="D28">
            <v>79.97</v>
          </cell>
          <cell r="E28">
            <v>79.87</v>
          </cell>
          <cell r="F28">
            <v>79.95</v>
          </cell>
          <cell r="G28">
            <v>79.95</v>
          </cell>
          <cell r="H28">
            <v>79.89</v>
          </cell>
          <cell r="I28">
            <v>79.97</v>
          </cell>
        </row>
        <row r="29">
          <cell r="A29" t="str">
            <v>BLR</v>
          </cell>
          <cell r="B29" t="str">
            <v>Belarus</v>
          </cell>
          <cell r="C29">
            <v>78.010000000000005</v>
          </cell>
          <cell r="D29">
            <v>78.180000000000007</v>
          </cell>
          <cell r="E29">
            <v>77.97</v>
          </cell>
          <cell r="F29">
            <v>78</v>
          </cell>
          <cell r="G29">
            <v>78.06</v>
          </cell>
          <cell r="H29">
            <v>78.23</v>
          </cell>
          <cell r="I29">
            <v>78</v>
          </cell>
        </row>
        <row r="30">
          <cell r="A30" t="str">
            <v>BLZ</v>
          </cell>
          <cell r="B30" t="str">
            <v>Belize</v>
          </cell>
          <cell r="C30">
            <v>80.66</v>
          </cell>
          <cell r="D30">
            <v>80.77</v>
          </cell>
          <cell r="E30">
            <v>80.680000000000007</v>
          </cell>
          <cell r="F30">
            <v>80.78</v>
          </cell>
          <cell r="G30">
            <v>80.569999999999993</v>
          </cell>
          <cell r="H30">
            <v>80.8</v>
          </cell>
          <cell r="I30">
            <v>80.790000000000006</v>
          </cell>
        </row>
        <row r="31">
          <cell r="A31" t="str">
            <v>BMU</v>
          </cell>
          <cell r="B31" t="str">
            <v>Bermuda (U.K.)</v>
          </cell>
          <cell r="C31">
            <v>75.680000000000007</v>
          </cell>
          <cell r="D31">
            <v>75.73</v>
          </cell>
          <cell r="E31">
            <v>75.760000000000005</v>
          </cell>
          <cell r="F31">
            <v>75.89</v>
          </cell>
          <cell r="G31">
            <v>75.760000000000005</v>
          </cell>
          <cell r="H31">
            <v>75.900000000000006</v>
          </cell>
          <cell r="I31">
            <v>75.83</v>
          </cell>
        </row>
        <row r="32">
          <cell r="A32" t="str">
            <v>BOL</v>
          </cell>
          <cell r="B32" t="str">
            <v>Bolivia</v>
          </cell>
          <cell r="C32">
            <v>66.22</v>
          </cell>
          <cell r="D32">
            <v>66.099999999999994</v>
          </cell>
          <cell r="E32">
            <v>65.88</v>
          </cell>
          <cell r="F32">
            <v>66.03</v>
          </cell>
          <cell r="G32">
            <v>65.98</v>
          </cell>
          <cell r="H32">
            <v>65.599999999999994</v>
          </cell>
          <cell r="I32">
            <v>65.77</v>
          </cell>
        </row>
        <row r="33">
          <cell r="A33" t="str">
            <v>BRA</v>
          </cell>
          <cell r="B33" t="str">
            <v>Brazil</v>
          </cell>
          <cell r="C33">
            <v>72.900000000000006</v>
          </cell>
          <cell r="D33">
            <v>72.900000000000006</v>
          </cell>
          <cell r="E33">
            <v>72.930000000000007</v>
          </cell>
          <cell r="F33">
            <v>72.819999999999993</v>
          </cell>
          <cell r="G33">
            <v>72.67</v>
          </cell>
          <cell r="H33">
            <v>72.760000000000005</v>
          </cell>
          <cell r="I33">
            <v>72.760000000000005</v>
          </cell>
        </row>
        <row r="34">
          <cell r="A34" t="str">
            <v>BRB</v>
          </cell>
          <cell r="B34" t="str">
            <v>Barbados</v>
          </cell>
          <cell r="C34">
            <v>81.03</v>
          </cell>
          <cell r="D34">
            <v>80.89</v>
          </cell>
          <cell r="E34">
            <v>80.930000000000007</v>
          </cell>
          <cell r="F34">
            <v>80.89</v>
          </cell>
          <cell r="G34">
            <v>80.900000000000006</v>
          </cell>
          <cell r="H34">
            <v>80.849999999999994</v>
          </cell>
          <cell r="I34">
            <v>80.97</v>
          </cell>
        </row>
        <row r="35">
          <cell r="A35" t="str">
            <v>BRN</v>
          </cell>
          <cell r="B35" t="str">
            <v>Brunei Darussalam</v>
          </cell>
          <cell r="C35">
            <v>83.37</v>
          </cell>
          <cell r="D35">
            <v>83.46</v>
          </cell>
          <cell r="E35">
            <v>83.47</v>
          </cell>
          <cell r="F35">
            <v>83.43</v>
          </cell>
          <cell r="G35">
            <v>83.42</v>
          </cell>
          <cell r="H35">
            <v>83.34</v>
          </cell>
          <cell r="I35">
            <v>83.43</v>
          </cell>
        </row>
        <row r="36">
          <cell r="A36" t="str">
            <v>BTN</v>
          </cell>
          <cell r="B36" t="str">
            <v>Bhutan</v>
          </cell>
          <cell r="C36">
            <v>81.680000000000007</v>
          </cell>
          <cell r="D36">
            <v>81.45</v>
          </cell>
          <cell r="E36">
            <v>81.5</v>
          </cell>
          <cell r="F36">
            <v>81.56</v>
          </cell>
          <cell r="G36">
            <v>81.56</v>
          </cell>
          <cell r="H36">
            <v>81.66</v>
          </cell>
          <cell r="I36">
            <v>81.510000000000005</v>
          </cell>
        </row>
        <row r="37">
          <cell r="A37" t="str">
            <v>BVT</v>
          </cell>
          <cell r="B37" t="str">
            <v>Bouvet Island (Nor.)</v>
          </cell>
          <cell r="C37">
            <v>83.14</v>
          </cell>
          <cell r="D37">
            <v>82.85</v>
          </cell>
          <cell r="E37">
            <v>83.13</v>
          </cell>
          <cell r="F37">
            <v>82.86</v>
          </cell>
          <cell r="G37">
            <v>83.09</v>
          </cell>
          <cell r="H37">
            <v>82.95</v>
          </cell>
          <cell r="I37">
            <v>82.95</v>
          </cell>
        </row>
        <row r="38">
          <cell r="A38" t="str">
            <v>BWA</v>
          </cell>
          <cell r="B38" t="str">
            <v>Botswana</v>
          </cell>
          <cell r="C38">
            <v>44.06</v>
          </cell>
          <cell r="D38">
            <v>44.35</v>
          </cell>
          <cell r="E38">
            <v>45.18</v>
          </cell>
          <cell r="F38">
            <v>44.33</v>
          </cell>
          <cell r="G38">
            <v>44.16</v>
          </cell>
          <cell r="H38">
            <v>44.71</v>
          </cell>
          <cell r="I38">
            <v>44.95</v>
          </cell>
        </row>
        <row r="39">
          <cell r="A39" t="str">
            <v>CAF</v>
          </cell>
          <cell r="B39" t="str">
            <v>Central African Republic</v>
          </cell>
          <cell r="C39">
            <v>64.81</v>
          </cell>
          <cell r="D39">
            <v>64.45</v>
          </cell>
          <cell r="E39">
            <v>64.52</v>
          </cell>
          <cell r="F39">
            <v>64.739999999999995</v>
          </cell>
          <cell r="G39">
            <v>64.63</v>
          </cell>
          <cell r="H39">
            <v>64.540000000000006</v>
          </cell>
          <cell r="I39">
            <v>64.39</v>
          </cell>
        </row>
        <row r="40">
          <cell r="A40" t="str">
            <v>CAN</v>
          </cell>
          <cell r="B40" t="str">
            <v>Canada</v>
          </cell>
          <cell r="C40">
            <v>72.459999999999994</v>
          </cell>
          <cell r="D40">
            <v>72.5</v>
          </cell>
          <cell r="E40">
            <v>72.42</v>
          </cell>
          <cell r="F40">
            <v>72.52</v>
          </cell>
          <cell r="G40">
            <v>72.459999999999994</v>
          </cell>
          <cell r="H40">
            <v>72.400000000000006</v>
          </cell>
          <cell r="I40">
            <v>72.42</v>
          </cell>
        </row>
        <row r="41">
          <cell r="A41" t="str">
            <v>CCK</v>
          </cell>
          <cell r="B41" t="str">
            <v>Cocos (Keeling) Islands (Aus.)</v>
          </cell>
          <cell r="C41">
            <v>80.19</v>
          </cell>
          <cell r="D41">
            <v>80.13</v>
          </cell>
          <cell r="E41">
            <v>80.08</v>
          </cell>
          <cell r="F41">
            <v>80.23</v>
          </cell>
          <cell r="G41">
            <v>80.23</v>
          </cell>
          <cell r="H41">
            <v>80.23</v>
          </cell>
          <cell r="I41">
            <v>80.16</v>
          </cell>
        </row>
        <row r="42">
          <cell r="A42" t="str">
            <v>CHE</v>
          </cell>
          <cell r="B42" t="str">
            <v>Switzerland</v>
          </cell>
          <cell r="C42">
            <v>77.38</v>
          </cell>
          <cell r="D42">
            <v>77.23</v>
          </cell>
          <cell r="E42">
            <v>77.489999999999995</v>
          </cell>
          <cell r="F42">
            <v>77.23</v>
          </cell>
          <cell r="G42">
            <v>77.53</v>
          </cell>
          <cell r="H42">
            <v>77.150000000000006</v>
          </cell>
          <cell r="I42">
            <v>77.260000000000005</v>
          </cell>
        </row>
        <row r="43">
          <cell r="A43" t="str">
            <v>CHL</v>
          </cell>
          <cell r="B43" t="str">
            <v>Chile</v>
          </cell>
          <cell r="C43">
            <v>63.16</v>
          </cell>
          <cell r="D43">
            <v>63.2</v>
          </cell>
          <cell r="E43">
            <v>63.13</v>
          </cell>
          <cell r="F43">
            <v>63.18</v>
          </cell>
          <cell r="G43">
            <v>63.24</v>
          </cell>
          <cell r="H43">
            <v>63.13</v>
          </cell>
          <cell r="I43">
            <v>63.05</v>
          </cell>
        </row>
        <row r="44">
          <cell r="A44" t="str">
            <v>CHN</v>
          </cell>
          <cell r="B44" t="str">
            <v>China</v>
          </cell>
          <cell r="C44">
            <v>60.64</v>
          </cell>
          <cell r="D44">
            <v>60.52</v>
          </cell>
          <cell r="E44">
            <v>60.71</v>
          </cell>
          <cell r="F44">
            <v>60.58</v>
          </cell>
          <cell r="G44">
            <v>60.49</v>
          </cell>
          <cell r="H44">
            <v>60.57</v>
          </cell>
          <cell r="I44">
            <v>60.53</v>
          </cell>
        </row>
        <row r="45">
          <cell r="A45" t="str">
            <v>CIV</v>
          </cell>
          <cell r="B45" t="str">
            <v>Côte d'Ivoire</v>
          </cell>
          <cell r="C45">
            <v>71.87</v>
          </cell>
          <cell r="D45">
            <v>71.58</v>
          </cell>
          <cell r="E45">
            <v>71.86</v>
          </cell>
          <cell r="F45">
            <v>71.959999999999994</v>
          </cell>
          <cell r="G45">
            <v>71.95</v>
          </cell>
          <cell r="H45">
            <v>71.86</v>
          </cell>
          <cell r="I45">
            <v>71.83</v>
          </cell>
        </row>
        <row r="46">
          <cell r="A46" t="str">
            <v>CMR</v>
          </cell>
          <cell r="B46" t="str">
            <v>Cameroon</v>
          </cell>
          <cell r="C46">
            <v>70.05</v>
          </cell>
          <cell r="D46">
            <v>69.760000000000005</v>
          </cell>
          <cell r="E46">
            <v>69.97</v>
          </cell>
          <cell r="F46">
            <v>69.94</v>
          </cell>
          <cell r="G46">
            <v>69.87</v>
          </cell>
          <cell r="H46">
            <v>69.94</v>
          </cell>
          <cell r="I46">
            <v>69.83</v>
          </cell>
        </row>
        <row r="47">
          <cell r="A47" t="str">
            <v>COD</v>
          </cell>
          <cell r="B47" t="str">
            <v>Democratic Republic of Congo</v>
          </cell>
          <cell r="C47">
            <v>76.09</v>
          </cell>
          <cell r="D47">
            <v>76.19</v>
          </cell>
          <cell r="E47">
            <v>76.14</v>
          </cell>
          <cell r="F47">
            <v>76.22</v>
          </cell>
          <cell r="G47">
            <v>76.19</v>
          </cell>
          <cell r="H47">
            <v>76.11</v>
          </cell>
          <cell r="I47">
            <v>76.11</v>
          </cell>
        </row>
        <row r="48">
          <cell r="A48" t="str">
            <v>COG</v>
          </cell>
          <cell r="B48" t="str">
            <v>Congo</v>
          </cell>
          <cell r="C48">
            <v>80.14</v>
          </cell>
          <cell r="D48">
            <v>80.23</v>
          </cell>
          <cell r="E48">
            <v>80.16</v>
          </cell>
          <cell r="F48">
            <v>80.209999999999994</v>
          </cell>
          <cell r="G48">
            <v>80.14</v>
          </cell>
          <cell r="H48">
            <v>80.150000000000006</v>
          </cell>
          <cell r="I48">
            <v>80.150000000000006</v>
          </cell>
        </row>
        <row r="49">
          <cell r="A49" t="str">
            <v>COK</v>
          </cell>
          <cell r="B49" t="str">
            <v>Cook Islands (N.Z.)</v>
          </cell>
          <cell r="C49">
            <v>78.91</v>
          </cell>
          <cell r="D49">
            <v>78.89</v>
          </cell>
          <cell r="E49">
            <v>78.790000000000006</v>
          </cell>
          <cell r="F49">
            <v>78.81</v>
          </cell>
          <cell r="G49">
            <v>78.92</v>
          </cell>
          <cell r="H49">
            <v>79.040000000000006</v>
          </cell>
          <cell r="I49">
            <v>79.02</v>
          </cell>
        </row>
        <row r="50">
          <cell r="A50" t="str">
            <v>COL</v>
          </cell>
          <cell r="B50" t="str">
            <v>Colombia</v>
          </cell>
          <cell r="C50">
            <v>81.06</v>
          </cell>
          <cell r="D50">
            <v>81.25</v>
          </cell>
          <cell r="E50">
            <v>81.17</v>
          </cell>
          <cell r="F50">
            <v>81.099999999999994</v>
          </cell>
          <cell r="G50">
            <v>81.010000000000005</v>
          </cell>
          <cell r="H50">
            <v>80.95</v>
          </cell>
          <cell r="I50">
            <v>81.069999999999993</v>
          </cell>
        </row>
        <row r="51">
          <cell r="A51" t="str">
            <v>COM</v>
          </cell>
          <cell r="B51" t="str">
            <v>Comoros</v>
          </cell>
          <cell r="C51">
            <v>80.14</v>
          </cell>
          <cell r="D51">
            <v>80.31</v>
          </cell>
          <cell r="E51">
            <v>80.2</v>
          </cell>
          <cell r="F51">
            <v>80.36</v>
          </cell>
          <cell r="G51">
            <v>80.22</v>
          </cell>
          <cell r="H51">
            <v>80.27</v>
          </cell>
          <cell r="I51">
            <v>80.27</v>
          </cell>
        </row>
        <row r="52">
          <cell r="A52" t="str">
            <v>CPV</v>
          </cell>
          <cell r="B52" t="str">
            <v>Cabo Verde</v>
          </cell>
          <cell r="C52">
            <v>78.53</v>
          </cell>
          <cell r="D52">
            <v>78.459999999999994</v>
          </cell>
          <cell r="E52">
            <v>78.569999999999993</v>
          </cell>
          <cell r="F52">
            <v>78.58</v>
          </cell>
          <cell r="G52">
            <v>78.66</v>
          </cell>
          <cell r="H52">
            <v>78.59</v>
          </cell>
          <cell r="I52">
            <v>78.58</v>
          </cell>
        </row>
        <row r="53">
          <cell r="A53" t="str">
            <v>CRI</v>
          </cell>
          <cell r="B53" t="str">
            <v>Costa Rica</v>
          </cell>
          <cell r="C53">
            <v>82.08</v>
          </cell>
          <cell r="D53">
            <v>82.1</v>
          </cell>
          <cell r="E53">
            <v>82.06</v>
          </cell>
          <cell r="F53">
            <v>82.07</v>
          </cell>
          <cell r="G53">
            <v>82.01</v>
          </cell>
          <cell r="H53">
            <v>81.99</v>
          </cell>
          <cell r="I53">
            <v>82.07</v>
          </cell>
        </row>
        <row r="54">
          <cell r="A54" t="str">
            <v>CUB</v>
          </cell>
          <cell r="B54" t="str">
            <v>Cuba</v>
          </cell>
          <cell r="C54">
            <v>74.180000000000007</v>
          </cell>
          <cell r="D54">
            <v>74.180000000000007</v>
          </cell>
          <cell r="E54">
            <v>74.08</v>
          </cell>
          <cell r="F54">
            <v>74.27</v>
          </cell>
          <cell r="G54">
            <v>74.12</v>
          </cell>
          <cell r="H54">
            <v>74.22</v>
          </cell>
          <cell r="I54">
            <v>74.22</v>
          </cell>
        </row>
        <row r="55">
          <cell r="A55" t="str">
            <v>CUW</v>
          </cell>
          <cell r="B55" t="str">
            <v>Curaçao (Neth.)</v>
          </cell>
          <cell r="C55">
            <v>83.97</v>
          </cell>
          <cell r="D55">
            <v>84</v>
          </cell>
          <cell r="E55">
            <v>84.05</v>
          </cell>
          <cell r="F55">
            <v>83.97</v>
          </cell>
          <cell r="G55">
            <v>83.98</v>
          </cell>
          <cell r="H55">
            <v>84.02</v>
          </cell>
          <cell r="I55">
            <v>84</v>
          </cell>
        </row>
        <row r="56">
          <cell r="A56" t="str">
            <v>CXR</v>
          </cell>
          <cell r="B56" t="str">
            <v>Christmas Island (Aus.)</v>
          </cell>
          <cell r="C56">
            <v>80.12</v>
          </cell>
          <cell r="D56">
            <v>79.989999999999995</v>
          </cell>
          <cell r="E56">
            <v>80.09</v>
          </cell>
          <cell r="F56">
            <v>80.2</v>
          </cell>
          <cell r="G56">
            <v>80.069999999999993</v>
          </cell>
          <cell r="H56">
            <v>80.17</v>
          </cell>
          <cell r="I56">
            <v>80.14</v>
          </cell>
        </row>
        <row r="57">
          <cell r="A57" t="str">
            <v>CYM</v>
          </cell>
          <cell r="B57" t="str">
            <v>Cayman Islands (U.K.)</v>
          </cell>
          <cell r="C57">
            <v>79.260000000000005</v>
          </cell>
          <cell r="D57">
            <v>79.31</v>
          </cell>
          <cell r="E57">
            <v>79.209999999999994</v>
          </cell>
          <cell r="F57">
            <v>79.27</v>
          </cell>
          <cell r="G57">
            <v>79.38</v>
          </cell>
          <cell r="H57">
            <v>79.39</v>
          </cell>
          <cell r="I57">
            <v>79.400000000000006</v>
          </cell>
        </row>
        <row r="58">
          <cell r="A58" t="str">
            <v>CYP</v>
          </cell>
          <cell r="B58" t="str">
            <v>Cyprus</v>
          </cell>
          <cell r="C58">
            <v>65.44</v>
          </cell>
          <cell r="D58">
            <v>65.400000000000006</v>
          </cell>
          <cell r="E58">
            <v>65.48</v>
          </cell>
          <cell r="F58">
            <v>65.37</v>
          </cell>
          <cell r="G58">
            <v>65.260000000000005</v>
          </cell>
          <cell r="H58">
            <v>65.42</v>
          </cell>
          <cell r="I58">
            <v>65.42</v>
          </cell>
        </row>
        <row r="59">
          <cell r="A59" t="str">
            <v>CZE</v>
          </cell>
          <cell r="B59" t="str">
            <v>Czech Republic</v>
          </cell>
          <cell r="C59">
            <v>77.63</v>
          </cell>
          <cell r="D59">
            <v>77.56</v>
          </cell>
          <cell r="E59">
            <v>77.569999999999993</v>
          </cell>
          <cell r="F59">
            <v>77.55</v>
          </cell>
          <cell r="G59">
            <v>77.5</v>
          </cell>
          <cell r="H59">
            <v>77.22</v>
          </cell>
          <cell r="I59">
            <v>77.19</v>
          </cell>
        </row>
        <row r="60">
          <cell r="A60" t="str">
            <v>DEU</v>
          </cell>
          <cell r="B60" t="str">
            <v>Germany</v>
          </cell>
          <cell r="C60">
            <v>77.91</v>
          </cell>
          <cell r="D60">
            <v>77.84</v>
          </cell>
          <cell r="E60">
            <v>77.87</v>
          </cell>
          <cell r="F60">
            <v>77.72</v>
          </cell>
          <cell r="G60">
            <v>77.760000000000005</v>
          </cell>
          <cell r="H60">
            <v>77.48</v>
          </cell>
          <cell r="I60">
            <v>77.56</v>
          </cell>
        </row>
        <row r="61">
          <cell r="A61" t="str">
            <v>DJI</v>
          </cell>
          <cell r="B61" t="str">
            <v>Djibouti</v>
          </cell>
          <cell r="C61">
            <v>55.34</v>
          </cell>
          <cell r="D61">
            <v>54.86</v>
          </cell>
          <cell r="E61">
            <v>55.34</v>
          </cell>
          <cell r="F61">
            <v>55.15</v>
          </cell>
          <cell r="G61">
            <v>54.93</v>
          </cell>
          <cell r="H61">
            <v>54.99</v>
          </cell>
          <cell r="I61">
            <v>54.84</v>
          </cell>
        </row>
        <row r="62">
          <cell r="A62" t="str">
            <v>DMA</v>
          </cell>
          <cell r="B62" t="str">
            <v>Dominica</v>
          </cell>
          <cell r="C62">
            <v>82.37</v>
          </cell>
          <cell r="D62">
            <v>82.23</v>
          </cell>
          <cell r="E62">
            <v>82.23</v>
          </cell>
          <cell r="F62">
            <v>82.24</v>
          </cell>
          <cell r="G62">
            <v>82.24</v>
          </cell>
          <cell r="H62">
            <v>82.24</v>
          </cell>
          <cell r="I62">
            <v>82.22</v>
          </cell>
        </row>
        <row r="63">
          <cell r="A63" t="str">
            <v>DNK</v>
          </cell>
          <cell r="B63" t="str">
            <v>Denmark</v>
          </cell>
          <cell r="C63">
            <v>82.02</v>
          </cell>
          <cell r="D63">
            <v>81.95</v>
          </cell>
          <cell r="E63">
            <v>81.92</v>
          </cell>
          <cell r="F63">
            <v>81.86</v>
          </cell>
          <cell r="G63">
            <v>81.77</v>
          </cell>
          <cell r="H63">
            <v>81.89</v>
          </cell>
          <cell r="I63">
            <v>82.02</v>
          </cell>
        </row>
        <row r="64">
          <cell r="A64" t="str">
            <v>DOM</v>
          </cell>
          <cell r="B64" t="str">
            <v>Dominican Republic</v>
          </cell>
          <cell r="C64">
            <v>77.14</v>
          </cell>
          <cell r="D64">
            <v>77.14</v>
          </cell>
          <cell r="E64">
            <v>77.12</v>
          </cell>
          <cell r="F64">
            <v>77.28</v>
          </cell>
          <cell r="G64">
            <v>77.239999999999995</v>
          </cell>
          <cell r="H64">
            <v>77.36</v>
          </cell>
          <cell r="I64">
            <v>77.25</v>
          </cell>
        </row>
        <row r="65">
          <cell r="A65" t="str">
            <v>DZA</v>
          </cell>
          <cell r="B65" t="str">
            <v>Algeria</v>
          </cell>
          <cell r="C65">
            <v>30.45</v>
          </cell>
          <cell r="D65">
            <v>30.34</v>
          </cell>
          <cell r="E65">
            <v>30.42</v>
          </cell>
          <cell r="F65">
            <v>30.14</v>
          </cell>
          <cell r="G65">
            <v>30.19</v>
          </cell>
          <cell r="H65">
            <v>30.4</v>
          </cell>
          <cell r="I65">
            <v>30.3</v>
          </cell>
        </row>
        <row r="66">
          <cell r="A66" t="str">
            <v>ECU</v>
          </cell>
          <cell r="B66" t="str">
            <v>Ecuador</v>
          </cell>
          <cell r="C66">
            <v>82.06</v>
          </cell>
          <cell r="D66">
            <v>82.14</v>
          </cell>
          <cell r="E66">
            <v>82.04</v>
          </cell>
          <cell r="F66">
            <v>81.96</v>
          </cell>
          <cell r="G66">
            <v>81.97</v>
          </cell>
          <cell r="H66">
            <v>81.849999999999994</v>
          </cell>
          <cell r="I66">
            <v>81.900000000000006</v>
          </cell>
        </row>
        <row r="67">
          <cell r="A67" t="str">
            <v>EGY</v>
          </cell>
          <cell r="B67" t="str">
            <v>Arab Republic of Egypt</v>
          </cell>
          <cell r="C67">
            <v>38.81</v>
          </cell>
          <cell r="D67">
            <v>38.81</v>
          </cell>
          <cell r="E67">
            <v>38.85</v>
          </cell>
          <cell r="F67">
            <v>38.81</v>
          </cell>
          <cell r="G67">
            <v>38.69</v>
          </cell>
          <cell r="H67">
            <v>38.76</v>
          </cell>
          <cell r="I67">
            <v>38.69</v>
          </cell>
        </row>
        <row r="68">
          <cell r="A68" t="str">
            <v>ERI</v>
          </cell>
          <cell r="B68" t="str">
            <v>Eritrea</v>
          </cell>
          <cell r="C68">
            <v>51.5</v>
          </cell>
          <cell r="D68">
            <v>51.32</v>
          </cell>
          <cell r="E68">
            <v>51.73</v>
          </cell>
          <cell r="F68">
            <v>51.46</v>
          </cell>
          <cell r="G68">
            <v>51.39</v>
          </cell>
          <cell r="H68">
            <v>51.49</v>
          </cell>
          <cell r="I68">
            <v>51.38</v>
          </cell>
        </row>
        <row r="69">
          <cell r="A69" t="str">
            <v>ESP</v>
          </cell>
          <cell r="B69" t="str">
            <v>Spain</v>
          </cell>
          <cell r="C69">
            <v>66.58</v>
          </cell>
          <cell r="D69">
            <v>66.38</v>
          </cell>
          <cell r="E69">
            <v>66.33</v>
          </cell>
          <cell r="F69">
            <v>66.08</v>
          </cell>
          <cell r="G69">
            <v>66.55</v>
          </cell>
          <cell r="H69">
            <v>66.12</v>
          </cell>
          <cell r="I69">
            <v>66.3</v>
          </cell>
        </row>
        <row r="70">
          <cell r="A70" t="str">
            <v>EST</v>
          </cell>
          <cell r="B70" t="str">
            <v>Estonia</v>
          </cell>
          <cell r="C70">
            <v>81.03</v>
          </cell>
          <cell r="D70">
            <v>81.02</v>
          </cell>
          <cell r="E70">
            <v>80.91</v>
          </cell>
          <cell r="F70">
            <v>80.760000000000005</v>
          </cell>
          <cell r="G70">
            <v>80.89</v>
          </cell>
          <cell r="H70">
            <v>81</v>
          </cell>
          <cell r="I70">
            <v>81.05</v>
          </cell>
        </row>
        <row r="71">
          <cell r="A71" t="str">
            <v>ETH</v>
          </cell>
          <cell r="B71" t="str">
            <v>Ethiopia</v>
          </cell>
          <cell r="C71">
            <v>55.89</v>
          </cell>
          <cell r="D71">
            <v>55.41</v>
          </cell>
          <cell r="E71">
            <v>55.87</v>
          </cell>
          <cell r="F71">
            <v>55.97</v>
          </cell>
          <cell r="G71">
            <v>55.53</v>
          </cell>
          <cell r="H71">
            <v>55.61</v>
          </cell>
          <cell r="I71">
            <v>55.6</v>
          </cell>
        </row>
        <row r="72">
          <cell r="A72" t="str">
            <v>FIN</v>
          </cell>
          <cell r="B72" t="str">
            <v>Finland</v>
          </cell>
          <cell r="C72">
            <v>80.95</v>
          </cell>
          <cell r="D72">
            <v>80.989999999999995</v>
          </cell>
          <cell r="E72">
            <v>80.75</v>
          </cell>
          <cell r="F72">
            <v>80.72</v>
          </cell>
          <cell r="G72">
            <v>80.650000000000006</v>
          </cell>
          <cell r="H72">
            <v>80.930000000000007</v>
          </cell>
          <cell r="I72">
            <v>80.87</v>
          </cell>
        </row>
        <row r="73">
          <cell r="A73" t="str">
            <v>FJI</v>
          </cell>
          <cell r="B73" t="str">
            <v>Fiji</v>
          </cell>
          <cell r="C73">
            <v>80.84</v>
          </cell>
          <cell r="D73">
            <v>80.98</v>
          </cell>
          <cell r="E73">
            <v>80.94</v>
          </cell>
          <cell r="F73">
            <v>80.849999999999994</v>
          </cell>
          <cell r="G73">
            <v>80.790000000000006</v>
          </cell>
          <cell r="H73">
            <v>80.930000000000007</v>
          </cell>
          <cell r="I73">
            <v>81</v>
          </cell>
        </row>
        <row r="74">
          <cell r="A74" t="str">
            <v>FRA</v>
          </cell>
          <cell r="B74" t="str">
            <v>France</v>
          </cell>
          <cell r="C74">
            <v>76.3</v>
          </cell>
          <cell r="D74">
            <v>76.05</v>
          </cell>
          <cell r="E74">
            <v>76.349999999999994</v>
          </cell>
          <cell r="F74">
            <v>76.010000000000005</v>
          </cell>
          <cell r="G74">
            <v>76.430000000000007</v>
          </cell>
          <cell r="H74">
            <v>75.98</v>
          </cell>
          <cell r="I74">
            <v>76.14</v>
          </cell>
        </row>
        <row r="75">
          <cell r="A75" t="str">
            <v>FRO</v>
          </cell>
          <cell r="B75" t="str">
            <v>Faroe Islands (Den.)</v>
          </cell>
          <cell r="C75">
            <v>81.66</v>
          </cell>
          <cell r="D75">
            <v>81.75</v>
          </cell>
          <cell r="E75">
            <v>81.56</v>
          </cell>
          <cell r="F75">
            <v>81.59</v>
          </cell>
          <cell r="G75">
            <v>81.849999999999994</v>
          </cell>
          <cell r="H75">
            <v>81.37</v>
          </cell>
          <cell r="I75">
            <v>81.67</v>
          </cell>
        </row>
        <row r="76">
          <cell r="A76" t="str">
            <v>FSM</v>
          </cell>
          <cell r="B76" t="str">
            <v>Federated States of Micronesia</v>
          </cell>
          <cell r="C76">
            <v>83.33</v>
          </cell>
          <cell r="D76">
            <v>83.43</v>
          </cell>
          <cell r="E76">
            <v>83.5</v>
          </cell>
          <cell r="F76">
            <v>83.42</v>
          </cell>
          <cell r="G76">
            <v>83.49</v>
          </cell>
          <cell r="H76">
            <v>83.48</v>
          </cell>
          <cell r="I76">
            <v>83.46</v>
          </cell>
        </row>
        <row r="77">
          <cell r="A77" t="str">
            <v>GAB</v>
          </cell>
          <cell r="B77" t="str">
            <v>Gabon</v>
          </cell>
          <cell r="C77">
            <v>80.8</v>
          </cell>
          <cell r="D77">
            <v>80.89</v>
          </cell>
          <cell r="E77">
            <v>80.89</v>
          </cell>
          <cell r="F77">
            <v>80.849999999999994</v>
          </cell>
          <cell r="G77">
            <v>80.77</v>
          </cell>
          <cell r="H77">
            <v>80.75</v>
          </cell>
          <cell r="I77">
            <v>80.760000000000005</v>
          </cell>
        </row>
        <row r="78">
          <cell r="A78" t="str">
            <v>GBR</v>
          </cell>
          <cell r="B78" t="str">
            <v>United Kingdom</v>
          </cell>
          <cell r="C78">
            <v>82.43</v>
          </cell>
          <cell r="D78">
            <v>82.24</v>
          </cell>
          <cell r="E78">
            <v>82.29</v>
          </cell>
          <cell r="F78">
            <v>82.3</v>
          </cell>
          <cell r="G78">
            <v>82.3</v>
          </cell>
          <cell r="H78">
            <v>82.34</v>
          </cell>
          <cell r="I78">
            <v>82.24</v>
          </cell>
        </row>
        <row r="79">
          <cell r="A79" t="str">
            <v>GEO</v>
          </cell>
          <cell r="B79" t="str">
            <v>Georgia</v>
          </cell>
          <cell r="C79">
            <v>74.239999999999995</v>
          </cell>
          <cell r="D79">
            <v>74.239999999999995</v>
          </cell>
          <cell r="E79">
            <v>74.03</v>
          </cell>
          <cell r="F79">
            <v>73.98</v>
          </cell>
          <cell r="G79">
            <v>74.040000000000006</v>
          </cell>
          <cell r="H79">
            <v>74.069999999999993</v>
          </cell>
          <cell r="I79">
            <v>73.94</v>
          </cell>
        </row>
        <row r="80">
          <cell r="A80" t="str">
            <v>GGY</v>
          </cell>
          <cell r="B80" t="str">
            <v>Guernsey (U.K.)</v>
          </cell>
          <cell r="C80">
            <v>80.81</v>
          </cell>
          <cell r="D80">
            <v>80.650000000000006</v>
          </cell>
          <cell r="E80">
            <v>80.680000000000007</v>
          </cell>
          <cell r="F80">
            <v>80.650000000000006</v>
          </cell>
          <cell r="G80">
            <v>80.89</v>
          </cell>
          <cell r="H80">
            <v>80.73</v>
          </cell>
          <cell r="I80">
            <v>80.75</v>
          </cell>
        </row>
        <row r="81">
          <cell r="A81" t="str">
            <v>GHA</v>
          </cell>
          <cell r="B81" t="str">
            <v>Ghana</v>
          </cell>
          <cell r="C81">
            <v>69.12</v>
          </cell>
          <cell r="D81">
            <v>68.72</v>
          </cell>
          <cell r="E81">
            <v>69.040000000000006</v>
          </cell>
          <cell r="F81">
            <v>69.040000000000006</v>
          </cell>
          <cell r="G81">
            <v>69.09</v>
          </cell>
          <cell r="H81">
            <v>68.98</v>
          </cell>
          <cell r="I81">
            <v>68.930000000000007</v>
          </cell>
        </row>
        <row r="82">
          <cell r="A82" t="str">
            <v>GIB</v>
          </cell>
          <cell r="B82" t="str">
            <v>Gibraltar (U.K.)</v>
          </cell>
          <cell r="C82">
            <v>76.760000000000005</v>
          </cell>
          <cell r="D82">
            <v>76.83</v>
          </cell>
          <cell r="E82">
            <v>77.02</v>
          </cell>
          <cell r="F82">
            <v>76.89</v>
          </cell>
          <cell r="G82">
            <v>76.98</v>
          </cell>
          <cell r="H82">
            <v>76.92</v>
          </cell>
          <cell r="I82">
            <v>76.849999999999994</v>
          </cell>
        </row>
        <row r="83">
          <cell r="A83" t="str">
            <v>GIN</v>
          </cell>
          <cell r="B83" t="str">
            <v>Guinea</v>
          </cell>
          <cell r="C83">
            <v>63.69</v>
          </cell>
          <cell r="D83">
            <v>63.29</v>
          </cell>
          <cell r="E83">
            <v>63.63</v>
          </cell>
          <cell r="F83">
            <v>63.69</v>
          </cell>
          <cell r="G83">
            <v>63.73</v>
          </cell>
          <cell r="H83">
            <v>63.54</v>
          </cell>
          <cell r="I83">
            <v>63.48</v>
          </cell>
        </row>
        <row r="84">
          <cell r="A84" t="str">
            <v>GLP</v>
          </cell>
          <cell r="B84" t="str">
            <v>GLP</v>
          </cell>
          <cell r="C84">
            <v>80.75</v>
          </cell>
          <cell r="D84">
            <v>80.66</v>
          </cell>
          <cell r="E84">
            <v>80.66</v>
          </cell>
          <cell r="F84">
            <v>80.66</v>
          </cell>
          <cell r="G84">
            <v>80.67</v>
          </cell>
          <cell r="H84">
            <v>80.62</v>
          </cell>
          <cell r="I84">
            <v>80.63</v>
          </cell>
        </row>
        <row r="85">
          <cell r="A85" t="str">
            <v>GMB</v>
          </cell>
          <cell r="B85" t="str">
            <v>The Gambia</v>
          </cell>
          <cell r="C85">
            <v>55.78</v>
          </cell>
          <cell r="D85">
            <v>55.64</v>
          </cell>
          <cell r="E85">
            <v>55.96</v>
          </cell>
          <cell r="F85">
            <v>55.88</v>
          </cell>
          <cell r="G85">
            <v>55.89</v>
          </cell>
          <cell r="H85">
            <v>55.76</v>
          </cell>
          <cell r="I85">
            <v>55.73</v>
          </cell>
        </row>
        <row r="86">
          <cell r="A86" t="str">
            <v>GNB</v>
          </cell>
          <cell r="B86" t="str">
            <v>Guinea-Bissau</v>
          </cell>
          <cell r="C86">
            <v>62.12</v>
          </cell>
          <cell r="D86">
            <v>62.07</v>
          </cell>
          <cell r="E86">
            <v>62.36</v>
          </cell>
          <cell r="F86">
            <v>62.48</v>
          </cell>
          <cell r="G86">
            <v>62.35</v>
          </cell>
          <cell r="H86">
            <v>62.14</v>
          </cell>
          <cell r="I86">
            <v>62.27</v>
          </cell>
        </row>
        <row r="87">
          <cell r="A87" t="str">
            <v>GNQ</v>
          </cell>
          <cell r="B87" t="str">
            <v>Equatorial Guinea</v>
          </cell>
          <cell r="C87">
            <v>83.63</v>
          </cell>
          <cell r="D87">
            <v>83.61</v>
          </cell>
          <cell r="E87">
            <v>83.63</v>
          </cell>
          <cell r="F87">
            <v>83.65</v>
          </cell>
          <cell r="G87">
            <v>83.58</v>
          </cell>
          <cell r="H87">
            <v>83.5</v>
          </cell>
          <cell r="I87">
            <v>83.63</v>
          </cell>
        </row>
        <row r="88">
          <cell r="A88" t="str">
            <v>GRC</v>
          </cell>
          <cell r="B88" t="str">
            <v>Greece</v>
          </cell>
          <cell r="C88">
            <v>69.72</v>
          </cell>
          <cell r="D88">
            <v>69.41</v>
          </cell>
          <cell r="E88">
            <v>69.58</v>
          </cell>
          <cell r="F88">
            <v>69.239999999999995</v>
          </cell>
          <cell r="G88">
            <v>69.540000000000006</v>
          </cell>
          <cell r="H88">
            <v>69.75</v>
          </cell>
          <cell r="I88">
            <v>69.459999999999994</v>
          </cell>
        </row>
        <row r="89">
          <cell r="A89" t="str">
            <v>GRD</v>
          </cell>
          <cell r="B89" t="str">
            <v>Grenada</v>
          </cell>
          <cell r="C89">
            <v>82.03</v>
          </cell>
          <cell r="D89">
            <v>81.97</v>
          </cell>
          <cell r="E89">
            <v>81.95</v>
          </cell>
          <cell r="F89">
            <v>81.900000000000006</v>
          </cell>
          <cell r="G89">
            <v>82</v>
          </cell>
          <cell r="H89">
            <v>81.91</v>
          </cell>
          <cell r="I89">
            <v>81.98</v>
          </cell>
        </row>
        <row r="90">
          <cell r="A90" t="str">
            <v>GRL</v>
          </cell>
          <cell r="B90" t="str">
            <v>Greenland (Den.)</v>
          </cell>
          <cell r="C90">
            <v>72.75</v>
          </cell>
          <cell r="D90">
            <v>72.72</v>
          </cell>
          <cell r="E90">
            <v>72.69</v>
          </cell>
          <cell r="F90">
            <v>72.72</v>
          </cell>
          <cell r="G90">
            <v>72.64</v>
          </cell>
          <cell r="H90">
            <v>72.680000000000007</v>
          </cell>
          <cell r="I90">
            <v>72.78</v>
          </cell>
        </row>
        <row r="91">
          <cell r="A91" t="str">
            <v>GTM</v>
          </cell>
          <cell r="B91" t="str">
            <v>Guatemala</v>
          </cell>
          <cell r="C91">
            <v>76.16</v>
          </cell>
          <cell r="D91">
            <v>76.3</v>
          </cell>
          <cell r="E91">
            <v>76.16</v>
          </cell>
          <cell r="F91">
            <v>76.260000000000005</v>
          </cell>
          <cell r="G91">
            <v>76.11</v>
          </cell>
          <cell r="H91">
            <v>76.36</v>
          </cell>
          <cell r="I91">
            <v>76.28</v>
          </cell>
        </row>
        <row r="92">
          <cell r="A92" t="str">
            <v>GUF</v>
          </cell>
          <cell r="B92" t="str">
            <v>GUF</v>
          </cell>
          <cell r="C92">
            <v>78.36</v>
          </cell>
          <cell r="D92">
            <v>78.67</v>
          </cell>
          <cell r="E92">
            <v>78.459999999999994</v>
          </cell>
          <cell r="F92">
            <v>78.23</v>
          </cell>
          <cell r="G92">
            <v>78.23</v>
          </cell>
          <cell r="H92">
            <v>78.239999999999995</v>
          </cell>
          <cell r="I92">
            <v>78.459999999999994</v>
          </cell>
        </row>
        <row r="93">
          <cell r="A93" t="str">
            <v>GUM</v>
          </cell>
          <cell r="B93" t="str">
            <v>Guam (U.S.)</v>
          </cell>
          <cell r="C93">
            <v>82.98</v>
          </cell>
          <cell r="D93">
            <v>83</v>
          </cell>
          <cell r="E93">
            <v>83.04</v>
          </cell>
          <cell r="F93">
            <v>82.96</v>
          </cell>
          <cell r="G93">
            <v>83.1</v>
          </cell>
          <cell r="H93">
            <v>83.09</v>
          </cell>
          <cell r="I93">
            <v>83.1</v>
          </cell>
        </row>
        <row r="94">
          <cell r="A94" t="str">
            <v>GUY</v>
          </cell>
          <cell r="B94" t="str">
            <v>Guyana</v>
          </cell>
          <cell r="C94">
            <v>78.44</v>
          </cell>
          <cell r="D94">
            <v>78.91</v>
          </cell>
          <cell r="E94">
            <v>78.75</v>
          </cell>
          <cell r="F94">
            <v>78.52</v>
          </cell>
          <cell r="G94">
            <v>78.36</v>
          </cell>
          <cell r="H94">
            <v>78.27</v>
          </cell>
          <cell r="I94">
            <v>78.47</v>
          </cell>
        </row>
        <row r="95">
          <cell r="A95" t="str">
            <v>HKG</v>
          </cell>
          <cell r="B95" t="str">
            <v>HKG</v>
          </cell>
          <cell r="C95">
            <v>78.760000000000005</v>
          </cell>
          <cell r="D95">
            <v>78.48</v>
          </cell>
          <cell r="E95">
            <v>78.83</v>
          </cell>
          <cell r="F95">
            <v>78.680000000000007</v>
          </cell>
          <cell r="G95">
            <v>78.69</v>
          </cell>
          <cell r="H95">
            <v>78.64</v>
          </cell>
          <cell r="I95">
            <v>78.67</v>
          </cell>
        </row>
        <row r="96">
          <cell r="A96" t="str">
            <v>HMD</v>
          </cell>
          <cell r="B96" t="str">
            <v>Heard Island and McDonald Islands (Aus.)</v>
          </cell>
          <cell r="C96">
            <v>82.64</v>
          </cell>
          <cell r="D96">
            <v>82.64</v>
          </cell>
          <cell r="E96">
            <v>82.72</v>
          </cell>
          <cell r="F96">
            <v>82.7</v>
          </cell>
          <cell r="G96">
            <v>82.67</v>
          </cell>
          <cell r="H96">
            <v>82.69</v>
          </cell>
          <cell r="I96">
            <v>82.72</v>
          </cell>
        </row>
        <row r="97">
          <cell r="A97" t="str">
            <v>HND</v>
          </cell>
          <cell r="B97" t="str">
            <v>Honduras</v>
          </cell>
          <cell r="C97">
            <v>75.95</v>
          </cell>
          <cell r="D97">
            <v>76.209999999999994</v>
          </cell>
          <cell r="E97">
            <v>76.05</v>
          </cell>
          <cell r="F97">
            <v>76.19</v>
          </cell>
          <cell r="G97">
            <v>75.95</v>
          </cell>
          <cell r="H97">
            <v>76.27</v>
          </cell>
          <cell r="I97">
            <v>76.22</v>
          </cell>
        </row>
        <row r="98">
          <cell r="A98" t="str">
            <v>HRV</v>
          </cell>
          <cell r="B98" t="str">
            <v>Croatia</v>
          </cell>
          <cell r="C98">
            <v>73.180000000000007</v>
          </cell>
          <cell r="D98">
            <v>73.06</v>
          </cell>
          <cell r="E98">
            <v>73.14</v>
          </cell>
          <cell r="F98">
            <v>73.25</v>
          </cell>
          <cell r="G98">
            <v>73.23</v>
          </cell>
          <cell r="H98">
            <v>73.45</v>
          </cell>
          <cell r="I98">
            <v>73.13</v>
          </cell>
        </row>
        <row r="99">
          <cell r="A99" t="str">
            <v>HTI</v>
          </cell>
          <cell r="B99" t="str">
            <v>Haiti</v>
          </cell>
          <cell r="C99">
            <v>75.59</v>
          </cell>
          <cell r="D99">
            <v>75.41</v>
          </cell>
          <cell r="E99">
            <v>75.48</v>
          </cell>
          <cell r="F99">
            <v>75.680000000000007</v>
          </cell>
          <cell r="G99">
            <v>75.67</v>
          </cell>
          <cell r="H99">
            <v>75.7</v>
          </cell>
          <cell r="I99">
            <v>75.599999999999994</v>
          </cell>
        </row>
        <row r="100">
          <cell r="A100" t="str">
            <v>HUN</v>
          </cell>
          <cell r="B100" t="str">
            <v>Hungary</v>
          </cell>
          <cell r="C100">
            <v>71.34</v>
          </cell>
          <cell r="D100">
            <v>71.34</v>
          </cell>
          <cell r="E100">
            <v>71.19</v>
          </cell>
          <cell r="F100">
            <v>71.260000000000005</v>
          </cell>
          <cell r="G100">
            <v>71.459999999999994</v>
          </cell>
          <cell r="H100">
            <v>71.53</v>
          </cell>
          <cell r="I100">
            <v>71.180000000000007</v>
          </cell>
        </row>
        <row r="101">
          <cell r="A101" t="str">
            <v>IDN</v>
          </cell>
          <cell r="B101" t="str">
            <v>Indonesia</v>
          </cell>
          <cell r="C101">
            <v>82.32</v>
          </cell>
          <cell r="D101">
            <v>82.4</v>
          </cell>
          <cell r="E101">
            <v>82.26</v>
          </cell>
          <cell r="F101">
            <v>82.26</v>
          </cell>
          <cell r="G101">
            <v>82.27</v>
          </cell>
          <cell r="H101">
            <v>82.28</v>
          </cell>
          <cell r="I101">
            <v>82.27</v>
          </cell>
        </row>
        <row r="102">
          <cell r="A102" t="str">
            <v>IMN</v>
          </cell>
          <cell r="B102" t="str">
            <v>Isle of Man (U.K.)</v>
          </cell>
          <cell r="C102">
            <v>81.39</v>
          </cell>
          <cell r="D102">
            <v>81.3</v>
          </cell>
          <cell r="E102">
            <v>81.290000000000006</v>
          </cell>
          <cell r="F102">
            <v>81.34</v>
          </cell>
          <cell r="G102">
            <v>81.31</v>
          </cell>
          <cell r="H102">
            <v>81.42</v>
          </cell>
          <cell r="I102">
            <v>81.290000000000006</v>
          </cell>
        </row>
        <row r="103">
          <cell r="A103" t="str">
            <v>IND</v>
          </cell>
          <cell r="B103" t="str">
            <v>India</v>
          </cell>
          <cell r="C103">
            <v>62.01</v>
          </cell>
          <cell r="D103">
            <v>61.84</v>
          </cell>
          <cell r="E103">
            <v>61.95</v>
          </cell>
          <cell r="F103">
            <v>62.4</v>
          </cell>
          <cell r="G103">
            <v>62.28</v>
          </cell>
          <cell r="H103">
            <v>62.21</v>
          </cell>
          <cell r="I103">
            <v>62.26</v>
          </cell>
        </row>
        <row r="104">
          <cell r="A104" t="str">
            <v>IOT</v>
          </cell>
          <cell r="B104" t="str">
            <v>British Indian Ocean Territory (U.K.)</v>
          </cell>
          <cell r="C104">
            <v>83.23</v>
          </cell>
          <cell r="D104">
            <v>83.22</v>
          </cell>
          <cell r="E104">
            <v>83.12</v>
          </cell>
          <cell r="F104">
            <v>83.22</v>
          </cell>
          <cell r="G104">
            <v>83.17</v>
          </cell>
          <cell r="H104">
            <v>83.25</v>
          </cell>
          <cell r="I104">
            <v>83.22</v>
          </cell>
        </row>
        <row r="105">
          <cell r="A105" t="str">
            <v>IRL</v>
          </cell>
          <cell r="B105" t="str">
            <v>Ireland</v>
          </cell>
          <cell r="C105">
            <v>82.97</v>
          </cell>
          <cell r="D105">
            <v>82.84</v>
          </cell>
          <cell r="E105">
            <v>82.92</v>
          </cell>
          <cell r="F105">
            <v>82.99</v>
          </cell>
          <cell r="G105">
            <v>83.04</v>
          </cell>
          <cell r="H105">
            <v>82.98</v>
          </cell>
          <cell r="I105">
            <v>82.89</v>
          </cell>
        </row>
        <row r="106">
          <cell r="A106" t="str">
            <v>IRN</v>
          </cell>
          <cell r="B106" t="str">
            <v>Islamic Republic of Iran</v>
          </cell>
          <cell r="C106">
            <v>41.73</v>
          </cell>
          <cell r="D106">
            <v>41.39</v>
          </cell>
          <cell r="E106">
            <v>41.84</v>
          </cell>
          <cell r="F106">
            <v>41.52</v>
          </cell>
          <cell r="G106">
            <v>41.36</v>
          </cell>
          <cell r="H106">
            <v>41.26</v>
          </cell>
          <cell r="I106">
            <v>41.22</v>
          </cell>
        </row>
        <row r="107">
          <cell r="A107" t="str">
            <v>IRQ</v>
          </cell>
          <cell r="B107" t="str">
            <v>Iraq</v>
          </cell>
          <cell r="C107">
            <v>38.979999999999997</v>
          </cell>
          <cell r="D107">
            <v>38.56</v>
          </cell>
          <cell r="E107">
            <v>38.9</v>
          </cell>
          <cell r="F107">
            <v>38.54</v>
          </cell>
          <cell r="G107">
            <v>38.25</v>
          </cell>
          <cell r="H107">
            <v>38.54</v>
          </cell>
          <cell r="I107">
            <v>38.9</v>
          </cell>
        </row>
        <row r="108">
          <cell r="A108" t="str">
            <v>ISL</v>
          </cell>
          <cell r="B108" t="str">
            <v>Iceland</v>
          </cell>
          <cell r="C108">
            <v>83.35</v>
          </cell>
          <cell r="D108">
            <v>83.34</v>
          </cell>
          <cell r="E108">
            <v>83.29</v>
          </cell>
          <cell r="F108">
            <v>83.1</v>
          </cell>
          <cell r="G108">
            <v>83.22</v>
          </cell>
          <cell r="H108">
            <v>83.21</v>
          </cell>
          <cell r="I108">
            <v>83.33</v>
          </cell>
        </row>
        <row r="109">
          <cell r="A109" t="str">
            <v>ISR</v>
          </cell>
          <cell r="B109" t="str">
            <v>Israel</v>
          </cell>
          <cell r="C109">
            <v>57.72</v>
          </cell>
          <cell r="D109">
            <v>57.78</v>
          </cell>
          <cell r="E109">
            <v>57.76</v>
          </cell>
          <cell r="F109">
            <v>57.72</v>
          </cell>
          <cell r="G109">
            <v>57.62</v>
          </cell>
          <cell r="H109">
            <v>57.7</v>
          </cell>
          <cell r="I109">
            <v>57.66</v>
          </cell>
        </row>
        <row r="110">
          <cell r="A110" t="str">
            <v>ITA</v>
          </cell>
          <cell r="B110" t="str">
            <v>Italy</v>
          </cell>
          <cell r="C110">
            <v>73.040000000000006</v>
          </cell>
          <cell r="D110">
            <v>72.87</v>
          </cell>
          <cell r="E110">
            <v>73.12</v>
          </cell>
          <cell r="F110">
            <v>72.78</v>
          </cell>
          <cell r="G110">
            <v>73.14</v>
          </cell>
          <cell r="H110">
            <v>73.040000000000006</v>
          </cell>
          <cell r="I110">
            <v>72.94</v>
          </cell>
        </row>
        <row r="111">
          <cell r="A111" t="str">
            <v>JAM</v>
          </cell>
          <cell r="B111" t="str">
            <v>Jamaica</v>
          </cell>
          <cell r="C111">
            <v>77.83</v>
          </cell>
          <cell r="D111">
            <v>77.72</v>
          </cell>
          <cell r="E111">
            <v>77.73</v>
          </cell>
          <cell r="F111">
            <v>77.819999999999993</v>
          </cell>
          <cell r="G111">
            <v>77.73</v>
          </cell>
          <cell r="H111">
            <v>77.88</v>
          </cell>
          <cell r="I111">
            <v>77.819999999999993</v>
          </cell>
        </row>
        <row r="112">
          <cell r="A112" t="str">
            <v>JEY</v>
          </cell>
          <cell r="B112" t="str">
            <v>Jersey (U.K.)</v>
          </cell>
          <cell r="C112">
            <v>80.67</v>
          </cell>
          <cell r="D112">
            <v>80.48</v>
          </cell>
          <cell r="E112">
            <v>80.599999999999994</v>
          </cell>
          <cell r="F112">
            <v>80.41</v>
          </cell>
          <cell r="G112">
            <v>80.680000000000007</v>
          </cell>
          <cell r="H112">
            <v>80.55</v>
          </cell>
          <cell r="I112">
            <v>80.55</v>
          </cell>
        </row>
        <row r="113">
          <cell r="A113" t="str">
            <v>JOR</v>
          </cell>
          <cell r="B113" t="str">
            <v>Jordan</v>
          </cell>
          <cell r="C113">
            <v>43.45</v>
          </cell>
          <cell r="D113">
            <v>43.36</v>
          </cell>
          <cell r="E113">
            <v>43.48</v>
          </cell>
          <cell r="F113">
            <v>43.23</v>
          </cell>
          <cell r="G113">
            <v>43.02</v>
          </cell>
          <cell r="H113">
            <v>43.25</v>
          </cell>
          <cell r="I113">
            <v>43.58</v>
          </cell>
        </row>
        <row r="114">
          <cell r="A114" t="str">
            <v>JPN</v>
          </cell>
          <cell r="B114" t="str">
            <v>Japan</v>
          </cell>
          <cell r="C114">
            <v>74.05</v>
          </cell>
          <cell r="D114">
            <v>73.930000000000007</v>
          </cell>
          <cell r="E114">
            <v>74.03</v>
          </cell>
          <cell r="F114">
            <v>73.92</v>
          </cell>
          <cell r="G114">
            <v>73.97</v>
          </cell>
          <cell r="H114">
            <v>74.03</v>
          </cell>
          <cell r="I114">
            <v>73.87</v>
          </cell>
        </row>
        <row r="115">
          <cell r="A115" t="str">
            <v>KAZ</v>
          </cell>
          <cell r="B115" t="str">
            <v>Kazakhstan</v>
          </cell>
          <cell r="C115">
            <v>61.64</v>
          </cell>
          <cell r="D115">
            <v>61.45</v>
          </cell>
          <cell r="E115">
            <v>61.68</v>
          </cell>
          <cell r="F115">
            <v>61.23</v>
          </cell>
          <cell r="G115">
            <v>61.36</v>
          </cell>
          <cell r="H115">
            <v>61.54</v>
          </cell>
          <cell r="I115">
            <v>61.51</v>
          </cell>
        </row>
        <row r="116">
          <cell r="A116" t="str">
            <v>KEN</v>
          </cell>
          <cell r="B116" t="str">
            <v>Kenya</v>
          </cell>
          <cell r="C116">
            <v>60.02</v>
          </cell>
          <cell r="D116">
            <v>59.78</v>
          </cell>
          <cell r="E116">
            <v>59.83</v>
          </cell>
          <cell r="F116">
            <v>60.2</v>
          </cell>
          <cell r="G116">
            <v>60</v>
          </cell>
          <cell r="H116">
            <v>59.75</v>
          </cell>
          <cell r="I116">
            <v>59.98</v>
          </cell>
        </row>
        <row r="117">
          <cell r="A117" t="str">
            <v>KGZ</v>
          </cell>
          <cell r="B117" t="str">
            <v>Kyrgyz Republic</v>
          </cell>
          <cell r="C117">
            <v>68.66</v>
          </cell>
          <cell r="D117">
            <v>68.260000000000005</v>
          </cell>
          <cell r="E117">
            <v>68.67</v>
          </cell>
          <cell r="F117">
            <v>68.400000000000006</v>
          </cell>
          <cell r="G117">
            <v>68.260000000000005</v>
          </cell>
          <cell r="H117">
            <v>67.97</v>
          </cell>
          <cell r="I117">
            <v>68.38</v>
          </cell>
        </row>
        <row r="118">
          <cell r="A118" t="str">
            <v>KHM</v>
          </cell>
          <cell r="B118" t="str">
            <v>Cambodia</v>
          </cell>
          <cell r="C118">
            <v>72.14</v>
          </cell>
          <cell r="D118">
            <v>72.62</v>
          </cell>
          <cell r="E118">
            <v>72.739999999999995</v>
          </cell>
          <cell r="F118">
            <v>72.33</v>
          </cell>
          <cell r="G118">
            <v>72.38</v>
          </cell>
          <cell r="H118">
            <v>72.430000000000007</v>
          </cell>
          <cell r="I118">
            <v>72.489999999999995</v>
          </cell>
        </row>
        <row r="119">
          <cell r="A119" t="str">
            <v>KIR</v>
          </cell>
          <cell r="B119" t="str">
            <v>Kiribati</v>
          </cell>
          <cell r="C119">
            <v>81.62</v>
          </cell>
          <cell r="D119">
            <v>81.69</v>
          </cell>
          <cell r="E119">
            <v>81.540000000000006</v>
          </cell>
          <cell r="F119">
            <v>81.680000000000007</v>
          </cell>
          <cell r="G119">
            <v>81.84</v>
          </cell>
          <cell r="H119">
            <v>81.75</v>
          </cell>
          <cell r="I119">
            <v>81.709999999999994</v>
          </cell>
        </row>
        <row r="120">
          <cell r="A120" t="str">
            <v>KNA</v>
          </cell>
          <cell r="B120" t="str">
            <v>Saint Kitts and Nevis</v>
          </cell>
          <cell r="C120">
            <v>80.400000000000006</v>
          </cell>
          <cell r="D120">
            <v>80.38</v>
          </cell>
          <cell r="E120">
            <v>80.400000000000006</v>
          </cell>
          <cell r="F120">
            <v>80.400000000000006</v>
          </cell>
          <cell r="G120">
            <v>80.45</v>
          </cell>
          <cell r="H120">
            <v>80.34</v>
          </cell>
          <cell r="I120">
            <v>80.41</v>
          </cell>
        </row>
        <row r="121">
          <cell r="A121" t="str">
            <v>KOR</v>
          </cell>
          <cell r="B121" t="str">
            <v>Republic of Korea</v>
          </cell>
          <cell r="C121">
            <v>69.650000000000006</v>
          </cell>
          <cell r="D121">
            <v>69.44</v>
          </cell>
          <cell r="E121">
            <v>69.540000000000006</v>
          </cell>
          <cell r="F121">
            <v>69.400000000000006</v>
          </cell>
          <cell r="G121">
            <v>69.36</v>
          </cell>
          <cell r="H121">
            <v>69.569999999999993</v>
          </cell>
          <cell r="I121">
            <v>69.31</v>
          </cell>
        </row>
        <row r="122">
          <cell r="A122" t="str">
            <v>KSV</v>
          </cell>
          <cell r="B122" t="str">
            <v>Kosovo</v>
          </cell>
          <cell r="C122">
            <v>70.599999999999994</v>
          </cell>
          <cell r="D122">
            <v>70.14</v>
          </cell>
          <cell r="E122">
            <v>70.31</v>
          </cell>
          <cell r="F122">
            <v>69.959999999999994</v>
          </cell>
          <cell r="G122">
            <v>70.03</v>
          </cell>
          <cell r="H122">
            <v>70.11</v>
          </cell>
          <cell r="I122">
            <v>70.34</v>
          </cell>
        </row>
        <row r="123">
          <cell r="A123" t="str">
            <v>KWT</v>
          </cell>
          <cell r="B123" t="str">
            <v>Kuwait</v>
          </cell>
          <cell r="C123">
            <v>35.69</v>
          </cell>
          <cell r="D123">
            <v>35.619999999999997</v>
          </cell>
          <cell r="E123">
            <v>35.75</v>
          </cell>
          <cell r="F123">
            <v>35.18</v>
          </cell>
          <cell r="G123">
            <v>35.01</v>
          </cell>
          <cell r="H123">
            <v>35.47</v>
          </cell>
          <cell r="I123">
            <v>35.49</v>
          </cell>
        </row>
        <row r="124">
          <cell r="A124" t="str">
            <v>LAO</v>
          </cell>
          <cell r="B124" t="str">
            <v>Lao People's Democratic Republic</v>
          </cell>
          <cell r="C124">
            <v>76.459999999999994</v>
          </cell>
          <cell r="D124">
            <v>76.53</v>
          </cell>
          <cell r="E124">
            <v>76.540000000000006</v>
          </cell>
          <cell r="F124">
            <v>76.44</v>
          </cell>
          <cell r="G124">
            <v>76.44</v>
          </cell>
          <cell r="H124">
            <v>76.36</v>
          </cell>
          <cell r="I124">
            <v>76.510000000000005</v>
          </cell>
        </row>
        <row r="125">
          <cell r="A125" t="str">
            <v>LBN</v>
          </cell>
          <cell r="B125" t="str">
            <v>Lebanon</v>
          </cell>
          <cell r="C125">
            <v>63.56</v>
          </cell>
          <cell r="D125">
            <v>63.73</v>
          </cell>
          <cell r="E125">
            <v>63.67</v>
          </cell>
          <cell r="F125">
            <v>63.57</v>
          </cell>
          <cell r="G125">
            <v>63.3</v>
          </cell>
          <cell r="H125">
            <v>63.43</v>
          </cell>
          <cell r="I125">
            <v>63.53</v>
          </cell>
        </row>
        <row r="126">
          <cell r="A126" t="str">
            <v>LBR</v>
          </cell>
          <cell r="B126" t="str">
            <v>Liberia</v>
          </cell>
          <cell r="C126">
            <v>81.349999999999994</v>
          </cell>
          <cell r="D126">
            <v>81.040000000000006</v>
          </cell>
          <cell r="E126">
            <v>81.17</v>
          </cell>
          <cell r="F126">
            <v>81.14</v>
          </cell>
          <cell r="G126">
            <v>81.25</v>
          </cell>
          <cell r="H126">
            <v>81.209999999999994</v>
          </cell>
          <cell r="I126">
            <v>81.180000000000007</v>
          </cell>
        </row>
        <row r="127">
          <cell r="A127" t="str">
            <v>LBY</v>
          </cell>
          <cell r="B127" t="str">
            <v>Libya</v>
          </cell>
          <cell r="C127">
            <v>36.520000000000003</v>
          </cell>
          <cell r="D127">
            <v>36.520000000000003</v>
          </cell>
          <cell r="E127">
            <v>36.5</v>
          </cell>
          <cell r="F127">
            <v>36.51</v>
          </cell>
          <cell r="G127">
            <v>36.25</v>
          </cell>
          <cell r="H127">
            <v>36.53</v>
          </cell>
          <cell r="I127">
            <v>36.31</v>
          </cell>
        </row>
        <row r="128">
          <cell r="A128" t="str">
            <v>LCA</v>
          </cell>
          <cell r="B128" t="str">
            <v>Latin America &amp; Caribbean</v>
          </cell>
          <cell r="C128">
            <v>76.209999999999994</v>
          </cell>
          <cell r="D128">
            <v>76.099999999999994</v>
          </cell>
          <cell r="E128">
            <v>76.09</v>
          </cell>
          <cell r="F128">
            <v>76.040000000000006</v>
          </cell>
          <cell r="G128">
            <v>76.11</v>
          </cell>
          <cell r="H128">
            <v>76.06</v>
          </cell>
          <cell r="I128">
            <v>76.099999999999994</v>
          </cell>
        </row>
        <row r="129">
          <cell r="A129" t="str">
            <v>LIE</v>
          </cell>
          <cell r="B129" t="str">
            <v>Liechtenstein</v>
          </cell>
          <cell r="C129">
            <v>77.53</v>
          </cell>
          <cell r="D129">
            <v>77.56</v>
          </cell>
          <cell r="E129">
            <v>77.63</v>
          </cell>
          <cell r="F129">
            <v>77.47</v>
          </cell>
          <cell r="G129">
            <v>77.739999999999995</v>
          </cell>
          <cell r="H129">
            <v>77.349999999999994</v>
          </cell>
          <cell r="I129">
            <v>77.569999999999993</v>
          </cell>
        </row>
        <row r="130">
          <cell r="A130" t="str">
            <v>LKA</v>
          </cell>
          <cell r="B130" t="str">
            <v>Sri Lanka</v>
          </cell>
          <cell r="C130">
            <v>76.38</v>
          </cell>
          <cell r="D130">
            <v>76.36</v>
          </cell>
          <cell r="E130">
            <v>76.34</v>
          </cell>
          <cell r="F130">
            <v>76.37</v>
          </cell>
          <cell r="G130">
            <v>76.400000000000006</v>
          </cell>
          <cell r="H130">
            <v>76.489999999999995</v>
          </cell>
          <cell r="I130">
            <v>76.489999999999995</v>
          </cell>
        </row>
        <row r="131">
          <cell r="A131" t="str">
            <v>LSO</v>
          </cell>
          <cell r="B131" t="str">
            <v>Lesotho</v>
          </cell>
          <cell r="C131">
            <v>58.96</v>
          </cell>
          <cell r="D131">
            <v>59.23</v>
          </cell>
          <cell r="E131">
            <v>59.63</v>
          </cell>
          <cell r="F131">
            <v>58.99</v>
          </cell>
          <cell r="G131">
            <v>58.75</v>
          </cell>
          <cell r="H131">
            <v>58.88</v>
          </cell>
          <cell r="I131">
            <v>58.87</v>
          </cell>
        </row>
        <row r="132">
          <cell r="A132" t="str">
            <v>LTU</v>
          </cell>
          <cell r="B132" t="str">
            <v>Lithuania</v>
          </cell>
          <cell r="C132">
            <v>79.63</v>
          </cell>
          <cell r="D132">
            <v>79.63</v>
          </cell>
          <cell r="E132">
            <v>79.42</v>
          </cell>
          <cell r="F132">
            <v>79.53</v>
          </cell>
          <cell r="G132">
            <v>79.48</v>
          </cell>
          <cell r="H132">
            <v>79.53</v>
          </cell>
          <cell r="I132">
            <v>79.56</v>
          </cell>
        </row>
        <row r="133">
          <cell r="A133" t="str">
            <v>LUX</v>
          </cell>
          <cell r="B133" t="str">
            <v>Luxembourg</v>
          </cell>
          <cell r="C133">
            <v>79.98</v>
          </cell>
          <cell r="D133">
            <v>79.87</v>
          </cell>
          <cell r="E133">
            <v>80.040000000000006</v>
          </cell>
          <cell r="F133">
            <v>79.849999999999994</v>
          </cell>
          <cell r="G133">
            <v>80</v>
          </cell>
          <cell r="H133">
            <v>79.75</v>
          </cell>
          <cell r="I133">
            <v>79.89</v>
          </cell>
        </row>
        <row r="134">
          <cell r="A134" t="str">
            <v>LVA</v>
          </cell>
          <cell r="B134" t="str">
            <v>Latvia</v>
          </cell>
          <cell r="C134">
            <v>80.099999999999994</v>
          </cell>
          <cell r="D134">
            <v>80.14</v>
          </cell>
          <cell r="E134">
            <v>80.05</v>
          </cell>
          <cell r="F134">
            <v>79.97</v>
          </cell>
          <cell r="G134">
            <v>80.03</v>
          </cell>
          <cell r="H134">
            <v>80.14</v>
          </cell>
          <cell r="I134">
            <v>80.150000000000006</v>
          </cell>
        </row>
        <row r="135">
          <cell r="A135" t="str">
            <v>MAC</v>
          </cell>
          <cell r="B135" t="str">
            <v>MAC</v>
          </cell>
          <cell r="C135">
            <v>79.31</v>
          </cell>
          <cell r="D135">
            <v>79.069999999999993</v>
          </cell>
          <cell r="E135">
            <v>79.47</v>
          </cell>
          <cell r="F135">
            <v>79.27</v>
          </cell>
          <cell r="G135">
            <v>79.33</v>
          </cell>
          <cell r="H135">
            <v>79.209999999999994</v>
          </cell>
          <cell r="I135">
            <v>79.28</v>
          </cell>
        </row>
        <row r="136">
          <cell r="A136" t="str">
            <v>MAF</v>
          </cell>
          <cell r="B136" t="str">
            <v>Saint-Martin (Fr.)</v>
          </cell>
          <cell r="C136">
            <v>79.930000000000007</v>
          </cell>
          <cell r="D136">
            <v>80.069999999999993</v>
          </cell>
          <cell r="E136">
            <v>79.959999999999994</v>
          </cell>
          <cell r="F136">
            <v>80.05</v>
          </cell>
          <cell r="G136">
            <v>80.03</v>
          </cell>
          <cell r="H136">
            <v>79.98</v>
          </cell>
          <cell r="I136">
            <v>80.06</v>
          </cell>
        </row>
        <row r="137">
          <cell r="A137" t="str">
            <v>MAR</v>
          </cell>
          <cell r="B137" t="str">
            <v>Morocco</v>
          </cell>
          <cell r="C137">
            <v>51.27</v>
          </cell>
          <cell r="D137">
            <v>51.3</v>
          </cell>
          <cell r="E137">
            <v>51.41</v>
          </cell>
          <cell r="F137">
            <v>51.16</v>
          </cell>
          <cell r="G137">
            <v>51.37</v>
          </cell>
          <cell r="H137">
            <v>51.38</v>
          </cell>
          <cell r="I137">
            <v>51.28</v>
          </cell>
        </row>
        <row r="138">
          <cell r="A138" t="str">
            <v>MCO</v>
          </cell>
          <cell r="B138" t="str">
            <v>Monaco</v>
          </cell>
          <cell r="C138">
            <v>74.73</v>
          </cell>
          <cell r="D138">
            <v>74.56</v>
          </cell>
          <cell r="E138">
            <v>74.680000000000007</v>
          </cell>
          <cell r="F138">
            <v>74.5</v>
          </cell>
          <cell r="G138">
            <v>74.87</v>
          </cell>
          <cell r="H138">
            <v>74.67</v>
          </cell>
          <cell r="I138">
            <v>74.459999999999994</v>
          </cell>
        </row>
        <row r="139">
          <cell r="A139" t="str">
            <v>MDA</v>
          </cell>
          <cell r="B139" t="str">
            <v>Moldova</v>
          </cell>
          <cell r="C139">
            <v>71.819999999999993</v>
          </cell>
          <cell r="D139">
            <v>71.959999999999994</v>
          </cell>
          <cell r="E139">
            <v>72.23</v>
          </cell>
          <cell r="F139">
            <v>72.23</v>
          </cell>
          <cell r="G139">
            <v>72.510000000000005</v>
          </cell>
          <cell r="H139">
            <v>72.62</v>
          </cell>
          <cell r="I139">
            <v>71.989999999999995</v>
          </cell>
        </row>
        <row r="140">
          <cell r="A140" t="str">
            <v>MDG</v>
          </cell>
          <cell r="B140" t="str">
            <v>Madagascar</v>
          </cell>
          <cell r="C140">
            <v>70.12</v>
          </cell>
          <cell r="D140">
            <v>70.13</v>
          </cell>
          <cell r="E140">
            <v>70.22</v>
          </cell>
          <cell r="F140">
            <v>70.11</v>
          </cell>
          <cell r="G140">
            <v>69.98</v>
          </cell>
          <cell r="H140">
            <v>70.23</v>
          </cell>
          <cell r="I140">
            <v>70.02</v>
          </cell>
        </row>
        <row r="141">
          <cell r="A141" t="str">
            <v>MDV</v>
          </cell>
          <cell r="B141" t="str">
            <v>Maldives</v>
          </cell>
          <cell r="C141">
            <v>81.290000000000006</v>
          </cell>
          <cell r="D141">
            <v>81.34</v>
          </cell>
          <cell r="E141">
            <v>81.3</v>
          </cell>
          <cell r="F141">
            <v>81.37</v>
          </cell>
          <cell r="G141">
            <v>81.36</v>
          </cell>
          <cell r="H141">
            <v>81.38</v>
          </cell>
          <cell r="I141">
            <v>81.349999999999994</v>
          </cell>
        </row>
        <row r="142">
          <cell r="A142" t="str">
            <v>MEX</v>
          </cell>
          <cell r="B142" t="str">
            <v>Mexico</v>
          </cell>
          <cell r="C142">
            <v>57.23</v>
          </cell>
          <cell r="D142">
            <v>57.1</v>
          </cell>
          <cell r="E142">
            <v>57.5</v>
          </cell>
          <cell r="F142">
            <v>57.21</v>
          </cell>
          <cell r="G142">
            <v>56.95</v>
          </cell>
          <cell r="H142">
            <v>57.15</v>
          </cell>
          <cell r="I142">
            <v>57.29</v>
          </cell>
        </row>
        <row r="143">
          <cell r="A143" t="str">
            <v>MHL</v>
          </cell>
          <cell r="B143" t="str">
            <v>Marshall Islands</v>
          </cell>
          <cell r="C143">
            <v>82.89</v>
          </cell>
          <cell r="D143">
            <v>82.92</v>
          </cell>
          <cell r="E143">
            <v>82.96</v>
          </cell>
          <cell r="F143">
            <v>82.92</v>
          </cell>
          <cell r="G143">
            <v>82.96</v>
          </cell>
          <cell r="H143">
            <v>82.96</v>
          </cell>
          <cell r="I143">
            <v>82.94</v>
          </cell>
        </row>
        <row r="144">
          <cell r="A144" t="str">
            <v>MKD</v>
          </cell>
          <cell r="B144" t="str">
            <v>North Macedonia</v>
          </cell>
          <cell r="C144">
            <v>68.540000000000006</v>
          </cell>
          <cell r="D144">
            <v>68.19</v>
          </cell>
          <cell r="E144">
            <v>68.31</v>
          </cell>
          <cell r="F144">
            <v>67.69</v>
          </cell>
          <cell r="G144">
            <v>68.099999999999994</v>
          </cell>
          <cell r="H144">
            <v>68.3</v>
          </cell>
          <cell r="I144">
            <v>68.27</v>
          </cell>
        </row>
        <row r="145">
          <cell r="A145" t="str">
            <v>MLI</v>
          </cell>
          <cell r="B145" t="str">
            <v>Mali</v>
          </cell>
          <cell r="C145">
            <v>30.84</v>
          </cell>
          <cell r="D145">
            <v>30.59</v>
          </cell>
          <cell r="E145">
            <v>30.87</v>
          </cell>
          <cell r="F145">
            <v>30.82</v>
          </cell>
          <cell r="G145">
            <v>30.92</v>
          </cell>
          <cell r="H145">
            <v>30.71</v>
          </cell>
          <cell r="I145">
            <v>30.67</v>
          </cell>
        </row>
        <row r="146">
          <cell r="A146" t="str">
            <v>MLT</v>
          </cell>
          <cell r="B146" t="str">
            <v>Malta</v>
          </cell>
          <cell r="C146">
            <v>76.3</v>
          </cell>
          <cell r="D146">
            <v>76.06</v>
          </cell>
          <cell r="E146">
            <v>76.099999999999994</v>
          </cell>
          <cell r="F146">
            <v>75.989999999999995</v>
          </cell>
          <cell r="G146">
            <v>76.11</v>
          </cell>
          <cell r="H146">
            <v>76.14</v>
          </cell>
          <cell r="I146">
            <v>76.12</v>
          </cell>
        </row>
        <row r="147">
          <cell r="A147" t="str">
            <v>MMR</v>
          </cell>
          <cell r="B147" t="str">
            <v>Myanmar</v>
          </cell>
          <cell r="C147">
            <v>73.39</v>
          </cell>
          <cell r="D147">
            <v>73.510000000000005</v>
          </cell>
          <cell r="E147">
            <v>73.510000000000005</v>
          </cell>
          <cell r="F147">
            <v>73.62</v>
          </cell>
          <cell r="G147">
            <v>73.41</v>
          </cell>
          <cell r="H147">
            <v>73.400000000000006</v>
          </cell>
          <cell r="I147">
            <v>73.33</v>
          </cell>
        </row>
        <row r="148">
          <cell r="A148" t="str">
            <v>MNE</v>
          </cell>
          <cell r="B148" t="str">
            <v>Montenegro</v>
          </cell>
          <cell r="C148">
            <v>74.34</v>
          </cell>
          <cell r="D148">
            <v>74.08</v>
          </cell>
          <cell r="E148">
            <v>74.19</v>
          </cell>
          <cell r="F148">
            <v>74.14</v>
          </cell>
          <cell r="G148">
            <v>74.2</v>
          </cell>
          <cell r="H148">
            <v>74.22</v>
          </cell>
          <cell r="I148">
            <v>74.03</v>
          </cell>
        </row>
        <row r="149">
          <cell r="A149" t="str">
            <v>MNG</v>
          </cell>
          <cell r="B149" t="str">
            <v>Mongolia</v>
          </cell>
          <cell r="C149">
            <v>53.38</v>
          </cell>
          <cell r="D149">
            <v>53.55</v>
          </cell>
          <cell r="E149">
            <v>53.86</v>
          </cell>
          <cell r="F149">
            <v>53.6</v>
          </cell>
          <cell r="G149">
            <v>53.72</v>
          </cell>
          <cell r="H149">
            <v>53.86</v>
          </cell>
          <cell r="I149">
            <v>53.69</v>
          </cell>
        </row>
        <row r="150">
          <cell r="A150" t="str">
            <v>MNP</v>
          </cell>
          <cell r="B150" t="str">
            <v>Northern Mariana Islands (U.S.)</v>
          </cell>
          <cell r="C150">
            <v>82.01</v>
          </cell>
          <cell r="D150">
            <v>82.13</v>
          </cell>
          <cell r="E150">
            <v>82.15</v>
          </cell>
          <cell r="F150">
            <v>81.96</v>
          </cell>
          <cell r="G150">
            <v>82.12</v>
          </cell>
          <cell r="H150">
            <v>82.13</v>
          </cell>
          <cell r="I150">
            <v>82.17</v>
          </cell>
        </row>
        <row r="151">
          <cell r="A151" t="str">
            <v>MOZ</v>
          </cell>
          <cell r="B151" t="str">
            <v>Mozambique</v>
          </cell>
          <cell r="C151">
            <v>66.25</v>
          </cell>
          <cell r="D151">
            <v>66.290000000000006</v>
          </cell>
          <cell r="E151">
            <v>66.55</v>
          </cell>
          <cell r="F151">
            <v>66.239999999999995</v>
          </cell>
          <cell r="G151">
            <v>66.27</v>
          </cell>
          <cell r="H151">
            <v>66.38</v>
          </cell>
          <cell r="I151">
            <v>66.28</v>
          </cell>
        </row>
        <row r="152">
          <cell r="A152" t="str">
            <v>MRT</v>
          </cell>
          <cell r="B152" t="str">
            <v>Mauritania</v>
          </cell>
          <cell r="C152">
            <v>28.61</v>
          </cell>
          <cell r="D152">
            <v>28.58</v>
          </cell>
          <cell r="E152">
            <v>28.65</v>
          </cell>
          <cell r="F152">
            <v>28.54</v>
          </cell>
          <cell r="G152">
            <v>28.76</v>
          </cell>
          <cell r="H152">
            <v>28.54</v>
          </cell>
          <cell r="I152">
            <v>28.53</v>
          </cell>
        </row>
        <row r="153">
          <cell r="A153" t="str">
            <v>MSR</v>
          </cell>
          <cell r="B153" t="str">
            <v>Montserrat (U.K.)</v>
          </cell>
          <cell r="C153">
            <v>80.319999999999993</v>
          </cell>
          <cell r="D153">
            <v>80.3</v>
          </cell>
          <cell r="E153">
            <v>80.28</v>
          </cell>
          <cell r="F153">
            <v>80.319999999999993</v>
          </cell>
          <cell r="G153">
            <v>80.290000000000006</v>
          </cell>
          <cell r="H153">
            <v>80.25</v>
          </cell>
          <cell r="I153">
            <v>80.290000000000006</v>
          </cell>
        </row>
        <row r="154">
          <cell r="A154" t="str">
            <v>MTQ</v>
          </cell>
          <cell r="B154" t="str">
            <v>MTQ</v>
          </cell>
          <cell r="C154">
            <v>80.180000000000007</v>
          </cell>
          <cell r="D154">
            <v>80.08</v>
          </cell>
          <cell r="E154">
            <v>80.069999999999993</v>
          </cell>
          <cell r="F154">
            <v>80.06</v>
          </cell>
          <cell r="G154">
            <v>80.069999999999993</v>
          </cell>
          <cell r="H154">
            <v>80.05</v>
          </cell>
          <cell r="I154">
            <v>80.08</v>
          </cell>
        </row>
        <row r="155">
          <cell r="A155" t="str">
            <v>MUS</v>
          </cell>
          <cell r="B155" t="str">
            <v>Mauritius</v>
          </cell>
          <cell r="C155">
            <v>77.900000000000006</v>
          </cell>
          <cell r="D155">
            <v>77.83</v>
          </cell>
          <cell r="E155">
            <v>77.78</v>
          </cell>
          <cell r="F155">
            <v>77.930000000000007</v>
          </cell>
          <cell r="G155">
            <v>77.849999999999994</v>
          </cell>
          <cell r="H155">
            <v>77.97</v>
          </cell>
          <cell r="I155">
            <v>77.89</v>
          </cell>
        </row>
        <row r="156">
          <cell r="A156" t="str">
            <v>MWI</v>
          </cell>
          <cell r="B156" t="str">
            <v>Malawi</v>
          </cell>
          <cell r="C156">
            <v>68.12</v>
          </cell>
          <cell r="D156">
            <v>67.989999999999995</v>
          </cell>
          <cell r="E156">
            <v>68.34</v>
          </cell>
          <cell r="F156">
            <v>67.739999999999995</v>
          </cell>
          <cell r="G156">
            <v>67.92</v>
          </cell>
          <cell r="H156">
            <v>68.040000000000006</v>
          </cell>
          <cell r="I156">
            <v>67.87</v>
          </cell>
        </row>
        <row r="157">
          <cell r="A157" t="str">
            <v>MYS</v>
          </cell>
          <cell r="B157" t="str">
            <v>Malaysia</v>
          </cell>
          <cell r="C157">
            <v>81.56</v>
          </cell>
          <cell r="D157">
            <v>81.760000000000005</v>
          </cell>
          <cell r="E157">
            <v>81.69</v>
          </cell>
          <cell r="F157">
            <v>81.63</v>
          </cell>
          <cell r="G157">
            <v>81.650000000000006</v>
          </cell>
          <cell r="H157">
            <v>81.64</v>
          </cell>
          <cell r="I157">
            <v>81.7</v>
          </cell>
        </row>
        <row r="158">
          <cell r="A158" t="str">
            <v>MYT</v>
          </cell>
          <cell r="B158" t="str">
            <v>MYT</v>
          </cell>
          <cell r="C158">
            <v>78.95</v>
          </cell>
          <cell r="D158">
            <v>79.099999999999994</v>
          </cell>
          <cell r="E158">
            <v>79.069999999999993</v>
          </cell>
          <cell r="F158">
            <v>79.11</v>
          </cell>
          <cell r="G158">
            <v>78.97</v>
          </cell>
          <cell r="H158">
            <v>79.06</v>
          </cell>
          <cell r="I158">
            <v>79.010000000000005</v>
          </cell>
        </row>
        <row r="159">
          <cell r="A159" t="str">
            <v>NAM</v>
          </cell>
          <cell r="B159" t="str">
            <v>Namibia</v>
          </cell>
          <cell r="C159">
            <v>38.72</v>
          </cell>
          <cell r="D159">
            <v>39.04</v>
          </cell>
          <cell r="E159">
            <v>39.49</v>
          </cell>
          <cell r="F159">
            <v>39.17</v>
          </cell>
          <cell r="G159">
            <v>38.799999999999997</v>
          </cell>
          <cell r="H159">
            <v>39.32</v>
          </cell>
          <cell r="I159">
            <v>39.409999999999997</v>
          </cell>
        </row>
        <row r="160">
          <cell r="A160" t="str">
            <v>NCL</v>
          </cell>
          <cell r="B160" t="str">
            <v>New Caledonia (Fr.)</v>
          </cell>
          <cell r="C160">
            <v>76.709999999999994</v>
          </cell>
          <cell r="D160">
            <v>76.48</v>
          </cell>
          <cell r="E160">
            <v>76.61</v>
          </cell>
          <cell r="F160">
            <v>76.930000000000007</v>
          </cell>
          <cell r="G160">
            <v>76.78</v>
          </cell>
          <cell r="H160">
            <v>76.69</v>
          </cell>
          <cell r="I160">
            <v>76.760000000000005</v>
          </cell>
        </row>
        <row r="161">
          <cell r="A161" t="str">
            <v>NER</v>
          </cell>
          <cell r="B161" t="str">
            <v>Niger</v>
          </cell>
          <cell r="C161">
            <v>26.49</v>
          </cell>
          <cell r="D161">
            <v>26.27</v>
          </cell>
          <cell r="E161">
            <v>26.58</v>
          </cell>
          <cell r="F161">
            <v>26.49</v>
          </cell>
          <cell r="G161">
            <v>26.45</v>
          </cell>
          <cell r="H161">
            <v>26.59</v>
          </cell>
          <cell r="I161">
            <v>26.36</v>
          </cell>
        </row>
        <row r="162">
          <cell r="A162" t="str">
            <v>NFK</v>
          </cell>
          <cell r="B162" t="str">
            <v>Norfolk Island (Aus.)</v>
          </cell>
          <cell r="C162">
            <v>73.75</v>
          </cell>
          <cell r="D162">
            <v>73.849999999999994</v>
          </cell>
          <cell r="E162">
            <v>73.88</v>
          </cell>
          <cell r="F162">
            <v>74.09</v>
          </cell>
          <cell r="G162">
            <v>73.89</v>
          </cell>
          <cell r="H162">
            <v>73.900000000000006</v>
          </cell>
          <cell r="I162">
            <v>73.86</v>
          </cell>
        </row>
        <row r="163">
          <cell r="A163" t="str">
            <v>NGA</v>
          </cell>
          <cell r="B163" t="str">
            <v>Nigeria</v>
          </cell>
          <cell r="C163">
            <v>57.37</v>
          </cell>
          <cell r="D163">
            <v>57.03</v>
          </cell>
          <cell r="E163">
            <v>57.45</v>
          </cell>
          <cell r="F163">
            <v>57.27</v>
          </cell>
          <cell r="G163">
            <v>57.29</v>
          </cell>
          <cell r="H163">
            <v>57.36</v>
          </cell>
          <cell r="I163">
            <v>57.16</v>
          </cell>
        </row>
        <row r="164">
          <cell r="A164" t="str">
            <v>NIC</v>
          </cell>
          <cell r="B164" t="str">
            <v>Nicaragua</v>
          </cell>
          <cell r="C164">
            <v>77.709999999999994</v>
          </cell>
          <cell r="D164">
            <v>77.97</v>
          </cell>
          <cell r="E164">
            <v>77.819999999999993</v>
          </cell>
          <cell r="F164">
            <v>77.900000000000006</v>
          </cell>
          <cell r="G164">
            <v>77.67</v>
          </cell>
          <cell r="H164">
            <v>77.88</v>
          </cell>
          <cell r="I164">
            <v>77.92</v>
          </cell>
        </row>
        <row r="165">
          <cell r="A165" t="str">
            <v>NIU</v>
          </cell>
          <cell r="B165" t="str">
            <v>Niue (N.Z.)</v>
          </cell>
          <cell r="C165">
            <v>79.31</v>
          </cell>
          <cell r="D165">
            <v>79.27</v>
          </cell>
          <cell r="E165">
            <v>79.31</v>
          </cell>
          <cell r="F165">
            <v>79.17</v>
          </cell>
          <cell r="G165">
            <v>79.33</v>
          </cell>
          <cell r="H165">
            <v>79.36</v>
          </cell>
          <cell r="I165">
            <v>79.349999999999994</v>
          </cell>
        </row>
        <row r="166">
          <cell r="A166" t="str">
            <v>NLD</v>
          </cell>
          <cell r="B166" t="str">
            <v>Netherlands</v>
          </cell>
          <cell r="C166">
            <v>80.81</v>
          </cell>
          <cell r="D166">
            <v>80.69</v>
          </cell>
          <cell r="E166">
            <v>80.73</v>
          </cell>
          <cell r="F166">
            <v>80.540000000000006</v>
          </cell>
          <cell r="G166">
            <v>80.599999999999994</v>
          </cell>
          <cell r="H166">
            <v>80.52</v>
          </cell>
          <cell r="I166">
            <v>80.67</v>
          </cell>
        </row>
        <row r="167">
          <cell r="A167" t="str">
            <v>NOR</v>
          </cell>
          <cell r="B167" t="str">
            <v>Norway</v>
          </cell>
          <cell r="C167">
            <v>80.84</v>
          </cell>
          <cell r="D167">
            <v>80.89</v>
          </cell>
          <cell r="E167">
            <v>80.849999999999994</v>
          </cell>
          <cell r="F167">
            <v>80.819999999999993</v>
          </cell>
          <cell r="G167">
            <v>80.81</v>
          </cell>
          <cell r="H167">
            <v>80.849999999999994</v>
          </cell>
          <cell r="I167">
            <v>80.819999999999993</v>
          </cell>
        </row>
        <row r="168">
          <cell r="A168" t="str">
            <v>NPL</v>
          </cell>
          <cell r="B168" t="str">
            <v>Nepal</v>
          </cell>
          <cell r="C168">
            <v>72.959999999999994</v>
          </cell>
          <cell r="D168">
            <v>72.319999999999993</v>
          </cell>
          <cell r="E168">
            <v>72.33</v>
          </cell>
          <cell r="F168">
            <v>72.78</v>
          </cell>
          <cell r="G168">
            <v>72.709999999999994</v>
          </cell>
          <cell r="H168">
            <v>72.44</v>
          </cell>
          <cell r="I168">
            <v>72.599999999999994</v>
          </cell>
        </row>
        <row r="169">
          <cell r="A169" t="str">
            <v>NRU</v>
          </cell>
          <cell r="B169" t="str">
            <v>Nauru</v>
          </cell>
          <cell r="C169">
            <v>82.11</v>
          </cell>
          <cell r="D169">
            <v>82.09</v>
          </cell>
          <cell r="E169">
            <v>81.97</v>
          </cell>
          <cell r="F169">
            <v>82.24</v>
          </cell>
          <cell r="G169">
            <v>82.07</v>
          </cell>
          <cell r="H169">
            <v>82.16</v>
          </cell>
          <cell r="I169">
            <v>82.12</v>
          </cell>
        </row>
        <row r="170">
          <cell r="A170" t="str">
            <v>NZL</v>
          </cell>
          <cell r="B170" t="str">
            <v>New Zealand</v>
          </cell>
          <cell r="C170">
            <v>78.569999999999993</v>
          </cell>
          <cell r="D170">
            <v>78.599999999999994</v>
          </cell>
          <cell r="E170">
            <v>78.63</v>
          </cell>
          <cell r="F170">
            <v>78.64</v>
          </cell>
          <cell r="G170">
            <v>78.61</v>
          </cell>
          <cell r="H170">
            <v>78.52</v>
          </cell>
          <cell r="I170">
            <v>78.58</v>
          </cell>
        </row>
        <row r="171">
          <cell r="A171" t="str">
            <v>OMN</v>
          </cell>
          <cell r="B171" t="str">
            <v>Oman</v>
          </cell>
          <cell r="C171">
            <v>43.68</v>
          </cell>
          <cell r="D171">
            <v>43.31</v>
          </cell>
          <cell r="E171">
            <v>43.56</v>
          </cell>
          <cell r="F171">
            <v>43.67</v>
          </cell>
          <cell r="G171">
            <v>43.55</v>
          </cell>
          <cell r="H171">
            <v>43.4</v>
          </cell>
          <cell r="I171">
            <v>43.39</v>
          </cell>
        </row>
        <row r="172">
          <cell r="A172" t="str">
            <v>PAK</v>
          </cell>
          <cell r="B172" t="str">
            <v>Pakistan</v>
          </cell>
          <cell r="C172">
            <v>49.25</v>
          </cell>
          <cell r="D172">
            <v>48.74</v>
          </cell>
          <cell r="E172">
            <v>48.94</v>
          </cell>
          <cell r="F172">
            <v>49.34</v>
          </cell>
          <cell r="G172">
            <v>49.01</v>
          </cell>
          <cell r="H172">
            <v>48.95</v>
          </cell>
          <cell r="I172">
            <v>48.78</v>
          </cell>
        </row>
        <row r="173">
          <cell r="A173" t="str">
            <v>PAN</v>
          </cell>
          <cell r="B173" t="str">
            <v>Panama</v>
          </cell>
          <cell r="C173">
            <v>82.83</v>
          </cell>
          <cell r="D173">
            <v>82.9</v>
          </cell>
          <cell r="E173">
            <v>82.83</v>
          </cell>
          <cell r="F173">
            <v>82.81</v>
          </cell>
          <cell r="G173">
            <v>82.82</v>
          </cell>
          <cell r="H173">
            <v>82.81</v>
          </cell>
          <cell r="I173">
            <v>82.87</v>
          </cell>
        </row>
        <row r="174">
          <cell r="A174" t="str">
            <v>PCN</v>
          </cell>
          <cell r="B174" t="str">
            <v>Pitcairn Islands (U.K.)</v>
          </cell>
          <cell r="C174">
            <v>77.319999999999993</v>
          </cell>
          <cell r="D174">
            <v>77.38</v>
          </cell>
          <cell r="E174">
            <v>77.37</v>
          </cell>
          <cell r="F174">
            <v>77.540000000000006</v>
          </cell>
          <cell r="G174">
            <v>77.290000000000006</v>
          </cell>
          <cell r="H174">
            <v>77.400000000000006</v>
          </cell>
          <cell r="I174">
            <v>77.52</v>
          </cell>
        </row>
        <row r="175">
          <cell r="A175" t="str">
            <v>PER</v>
          </cell>
          <cell r="B175" t="str">
            <v>Peru</v>
          </cell>
          <cell r="C175">
            <v>76.56</v>
          </cell>
          <cell r="D175">
            <v>76.53</v>
          </cell>
          <cell r="E175">
            <v>76.44</v>
          </cell>
          <cell r="F175">
            <v>76.430000000000007</v>
          </cell>
          <cell r="G175">
            <v>76.45</v>
          </cell>
          <cell r="H175">
            <v>76.290000000000006</v>
          </cell>
          <cell r="I175">
            <v>76.33</v>
          </cell>
        </row>
        <row r="176">
          <cell r="A176" t="str">
            <v>PHL</v>
          </cell>
          <cell r="B176" t="str">
            <v>Philippines</v>
          </cell>
          <cell r="C176">
            <v>81.59</v>
          </cell>
          <cell r="D176">
            <v>81.86</v>
          </cell>
          <cell r="E176">
            <v>81.88</v>
          </cell>
          <cell r="F176">
            <v>81.73</v>
          </cell>
          <cell r="G176">
            <v>81.77</v>
          </cell>
          <cell r="H176">
            <v>81.73</v>
          </cell>
          <cell r="I176">
            <v>81.790000000000006</v>
          </cell>
        </row>
        <row r="177">
          <cell r="A177" t="str">
            <v>PLW</v>
          </cell>
          <cell r="B177" t="str">
            <v>Palau</v>
          </cell>
          <cell r="C177">
            <v>83.48</v>
          </cell>
          <cell r="D177">
            <v>83.54</v>
          </cell>
          <cell r="E177">
            <v>83.57</v>
          </cell>
          <cell r="F177">
            <v>83.52</v>
          </cell>
          <cell r="G177">
            <v>83.6</v>
          </cell>
          <cell r="H177">
            <v>83.58</v>
          </cell>
          <cell r="I177">
            <v>83.54</v>
          </cell>
        </row>
        <row r="178">
          <cell r="A178" t="str">
            <v>PNG</v>
          </cell>
          <cell r="B178" t="str">
            <v>Papua New Guinea</v>
          </cell>
          <cell r="C178">
            <v>83.89</v>
          </cell>
          <cell r="D178">
            <v>84.02</v>
          </cell>
          <cell r="E178">
            <v>83.76</v>
          </cell>
          <cell r="F178">
            <v>83.81</v>
          </cell>
          <cell r="G178">
            <v>83.81</v>
          </cell>
          <cell r="H178">
            <v>83.85</v>
          </cell>
          <cell r="I178">
            <v>83.92</v>
          </cell>
        </row>
        <row r="179">
          <cell r="A179" t="str">
            <v>POL</v>
          </cell>
          <cell r="B179" t="str">
            <v>Poland</v>
          </cell>
          <cell r="C179">
            <v>78.62</v>
          </cell>
          <cell r="D179">
            <v>78.59</v>
          </cell>
          <cell r="E179">
            <v>78.48</v>
          </cell>
          <cell r="F179">
            <v>78.45</v>
          </cell>
          <cell r="G179">
            <v>78.260000000000005</v>
          </cell>
          <cell r="H179">
            <v>78.39</v>
          </cell>
          <cell r="I179">
            <v>78.349999999999994</v>
          </cell>
        </row>
        <row r="180">
          <cell r="A180" t="str">
            <v>PRI</v>
          </cell>
          <cell r="B180" t="str">
            <v>Puerto Rico (U.S.)</v>
          </cell>
          <cell r="C180">
            <v>78.19</v>
          </cell>
          <cell r="D180">
            <v>78.14</v>
          </cell>
          <cell r="E180">
            <v>78.14</v>
          </cell>
          <cell r="F180">
            <v>78.3</v>
          </cell>
          <cell r="G180">
            <v>78.2</v>
          </cell>
          <cell r="H180">
            <v>78.17</v>
          </cell>
          <cell r="I180">
            <v>78.19</v>
          </cell>
        </row>
        <row r="181">
          <cell r="A181" t="str">
            <v>PRK</v>
          </cell>
          <cell r="B181" t="str">
            <v>D. P. R. of Korea</v>
          </cell>
          <cell r="C181">
            <v>70.34</v>
          </cell>
          <cell r="D181">
            <v>70.42</v>
          </cell>
          <cell r="E181">
            <v>70.510000000000005</v>
          </cell>
          <cell r="F181">
            <v>70.25</v>
          </cell>
          <cell r="G181">
            <v>70.31</v>
          </cell>
          <cell r="H181">
            <v>70.650000000000006</v>
          </cell>
          <cell r="I181">
            <v>70.31</v>
          </cell>
        </row>
        <row r="182">
          <cell r="A182" t="str">
            <v>PRT</v>
          </cell>
          <cell r="B182" t="str">
            <v>Portugal</v>
          </cell>
          <cell r="C182">
            <v>69.77</v>
          </cell>
          <cell r="D182">
            <v>69.599999999999994</v>
          </cell>
          <cell r="E182">
            <v>69.650000000000006</v>
          </cell>
          <cell r="F182">
            <v>69.680000000000007</v>
          </cell>
          <cell r="G182">
            <v>69.84</v>
          </cell>
          <cell r="H182">
            <v>69.33</v>
          </cell>
          <cell r="I182">
            <v>69.760000000000005</v>
          </cell>
        </row>
        <row r="183">
          <cell r="A183" t="str">
            <v>PRY</v>
          </cell>
          <cell r="B183" t="str">
            <v>Paraguay</v>
          </cell>
          <cell r="C183">
            <v>66.099999999999994</v>
          </cell>
          <cell r="D183">
            <v>65.849999999999994</v>
          </cell>
          <cell r="E183">
            <v>65.290000000000006</v>
          </cell>
          <cell r="F183">
            <v>66.16</v>
          </cell>
          <cell r="G183">
            <v>65.86</v>
          </cell>
          <cell r="H183">
            <v>65.12</v>
          </cell>
          <cell r="I183">
            <v>65.67</v>
          </cell>
        </row>
        <row r="184">
          <cell r="A184" t="str">
            <v>PSE</v>
          </cell>
          <cell r="B184" t="str">
            <v>West Bank and Gaza</v>
          </cell>
          <cell r="C184">
            <v>60.61</v>
          </cell>
          <cell r="D184">
            <v>60.65</v>
          </cell>
          <cell r="E184">
            <v>60.61</v>
          </cell>
          <cell r="F184">
            <v>60.55</v>
          </cell>
          <cell r="G184">
            <v>60.38</v>
          </cell>
          <cell r="H184">
            <v>60.57</v>
          </cell>
          <cell r="I184">
            <v>60.48</v>
          </cell>
        </row>
        <row r="185">
          <cell r="A185" t="str">
            <v>PYF</v>
          </cell>
          <cell r="B185" t="str">
            <v>French Polynesia (Fr.)</v>
          </cell>
          <cell r="C185">
            <v>80.88</v>
          </cell>
          <cell r="D185">
            <v>80.819999999999993</v>
          </cell>
          <cell r="E185">
            <v>80.83</v>
          </cell>
          <cell r="F185">
            <v>80.86</v>
          </cell>
          <cell r="G185">
            <v>80.87</v>
          </cell>
          <cell r="H185">
            <v>80.89</v>
          </cell>
          <cell r="I185">
            <v>80.959999999999994</v>
          </cell>
        </row>
        <row r="186">
          <cell r="A186" t="str">
            <v>QAT</v>
          </cell>
          <cell r="B186" t="str">
            <v>Qatar</v>
          </cell>
          <cell r="C186">
            <v>53.16</v>
          </cell>
          <cell r="D186">
            <v>53.05</v>
          </cell>
          <cell r="E186">
            <v>53.31</v>
          </cell>
          <cell r="F186">
            <v>53.13</v>
          </cell>
          <cell r="G186">
            <v>52.95</v>
          </cell>
          <cell r="H186">
            <v>53</v>
          </cell>
          <cell r="I186">
            <v>53.17</v>
          </cell>
        </row>
        <row r="187">
          <cell r="A187" t="str">
            <v>REU</v>
          </cell>
          <cell r="B187" t="str">
            <v>REU</v>
          </cell>
          <cell r="C187">
            <v>80.489999999999995</v>
          </cell>
          <cell r="D187">
            <v>80.459999999999994</v>
          </cell>
          <cell r="E187">
            <v>80.37</v>
          </cell>
          <cell r="F187">
            <v>80.459999999999994</v>
          </cell>
          <cell r="G187">
            <v>80.34</v>
          </cell>
          <cell r="H187">
            <v>80.48</v>
          </cell>
          <cell r="I187">
            <v>80.459999999999994</v>
          </cell>
        </row>
        <row r="188">
          <cell r="A188" t="str">
            <v>ROU</v>
          </cell>
          <cell r="B188" t="str">
            <v>Romania</v>
          </cell>
          <cell r="C188">
            <v>74.680000000000007</v>
          </cell>
          <cell r="D188">
            <v>74.459999999999994</v>
          </cell>
          <cell r="E188">
            <v>74.7</v>
          </cell>
          <cell r="F188">
            <v>74.42</v>
          </cell>
          <cell r="G188">
            <v>74.84</v>
          </cell>
          <cell r="H188">
            <v>74.67</v>
          </cell>
          <cell r="I188">
            <v>74.34</v>
          </cell>
        </row>
        <row r="189">
          <cell r="A189" t="str">
            <v>RUS</v>
          </cell>
          <cell r="B189" t="str">
            <v>Russian Federation</v>
          </cell>
          <cell r="C189">
            <v>75.260000000000005</v>
          </cell>
          <cell r="D189">
            <v>75.150000000000006</v>
          </cell>
          <cell r="E189">
            <v>75.22</v>
          </cell>
          <cell r="F189">
            <v>75.17</v>
          </cell>
          <cell r="G189">
            <v>75.22</v>
          </cell>
          <cell r="H189">
            <v>75.239999999999995</v>
          </cell>
          <cell r="I189">
            <v>75.17</v>
          </cell>
        </row>
        <row r="190">
          <cell r="A190" t="str">
            <v>RWA</v>
          </cell>
          <cell r="B190" t="str">
            <v>Rwanda</v>
          </cell>
          <cell r="C190">
            <v>71.7</v>
          </cell>
          <cell r="D190">
            <v>71.650000000000006</v>
          </cell>
          <cell r="E190">
            <v>71.66</v>
          </cell>
          <cell r="F190">
            <v>71.87</v>
          </cell>
          <cell r="G190">
            <v>71.8</v>
          </cell>
          <cell r="H190">
            <v>71.650000000000006</v>
          </cell>
          <cell r="I190">
            <v>71.430000000000007</v>
          </cell>
        </row>
        <row r="191">
          <cell r="A191" t="str">
            <v>SAU</v>
          </cell>
          <cell r="B191" t="str">
            <v>Saudi Arabia</v>
          </cell>
          <cell r="C191">
            <v>31.57</v>
          </cell>
          <cell r="D191">
            <v>31.36</v>
          </cell>
          <cell r="E191">
            <v>31.61</v>
          </cell>
          <cell r="F191">
            <v>31.38</v>
          </cell>
          <cell r="G191">
            <v>31.17</v>
          </cell>
          <cell r="H191">
            <v>31.23</v>
          </cell>
          <cell r="I191">
            <v>31.48</v>
          </cell>
        </row>
        <row r="192">
          <cell r="A192" t="str">
            <v>SDN</v>
          </cell>
          <cell r="B192" t="str">
            <v>Sudan</v>
          </cell>
          <cell r="C192">
            <v>32.94</v>
          </cell>
          <cell r="D192">
            <v>32.909999999999997</v>
          </cell>
          <cell r="E192">
            <v>33.14</v>
          </cell>
          <cell r="F192">
            <v>32.799999999999997</v>
          </cell>
          <cell r="G192">
            <v>32.83</v>
          </cell>
          <cell r="H192">
            <v>32.94</v>
          </cell>
          <cell r="I192">
            <v>32.92</v>
          </cell>
        </row>
        <row r="193">
          <cell r="A193" t="str">
            <v>SEN</v>
          </cell>
          <cell r="B193" t="str">
            <v>Senegal</v>
          </cell>
          <cell r="C193">
            <v>47.46</v>
          </cell>
          <cell r="D193">
            <v>47.23</v>
          </cell>
          <cell r="E193">
            <v>47.54</v>
          </cell>
          <cell r="F193">
            <v>47.48</v>
          </cell>
          <cell r="G193">
            <v>47.47</v>
          </cell>
          <cell r="H193">
            <v>47.29</v>
          </cell>
          <cell r="I193">
            <v>47.31</v>
          </cell>
        </row>
        <row r="194">
          <cell r="A194" t="str">
            <v>SGP</v>
          </cell>
          <cell r="B194" t="str">
            <v>Singapore</v>
          </cell>
          <cell r="C194">
            <v>82.74</v>
          </cell>
          <cell r="D194">
            <v>82.86</v>
          </cell>
          <cell r="E194">
            <v>82.75</v>
          </cell>
          <cell r="F194">
            <v>82.76</v>
          </cell>
          <cell r="G194">
            <v>82.86</v>
          </cell>
          <cell r="H194">
            <v>82.85</v>
          </cell>
          <cell r="I194">
            <v>82.88</v>
          </cell>
        </row>
        <row r="195">
          <cell r="A195" t="str">
            <v>SHN</v>
          </cell>
          <cell r="B195" t="str">
            <v>Saint Helena, Ascension and Tristan da Cunha (U.K.)</v>
          </cell>
          <cell r="C195">
            <v>77.010000000000005</v>
          </cell>
          <cell r="D195">
            <v>77.02</v>
          </cell>
          <cell r="E195">
            <v>77.010000000000005</v>
          </cell>
          <cell r="F195">
            <v>77.08</v>
          </cell>
          <cell r="G195">
            <v>76.97</v>
          </cell>
          <cell r="H195">
            <v>77.09</v>
          </cell>
          <cell r="I195">
            <v>77.069999999999993</v>
          </cell>
        </row>
        <row r="196">
          <cell r="A196" t="str">
            <v>SJM</v>
          </cell>
          <cell r="B196" t="str">
            <v>Svalbard and Jan Mayen (Nor.)</v>
          </cell>
          <cell r="C196">
            <v>83.11</v>
          </cell>
          <cell r="D196">
            <v>83.11</v>
          </cell>
          <cell r="E196">
            <v>83.05</v>
          </cell>
          <cell r="F196">
            <v>83.2</v>
          </cell>
          <cell r="G196">
            <v>82.98</v>
          </cell>
          <cell r="H196">
            <v>83.12</v>
          </cell>
          <cell r="I196">
            <v>83.13</v>
          </cell>
        </row>
        <row r="197">
          <cell r="A197" t="str">
            <v>SLB</v>
          </cell>
          <cell r="B197" t="str">
            <v>Solomon Islands</v>
          </cell>
          <cell r="C197">
            <v>84.74</v>
          </cell>
          <cell r="D197">
            <v>84.61</v>
          </cell>
          <cell r="E197">
            <v>84.57</v>
          </cell>
          <cell r="F197">
            <v>84.57</v>
          </cell>
          <cell r="G197">
            <v>84.63</v>
          </cell>
          <cell r="H197">
            <v>84.63</v>
          </cell>
          <cell r="I197">
            <v>84.65</v>
          </cell>
        </row>
        <row r="198">
          <cell r="A198" t="str">
            <v>SLE</v>
          </cell>
          <cell r="B198" t="str">
            <v>Sierra Leone</v>
          </cell>
          <cell r="C198">
            <v>75.77</v>
          </cell>
          <cell r="D198">
            <v>75.42</v>
          </cell>
          <cell r="E198">
            <v>75.58</v>
          </cell>
          <cell r="F198">
            <v>75.67</v>
          </cell>
          <cell r="G198">
            <v>75.73</v>
          </cell>
          <cell r="H198">
            <v>75.55</v>
          </cell>
          <cell r="I198">
            <v>75.62</v>
          </cell>
        </row>
        <row r="199">
          <cell r="A199" t="str">
            <v>SLV</v>
          </cell>
          <cell r="B199" t="str">
            <v>El Salvador</v>
          </cell>
          <cell r="C199">
            <v>67.72</v>
          </cell>
          <cell r="D199">
            <v>67.72</v>
          </cell>
          <cell r="E199">
            <v>67.52</v>
          </cell>
          <cell r="F199">
            <v>67.84</v>
          </cell>
          <cell r="G199">
            <v>67.540000000000006</v>
          </cell>
          <cell r="H199">
            <v>67.959999999999994</v>
          </cell>
          <cell r="I199">
            <v>67.900000000000006</v>
          </cell>
        </row>
        <row r="200">
          <cell r="A200" t="str">
            <v>SMR</v>
          </cell>
          <cell r="B200" t="str">
            <v>San Marino</v>
          </cell>
          <cell r="C200">
            <v>72.08</v>
          </cell>
          <cell r="D200">
            <v>71.790000000000006</v>
          </cell>
          <cell r="E200">
            <v>71.989999999999995</v>
          </cell>
          <cell r="F200">
            <v>71.7</v>
          </cell>
          <cell r="G200">
            <v>71.97</v>
          </cell>
          <cell r="H200">
            <v>72.13</v>
          </cell>
          <cell r="I200">
            <v>72.09</v>
          </cell>
        </row>
        <row r="201">
          <cell r="A201" t="str">
            <v>SOM</v>
          </cell>
          <cell r="B201" t="str">
            <v>Somalia</v>
          </cell>
          <cell r="C201">
            <v>57.69</v>
          </cell>
          <cell r="D201">
            <v>57.46</v>
          </cell>
          <cell r="E201">
            <v>57.64</v>
          </cell>
          <cell r="F201">
            <v>57.71</v>
          </cell>
          <cell r="G201">
            <v>57.63</v>
          </cell>
          <cell r="H201">
            <v>57.35</v>
          </cell>
          <cell r="I201">
            <v>57.5</v>
          </cell>
        </row>
        <row r="202">
          <cell r="A202" t="str">
            <v>SPM</v>
          </cell>
          <cell r="B202" t="str">
            <v>Saint-Pierre-et-Miquelon (Fr.)</v>
          </cell>
          <cell r="C202">
            <v>81.81</v>
          </cell>
          <cell r="D202">
            <v>81.569999999999993</v>
          </cell>
          <cell r="E202">
            <v>81.53</v>
          </cell>
          <cell r="F202">
            <v>81.709999999999994</v>
          </cell>
          <cell r="G202">
            <v>81.44</v>
          </cell>
          <cell r="H202">
            <v>81.47</v>
          </cell>
          <cell r="I202">
            <v>81.44</v>
          </cell>
        </row>
        <row r="203">
          <cell r="A203" t="str">
            <v>SRB</v>
          </cell>
          <cell r="B203" t="str">
            <v>Serbia</v>
          </cell>
          <cell r="C203">
            <v>72.47</v>
          </cell>
          <cell r="D203">
            <v>71.98</v>
          </cell>
          <cell r="E203">
            <v>72.040000000000006</v>
          </cell>
          <cell r="F203">
            <v>71.930000000000007</v>
          </cell>
          <cell r="G203">
            <v>72.069999999999993</v>
          </cell>
          <cell r="H203">
            <v>72.099999999999994</v>
          </cell>
          <cell r="I203">
            <v>71.97</v>
          </cell>
        </row>
        <row r="204">
          <cell r="A204" t="str">
            <v>SSD</v>
          </cell>
          <cell r="B204" t="str">
            <v>South Sudan</v>
          </cell>
          <cell r="C204">
            <v>58.16</v>
          </cell>
          <cell r="D204">
            <v>57.74</v>
          </cell>
          <cell r="E204">
            <v>58.04</v>
          </cell>
          <cell r="F204">
            <v>58.47</v>
          </cell>
          <cell r="G204">
            <v>57.78</v>
          </cell>
          <cell r="H204">
            <v>57.65</v>
          </cell>
          <cell r="I204">
            <v>57.91</v>
          </cell>
        </row>
        <row r="205">
          <cell r="A205" t="str">
            <v>STP</v>
          </cell>
          <cell r="B205" t="str">
            <v>São Tomé and Príncipe</v>
          </cell>
          <cell r="C205">
            <v>83.36</v>
          </cell>
          <cell r="D205">
            <v>83.31</v>
          </cell>
          <cell r="E205">
            <v>83.37</v>
          </cell>
          <cell r="F205">
            <v>83.31</v>
          </cell>
          <cell r="G205">
            <v>83.38</v>
          </cell>
          <cell r="H205">
            <v>83.3</v>
          </cell>
          <cell r="I205">
            <v>83.29</v>
          </cell>
        </row>
        <row r="206">
          <cell r="A206" t="str">
            <v>SUR</v>
          </cell>
          <cell r="B206" t="str">
            <v>Suriname</v>
          </cell>
          <cell r="C206">
            <v>75.83</v>
          </cell>
          <cell r="D206">
            <v>76.45</v>
          </cell>
          <cell r="E206">
            <v>76.31</v>
          </cell>
          <cell r="F206">
            <v>75.81</v>
          </cell>
          <cell r="G206">
            <v>75.87</v>
          </cell>
          <cell r="H206">
            <v>75.87</v>
          </cell>
          <cell r="I206">
            <v>76.11</v>
          </cell>
        </row>
        <row r="207">
          <cell r="A207" t="str">
            <v>SVK</v>
          </cell>
          <cell r="B207" t="str">
            <v>Slovak Republic</v>
          </cell>
          <cell r="C207">
            <v>76.959999999999994</v>
          </cell>
          <cell r="D207">
            <v>77</v>
          </cell>
          <cell r="E207">
            <v>76.89</v>
          </cell>
          <cell r="F207">
            <v>76.790000000000006</v>
          </cell>
          <cell r="G207">
            <v>76.86</v>
          </cell>
          <cell r="H207">
            <v>76.88</v>
          </cell>
          <cell r="I207">
            <v>76.650000000000006</v>
          </cell>
        </row>
        <row r="208">
          <cell r="A208" t="str">
            <v>SVN</v>
          </cell>
          <cell r="B208" t="str">
            <v>Slovenia</v>
          </cell>
          <cell r="C208">
            <v>76.41</v>
          </cell>
          <cell r="D208">
            <v>76.55</v>
          </cell>
          <cell r="E208">
            <v>76.56</v>
          </cell>
          <cell r="F208">
            <v>76.540000000000006</v>
          </cell>
          <cell r="G208">
            <v>76.69</v>
          </cell>
          <cell r="H208">
            <v>76.709999999999994</v>
          </cell>
          <cell r="I208">
            <v>76.47</v>
          </cell>
        </row>
        <row r="209">
          <cell r="A209" t="str">
            <v>SWE</v>
          </cell>
          <cell r="B209" t="str">
            <v>Sweden</v>
          </cell>
          <cell r="C209">
            <v>79.86</v>
          </cell>
          <cell r="D209">
            <v>79.83</v>
          </cell>
          <cell r="E209">
            <v>79.819999999999993</v>
          </cell>
          <cell r="F209">
            <v>79.64</v>
          </cell>
          <cell r="G209">
            <v>79.739999999999995</v>
          </cell>
          <cell r="H209">
            <v>79.78</v>
          </cell>
          <cell r="I209">
            <v>79.83</v>
          </cell>
        </row>
        <row r="210">
          <cell r="A210" t="str">
            <v>SWZ</v>
          </cell>
          <cell r="B210" t="str">
            <v>Eswatini</v>
          </cell>
          <cell r="C210">
            <v>65.86</v>
          </cell>
          <cell r="D210">
            <v>66.010000000000005</v>
          </cell>
          <cell r="E210">
            <v>66.23</v>
          </cell>
          <cell r="F210">
            <v>65.760000000000005</v>
          </cell>
          <cell r="G210">
            <v>66.06</v>
          </cell>
          <cell r="H210">
            <v>65.88</v>
          </cell>
          <cell r="I210">
            <v>66.11</v>
          </cell>
        </row>
        <row r="211">
          <cell r="A211" t="str">
            <v>SXM</v>
          </cell>
          <cell r="B211" t="str">
            <v>Sint Maarten (Neth.)</v>
          </cell>
          <cell r="C211">
            <v>79.94</v>
          </cell>
          <cell r="D211">
            <v>80.08</v>
          </cell>
          <cell r="E211">
            <v>79.97</v>
          </cell>
          <cell r="F211">
            <v>80.05</v>
          </cell>
          <cell r="G211">
            <v>80.040000000000006</v>
          </cell>
          <cell r="H211">
            <v>79.98</v>
          </cell>
          <cell r="I211">
            <v>80.069999999999993</v>
          </cell>
        </row>
        <row r="212">
          <cell r="A212" t="str">
            <v>SYC</v>
          </cell>
          <cell r="B212" t="str">
            <v>Seychelles</v>
          </cell>
          <cell r="C212">
            <v>82.01</v>
          </cell>
          <cell r="D212">
            <v>81.97</v>
          </cell>
          <cell r="E212">
            <v>81.96</v>
          </cell>
          <cell r="F212">
            <v>82.03</v>
          </cell>
          <cell r="G212">
            <v>82</v>
          </cell>
          <cell r="H212">
            <v>81.84</v>
          </cell>
          <cell r="I212">
            <v>81.97</v>
          </cell>
        </row>
        <row r="213">
          <cell r="A213" t="str">
            <v>SYR</v>
          </cell>
          <cell r="B213" t="str">
            <v>Syrian Arab Republic</v>
          </cell>
          <cell r="C213">
            <v>49.31</v>
          </cell>
          <cell r="D213">
            <v>49.47</v>
          </cell>
          <cell r="E213">
            <v>49.2</v>
          </cell>
          <cell r="F213">
            <v>49.08</v>
          </cell>
          <cell r="G213">
            <v>48.64</v>
          </cell>
          <cell r="H213">
            <v>49.06</v>
          </cell>
          <cell r="I213">
            <v>49.19</v>
          </cell>
        </row>
        <row r="214">
          <cell r="A214" t="str">
            <v>TCA</v>
          </cell>
          <cell r="B214" t="str">
            <v>Turks and Caicos Islands (U.K.)</v>
          </cell>
          <cell r="C214">
            <v>79.2</v>
          </cell>
          <cell r="D214">
            <v>79.290000000000006</v>
          </cell>
          <cell r="E214">
            <v>79.290000000000006</v>
          </cell>
          <cell r="F214">
            <v>79.37</v>
          </cell>
          <cell r="G214">
            <v>79.42</v>
          </cell>
          <cell r="H214">
            <v>79.3</v>
          </cell>
          <cell r="I214">
            <v>79.45</v>
          </cell>
        </row>
        <row r="215">
          <cell r="A215" t="str">
            <v>TCD</v>
          </cell>
          <cell r="B215" t="str">
            <v>Chad</v>
          </cell>
          <cell r="C215">
            <v>32.200000000000003</v>
          </cell>
          <cell r="D215">
            <v>31.93</v>
          </cell>
          <cell r="E215">
            <v>32.28</v>
          </cell>
          <cell r="F215">
            <v>32.200000000000003</v>
          </cell>
          <cell r="G215">
            <v>32.020000000000003</v>
          </cell>
          <cell r="H215">
            <v>32.17</v>
          </cell>
          <cell r="I215">
            <v>32.06</v>
          </cell>
        </row>
        <row r="216">
          <cell r="A216" t="str">
            <v>TGO</v>
          </cell>
          <cell r="B216" t="str">
            <v>Togo</v>
          </cell>
          <cell r="C216">
            <v>68.599999999999994</v>
          </cell>
          <cell r="D216">
            <v>68.180000000000007</v>
          </cell>
          <cell r="E216">
            <v>68.510000000000005</v>
          </cell>
          <cell r="F216">
            <v>68.47</v>
          </cell>
          <cell r="G216">
            <v>68.59</v>
          </cell>
          <cell r="H216">
            <v>68.47</v>
          </cell>
          <cell r="I216">
            <v>68.41</v>
          </cell>
        </row>
        <row r="217">
          <cell r="A217" t="str">
            <v>THA</v>
          </cell>
          <cell r="B217" t="str">
            <v>Thailand</v>
          </cell>
          <cell r="C217">
            <v>72.290000000000006</v>
          </cell>
          <cell r="D217">
            <v>72.44</v>
          </cell>
          <cell r="E217">
            <v>72.5</v>
          </cell>
          <cell r="F217">
            <v>72.290000000000006</v>
          </cell>
          <cell r="G217">
            <v>72.39</v>
          </cell>
          <cell r="H217">
            <v>72.39</v>
          </cell>
          <cell r="I217">
            <v>72.42</v>
          </cell>
        </row>
        <row r="218">
          <cell r="A218" t="str">
            <v>TJK</v>
          </cell>
          <cell r="B218" t="str">
            <v>Tajikistan</v>
          </cell>
          <cell r="C218">
            <v>66.099999999999994</v>
          </cell>
          <cell r="D218">
            <v>65.599999999999994</v>
          </cell>
          <cell r="E218">
            <v>65.72</v>
          </cell>
          <cell r="F218">
            <v>65.709999999999994</v>
          </cell>
          <cell r="G218">
            <v>65.510000000000005</v>
          </cell>
          <cell r="H218">
            <v>65.48</v>
          </cell>
          <cell r="I218">
            <v>65.55</v>
          </cell>
        </row>
        <row r="219">
          <cell r="A219" t="str">
            <v>TKL</v>
          </cell>
          <cell r="B219" t="str">
            <v>Tokelau (N.Z.)</v>
          </cell>
          <cell r="C219">
            <v>82.54</v>
          </cell>
          <cell r="D219">
            <v>82.52</v>
          </cell>
          <cell r="E219">
            <v>82.45</v>
          </cell>
          <cell r="F219">
            <v>82.61</v>
          </cell>
          <cell r="G219">
            <v>82.54</v>
          </cell>
          <cell r="H219">
            <v>82.58</v>
          </cell>
          <cell r="I219">
            <v>82.55</v>
          </cell>
        </row>
        <row r="220">
          <cell r="A220" t="str">
            <v>TKM</v>
          </cell>
          <cell r="B220" t="str">
            <v>Turkmenistan</v>
          </cell>
          <cell r="C220">
            <v>50.04</v>
          </cell>
          <cell r="D220">
            <v>49.61</v>
          </cell>
          <cell r="E220">
            <v>49.88</v>
          </cell>
          <cell r="F220">
            <v>49.46</v>
          </cell>
          <cell r="G220">
            <v>49.54</v>
          </cell>
          <cell r="H220">
            <v>49.61</v>
          </cell>
          <cell r="I220">
            <v>49.37</v>
          </cell>
        </row>
        <row r="221">
          <cell r="A221" t="str">
            <v>TLS</v>
          </cell>
          <cell r="B221" t="str">
            <v>Timor-Leste</v>
          </cell>
          <cell r="C221">
            <v>78.290000000000006</v>
          </cell>
          <cell r="D221">
            <v>78.22</v>
          </cell>
          <cell r="E221">
            <v>78.209999999999994</v>
          </cell>
          <cell r="F221">
            <v>78.180000000000007</v>
          </cell>
          <cell r="G221">
            <v>78.19</v>
          </cell>
          <cell r="H221">
            <v>78.2</v>
          </cell>
          <cell r="I221">
            <v>78.099999999999994</v>
          </cell>
        </row>
        <row r="222">
          <cell r="A222" t="str">
            <v>TON</v>
          </cell>
          <cell r="B222" t="str">
            <v>Tonga</v>
          </cell>
          <cell r="C222">
            <v>78.34</v>
          </cell>
          <cell r="D222">
            <v>78.3</v>
          </cell>
          <cell r="E222">
            <v>78.31</v>
          </cell>
          <cell r="F222">
            <v>78.34</v>
          </cell>
          <cell r="G222">
            <v>78.23</v>
          </cell>
          <cell r="H222">
            <v>78.430000000000007</v>
          </cell>
          <cell r="I222">
            <v>78.38</v>
          </cell>
        </row>
        <row r="223">
          <cell r="A223" t="str">
            <v>TTO</v>
          </cell>
          <cell r="B223" t="str">
            <v>Trinidad and Tobago</v>
          </cell>
          <cell r="C223">
            <v>81.59</v>
          </cell>
          <cell r="D223">
            <v>81.66</v>
          </cell>
          <cell r="E223">
            <v>81.44</v>
          </cell>
          <cell r="F223">
            <v>81.599999999999994</v>
          </cell>
          <cell r="G223">
            <v>81.47</v>
          </cell>
          <cell r="H223">
            <v>81.53</v>
          </cell>
          <cell r="I223">
            <v>81.62</v>
          </cell>
        </row>
        <row r="224">
          <cell r="A224" t="str">
            <v>TUN</v>
          </cell>
          <cell r="B224" t="str">
            <v>Tunisia</v>
          </cell>
          <cell r="C224">
            <v>54.05</v>
          </cell>
          <cell r="D224">
            <v>53.95</v>
          </cell>
          <cell r="E224">
            <v>54.05</v>
          </cell>
          <cell r="F224">
            <v>53.74</v>
          </cell>
          <cell r="G224">
            <v>53.62</v>
          </cell>
          <cell r="H224">
            <v>53.88</v>
          </cell>
          <cell r="I224">
            <v>53.84</v>
          </cell>
        </row>
        <row r="225">
          <cell r="A225" t="str">
            <v>TUR</v>
          </cell>
          <cell r="B225" t="str">
            <v>Türkiye</v>
          </cell>
          <cell r="C225">
            <v>63.33</v>
          </cell>
          <cell r="D225">
            <v>63.42</v>
          </cell>
          <cell r="E225">
            <v>63.34</v>
          </cell>
          <cell r="F225">
            <v>62.99</v>
          </cell>
          <cell r="G225">
            <v>62.9</v>
          </cell>
          <cell r="H225">
            <v>63</v>
          </cell>
          <cell r="I225">
            <v>63.08</v>
          </cell>
        </row>
        <row r="226">
          <cell r="A226" t="str">
            <v>TUV</v>
          </cell>
          <cell r="B226" t="str">
            <v>Tuvalu</v>
          </cell>
          <cell r="C226">
            <v>82.59</v>
          </cell>
          <cell r="D226">
            <v>82.56</v>
          </cell>
          <cell r="E226">
            <v>82.32</v>
          </cell>
          <cell r="F226">
            <v>82.61</v>
          </cell>
          <cell r="G226">
            <v>82.67</v>
          </cell>
          <cell r="H226">
            <v>82.5</v>
          </cell>
          <cell r="I226">
            <v>82.54</v>
          </cell>
        </row>
        <row r="227">
          <cell r="A227" t="str">
            <v>TWN</v>
          </cell>
          <cell r="B227" t="str">
            <v>TWN</v>
          </cell>
          <cell r="C227">
            <v>81.09</v>
          </cell>
          <cell r="D227">
            <v>81.08</v>
          </cell>
          <cell r="E227">
            <v>81.19</v>
          </cell>
          <cell r="F227">
            <v>81.010000000000005</v>
          </cell>
          <cell r="G227">
            <v>81.14</v>
          </cell>
          <cell r="H227">
            <v>81.11</v>
          </cell>
          <cell r="I227">
            <v>80.959999999999994</v>
          </cell>
        </row>
        <row r="228">
          <cell r="A228" t="str">
            <v>TZA</v>
          </cell>
          <cell r="B228" t="str">
            <v>Tanzania</v>
          </cell>
          <cell r="C228">
            <v>65.58</v>
          </cell>
          <cell r="D228">
            <v>65.459999999999994</v>
          </cell>
          <cell r="E228">
            <v>65.37</v>
          </cell>
          <cell r="F228">
            <v>65.540000000000006</v>
          </cell>
          <cell r="G228">
            <v>65.58</v>
          </cell>
          <cell r="H228">
            <v>65.36</v>
          </cell>
          <cell r="I228">
            <v>65.36</v>
          </cell>
        </row>
        <row r="229">
          <cell r="A229" t="str">
            <v>UGA</v>
          </cell>
          <cell r="B229" t="str">
            <v>Uganda</v>
          </cell>
          <cell r="C229">
            <v>71.34</v>
          </cell>
          <cell r="D229">
            <v>71.150000000000006</v>
          </cell>
          <cell r="E229">
            <v>71.180000000000007</v>
          </cell>
          <cell r="F229">
            <v>71.55</v>
          </cell>
          <cell r="G229">
            <v>71.34</v>
          </cell>
          <cell r="H229">
            <v>71.349999999999994</v>
          </cell>
          <cell r="I229">
            <v>71.3</v>
          </cell>
        </row>
        <row r="230">
          <cell r="A230" t="str">
            <v>UKR</v>
          </cell>
          <cell r="B230" t="str">
            <v>Ukraine</v>
          </cell>
          <cell r="C230">
            <v>73.69</v>
          </cell>
          <cell r="D230">
            <v>73.900000000000006</v>
          </cell>
          <cell r="E230">
            <v>73.95</v>
          </cell>
          <cell r="F230">
            <v>73.739999999999995</v>
          </cell>
          <cell r="G230">
            <v>74.13</v>
          </cell>
          <cell r="H230">
            <v>74.150000000000006</v>
          </cell>
          <cell r="I230">
            <v>73.930000000000007</v>
          </cell>
        </row>
        <row r="231">
          <cell r="A231" t="str">
            <v>UMI</v>
          </cell>
          <cell r="B231" t="str">
            <v>U.S. Minor Outlying Islands</v>
          </cell>
          <cell r="C231">
            <v>79.760000000000005</v>
          </cell>
          <cell r="D231">
            <v>79.91</v>
          </cell>
          <cell r="E231">
            <v>79.83</v>
          </cell>
          <cell r="F231">
            <v>79.849999999999994</v>
          </cell>
          <cell r="G231">
            <v>79.95</v>
          </cell>
          <cell r="H231">
            <v>79.930000000000007</v>
          </cell>
          <cell r="I231">
            <v>79.930000000000007</v>
          </cell>
        </row>
        <row r="232">
          <cell r="A232" t="str">
            <v>URY</v>
          </cell>
          <cell r="B232" t="str">
            <v>Uruguay</v>
          </cell>
          <cell r="C232">
            <v>72.87</v>
          </cell>
          <cell r="D232">
            <v>73.02</v>
          </cell>
          <cell r="E232">
            <v>73.069999999999993</v>
          </cell>
          <cell r="F232">
            <v>73.37</v>
          </cell>
          <cell r="G232">
            <v>73.3</v>
          </cell>
          <cell r="H232">
            <v>72.959999999999994</v>
          </cell>
          <cell r="I232">
            <v>73.010000000000005</v>
          </cell>
        </row>
        <row r="233">
          <cell r="A233" t="str">
            <v>USA</v>
          </cell>
          <cell r="B233" t="str">
            <v>United States of America</v>
          </cell>
          <cell r="C233">
            <v>61.15</v>
          </cell>
          <cell r="D233">
            <v>60.81</v>
          </cell>
          <cell r="E233">
            <v>60.8</v>
          </cell>
          <cell r="F233">
            <v>60.98</v>
          </cell>
          <cell r="G233">
            <v>61.05</v>
          </cell>
          <cell r="H233">
            <v>60.75</v>
          </cell>
          <cell r="I233">
            <v>60.76</v>
          </cell>
        </row>
        <row r="234">
          <cell r="A234" t="str">
            <v>UZB</v>
          </cell>
          <cell r="B234" t="str">
            <v>Uzbekistan</v>
          </cell>
          <cell r="C234">
            <v>54.31</v>
          </cell>
          <cell r="D234">
            <v>53.91</v>
          </cell>
          <cell r="E234">
            <v>53.94</v>
          </cell>
          <cell r="F234">
            <v>53.55</v>
          </cell>
          <cell r="G234">
            <v>53.74</v>
          </cell>
          <cell r="H234">
            <v>53.82</v>
          </cell>
          <cell r="I234">
            <v>53.91</v>
          </cell>
        </row>
        <row r="235">
          <cell r="A235" t="str">
            <v>VAT</v>
          </cell>
          <cell r="B235" t="str">
            <v>Vatican City</v>
          </cell>
          <cell r="C235">
            <v>71.86</v>
          </cell>
          <cell r="D235">
            <v>71.75</v>
          </cell>
          <cell r="E235">
            <v>72.12</v>
          </cell>
          <cell r="F235">
            <v>71.87</v>
          </cell>
          <cell r="G235">
            <v>72.17</v>
          </cell>
          <cell r="H235">
            <v>71.89</v>
          </cell>
          <cell r="I235">
            <v>72.03</v>
          </cell>
        </row>
        <row r="236">
          <cell r="A236" t="str">
            <v>VCT</v>
          </cell>
          <cell r="B236" t="str">
            <v>Saint Vincent and the Grenadines</v>
          </cell>
          <cell r="C236">
            <v>81.67</v>
          </cell>
          <cell r="D236">
            <v>81.540000000000006</v>
          </cell>
          <cell r="E236">
            <v>81.56</v>
          </cell>
          <cell r="F236">
            <v>81.5</v>
          </cell>
          <cell r="G236">
            <v>81.569999999999993</v>
          </cell>
          <cell r="H236">
            <v>81.510000000000005</v>
          </cell>
          <cell r="I236">
            <v>81.56</v>
          </cell>
        </row>
        <row r="237">
          <cell r="A237" t="str">
            <v>VEN</v>
          </cell>
          <cell r="B237" t="str">
            <v>R. B. de Venezuela</v>
          </cell>
          <cell r="C237">
            <v>75.81</v>
          </cell>
          <cell r="D237">
            <v>76.040000000000006</v>
          </cell>
          <cell r="E237">
            <v>75.84</v>
          </cell>
          <cell r="F237">
            <v>75.760000000000005</v>
          </cell>
          <cell r="G237">
            <v>75.69</v>
          </cell>
          <cell r="H237">
            <v>75.650000000000006</v>
          </cell>
          <cell r="I237">
            <v>75.78</v>
          </cell>
        </row>
        <row r="238">
          <cell r="A238" t="str">
            <v>VGB</v>
          </cell>
          <cell r="B238" t="str">
            <v>British Virgin Islands (U.K.)</v>
          </cell>
          <cell r="C238">
            <v>79.98</v>
          </cell>
          <cell r="D238">
            <v>80.03</v>
          </cell>
          <cell r="E238">
            <v>79.959999999999994</v>
          </cell>
          <cell r="F238">
            <v>80.09</v>
          </cell>
          <cell r="G238">
            <v>79.989999999999995</v>
          </cell>
          <cell r="H238">
            <v>79.98</v>
          </cell>
          <cell r="I238">
            <v>80.03</v>
          </cell>
        </row>
        <row r="239">
          <cell r="A239" t="str">
            <v>VIR</v>
          </cell>
          <cell r="B239" t="str">
            <v>United States Virgin Islands (U.S.)</v>
          </cell>
          <cell r="C239">
            <v>80.040000000000006</v>
          </cell>
          <cell r="D239">
            <v>80.11</v>
          </cell>
          <cell r="E239">
            <v>80.05</v>
          </cell>
          <cell r="F239">
            <v>80.069999999999993</v>
          </cell>
          <cell r="G239">
            <v>80.06</v>
          </cell>
          <cell r="H239">
            <v>80.08</v>
          </cell>
          <cell r="I239">
            <v>80.069999999999993</v>
          </cell>
        </row>
        <row r="240">
          <cell r="A240" t="str">
            <v>VNM</v>
          </cell>
          <cell r="B240" t="str">
            <v>Vietnam</v>
          </cell>
          <cell r="C240">
            <v>78.58</v>
          </cell>
          <cell r="D240">
            <v>78.709999999999994</v>
          </cell>
          <cell r="E240">
            <v>78.78</v>
          </cell>
          <cell r="F240">
            <v>78.680000000000007</v>
          </cell>
          <cell r="G240">
            <v>78.62</v>
          </cell>
          <cell r="H240">
            <v>78.540000000000006</v>
          </cell>
          <cell r="I240">
            <v>78.63</v>
          </cell>
        </row>
        <row r="241">
          <cell r="A241" t="str">
            <v>VUT</v>
          </cell>
          <cell r="B241" t="str">
            <v>Vanuatu</v>
          </cell>
          <cell r="C241">
            <v>81</v>
          </cell>
          <cell r="D241">
            <v>81.099999999999994</v>
          </cell>
          <cell r="E241">
            <v>81</v>
          </cell>
          <cell r="F241">
            <v>80.94</v>
          </cell>
          <cell r="G241">
            <v>81.08</v>
          </cell>
          <cell r="H241">
            <v>81.03</v>
          </cell>
          <cell r="I241">
            <v>81.069999999999993</v>
          </cell>
        </row>
        <row r="242">
          <cell r="A242" t="str">
            <v>WLF</v>
          </cell>
          <cell r="B242" t="str">
            <v>Wallis and Futuna (Fr.)</v>
          </cell>
          <cell r="C242">
            <v>82.34</v>
          </cell>
          <cell r="D242">
            <v>82.44</v>
          </cell>
          <cell r="E242">
            <v>82.41</v>
          </cell>
          <cell r="F242">
            <v>82.45</v>
          </cell>
          <cell r="G242">
            <v>82.47</v>
          </cell>
          <cell r="H242">
            <v>82.56</v>
          </cell>
          <cell r="I242">
            <v>82.53</v>
          </cell>
        </row>
        <row r="243">
          <cell r="A243" t="str">
            <v>WSM</v>
          </cell>
          <cell r="B243" t="str">
            <v>Samoa</v>
          </cell>
          <cell r="C243">
            <v>83.36</v>
          </cell>
          <cell r="D243">
            <v>83.38</v>
          </cell>
          <cell r="E243">
            <v>83.44</v>
          </cell>
          <cell r="F243">
            <v>83.49</v>
          </cell>
          <cell r="G243">
            <v>83.4</v>
          </cell>
          <cell r="H243">
            <v>83.54</v>
          </cell>
          <cell r="I243">
            <v>83.59</v>
          </cell>
        </row>
        <row r="244">
          <cell r="A244" t="str">
            <v>YEM</v>
          </cell>
          <cell r="B244" t="str">
            <v>Republic of Yemen</v>
          </cell>
          <cell r="C244">
            <v>43.37</v>
          </cell>
          <cell r="D244">
            <v>42.84</v>
          </cell>
          <cell r="E244">
            <v>43.15</v>
          </cell>
          <cell r="F244">
            <v>43.28</v>
          </cell>
          <cell r="G244">
            <v>43.06</v>
          </cell>
          <cell r="H244">
            <v>42.97</v>
          </cell>
          <cell r="I244">
            <v>42.99</v>
          </cell>
        </row>
        <row r="245">
          <cell r="A245" t="str">
            <v>ZAF</v>
          </cell>
          <cell r="B245" t="str">
            <v>South Africa</v>
          </cell>
          <cell r="C245">
            <v>52.41</v>
          </cell>
          <cell r="D245">
            <v>52.76</v>
          </cell>
          <cell r="E245">
            <v>52.95</v>
          </cell>
          <cell r="F245">
            <v>52.59</v>
          </cell>
          <cell r="G245">
            <v>52.34</v>
          </cell>
          <cell r="H245">
            <v>52.92</v>
          </cell>
          <cell r="I245">
            <v>52.8</v>
          </cell>
        </row>
        <row r="246">
          <cell r="A246" t="str">
            <v>ZMB</v>
          </cell>
          <cell r="B246" t="str">
            <v>Zambia</v>
          </cell>
          <cell r="C246">
            <v>58.22</v>
          </cell>
          <cell r="D246">
            <v>58.27</v>
          </cell>
          <cell r="E246">
            <v>58.51</v>
          </cell>
          <cell r="F246">
            <v>58.16</v>
          </cell>
          <cell r="G246">
            <v>58.05</v>
          </cell>
          <cell r="H246">
            <v>58.5</v>
          </cell>
          <cell r="I246">
            <v>58.35</v>
          </cell>
        </row>
        <row r="247">
          <cell r="A247" t="str">
            <v>ZWE</v>
          </cell>
          <cell r="B247" t="str">
            <v>Zimbabwe</v>
          </cell>
          <cell r="C247">
            <v>56.16</v>
          </cell>
          <cell r="D247">
            <v>56.38</v>
          </cell>
          <cell r="E247">
            <v>57.17</v>
          </cell>
          <cell r="F247">
            <v>56.27</v>
          </cell>
          <cell r="G247">
            <v>56.32</v>
          </cell>
          <cell r="H247">
            <v>56.7</v>
          </cell>
          <cell r="I247">
            <v>56.68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lobal"/>
      <sheetName val="Sheet1"/>
      <sheetName val="country"/>
      <sheetName val="注释"/>
      <sheetName val="ve"/>
      <sheetName val="ve1"/>
      <sheetName val="ve2"/>
      <sheetName val="veNTD"/>
    </sheetNames>
    <sheetDataSet>
      <sheetData sheetId="0">
        <row r="27">
          <cell r="B27" t="str">
            <v>BWA</v>
          </cell>
          <cell r="C27" t="str">
            <v>AFR</v>
          </cell>
          <cell r="D27" t="str">
            <v>Sub-Saharan Africa</v>
          </cell>
          <cell r="E27" t="str">
            <v>Upper middle income</v>
          </cell>
          <cell r="G27">
            <v>80.550816819643202</v>
          </cell>
          <cell r="H27">
            <v>23.05</v>
          </cell>
          <cell r="I27">
            <v>23.08</v>
          </cell>
          <cell r="J27">
            <v>23.02</v>
          </cell>
          <cell r="K27">
            <v>20321150598.067173</v>
          </cell>
          <cell r="L27">
            <v>19411266967.104416</v>
          </cell>
          <cell r="M27">
            <v>19400774882.449486</v>
          </cell>
          <cell r="N27">
            <v>8328.7090572666002</v>
          </cell>
          <cell r="O27">
            <v>7826.353764832983</v>
          </cell>
          <cell r="P27">
            <v>7695.7531944516504</v>
          </cell>
        </row>
        <row r="28">
          <cell r="B28" t="str">
            <v>BRA</v>
          </cell>
          <cell r="C28" t="str">
            <v>AMR</v>
          </cell>
          <cell r="D28" t="str">
            <v>Latin America &amp; Caribbean</v>
          </cell>
          <cell r="E28" t="str">
            <v>Upper middle income</v>
          </cell>
          <cell r="G28">
            <v>90.883499368782296</v>
          </cell>
          <cell r="H28">
            <v>26.04</v>
          </cell>
          <cell r="I28">
            <v>26.06</v>
          </cell>
          <cell r="J28">
            <v>26.1</v>
          </cell>
          <cell r="K28">
            <v>1951923942083.3196</v>
          </cell>
          <cell r="L28">
            <v>2191131765684.6296</v>
          </cell>
          <cell r="M28">
            <v>2179412080828.5867</v>
          </cell>
          <cell r="N28">
            <v>9281.3328213686418</v>
          </cell>
          <cell r="O28">
            <v>10377.58977191948</v>
          </cell>
          <cell r="P28">
            <v>10310.548877816553</v>
          </cell>
        </row>
        <row r="29">
          <cell r="B29" t="str">
            <v>VGB</v>
          </cell>
          <cell r="C29" t="str">
            <v>None</v>
          </cell>
          <cell r="D29" t="str">
            <v>Latin America &amp; Caribbean</v>
          </cell>
          <cell r="E29" t="str">
            <v>High income</v>
          </cell>
          <cell r="G29">
            <v>0</v>
          </cell>
          <cell r="H29">
            <v>26.57</v>
          </cell>
          <cell r="I29">
            <v>26.58</v>
          </cell>
          <cell r="J29">
            <v>26.61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B30" t="str">
            <v>BRN</v>
          </cell>
          <cell r="C30" t="str">
            <v>WPR</v>
          </cell>
          <cell r="D30" t="str">
            <v>East Asia &amp; Pacific</v>
          </cell>
          <cell r="E30" t="str">
            <v>High income</v>
          </cell>
          <cell r="G30">
            <v>99.480825405894393</v>
          </cell>
          <cell r="H30">
            <v>27.07</v>
          </cell>
          <cell r="I30">
            <v>27.11</v>
          </cell>
          <cell r="J30">
            <v>27.14</v>
          </cell>
          <cell r="K30">
            <v>16681536442.549797</v>
          </cell>
          <cell r="L30">
            <v>15095084686.165083</v>
          </cell>
          <cell r="M30">
            <v>15463134387.20129</v>
          </cell>
          <cell r="N30">
            <v>36632.928095215539</v>
          </cell>
          <cell r="O30">
            <v>32890.549181201932</v>
          </cell>
          <cell r="P30">
            <v>33153.473891351328</v>
          </cell>
        </row>
        <row r="31">
          <cell r="B31" t="str">
            <v>BGR</v>
          </cell>
          <cell r="C31" t="str">
            <v>EUR</v>
          </cell>
          <cell r="D31" t="str">
            <v>Europe &amp; Central Asia</v>
          </cell>
          <cell r="E31" t="str">
            <v>High income</v>
          </cell>
          <cell r="G31">
            <v>86.055862883729802</v>
          </cell>
          <cell r="H31">
            <v>12.38</v>
          </cell>
          <cell r="I31">
            <v>12.38</v>
          </cell>
          <cell r="J31">
            <v>12.41</v>
          </cell>
          <cell r="K31">
            <v>90509236929.223679</v>
          </cell>
          <cell r="L31">
            <v>102396840296.14691</v>
          </cell>
          <cell r="M31">
            <v>112211952703.83142</v>
          </cell>
          <cell r="N31">
            <v>13999.194953095564</v>
          </cell>
          <cell r="O31">
            <v>15853.208636704016</v>
          </cell>
          <cell r="P31">
            <v>17596.017366352113</v>
          </cell>
        </row>
        <row r="32">
          <cell r="B32" t="str">
            <v>BFA</v>
          </cell>
          <cell r="C32" t="str">
            <v>AFR</v>
          </cell>
          <cell r="D32" t="str">
            <v>Sub-Saharan Africa</v>
          </cell>
          <cell r="E32" t="str">
            <v>Low income</v>
          </cell>
          <cell r="G32">
            <v>24.756493554042599</v>
          </cell>
          <cell r="H32">
            <v>29.17</v>
          </cell>
          <cell r="I32">
            <v>29.13</v>
          </cell>
          <cell r="J32">
            <v>29.31</v>
          </cell>
          <cell r="K32">
            <v>18820218690.594765</v>
          </cell>
          <cell r="L32">
            <v>20324617844.526535</v>
          </cell>
          <cell r="M32">
            <v>23250214909.539066</v>
          </cell>
          <cell r="N32">
            <v>827.33084348666114</v>
          </cell>
          <cell r="O32">
            <v>873.48258965100251</v>
          </cell>
          <cell r="P32">
            <v>981.99264976908148</v>
          </cell>
        </row>
        <row r="33">
          <cell r="B33" t="str">
            <v>BDI</v>
          </cell>
          <cell r="C33" t="str">
            <v>AFR</v>
          </cell>
          <cell r="D33" t="str">
            <v>Sub-Saharan Africa</v>
          </cell>
          <cell r="E33" t="str">
            <v>Low income</v>
          </cell>
          <cell r="G33">
            <v>45.690684641176603</v>
          </cell>
          <cell r="H33">
            <v>21.1</v>
          </cell>
          <cell r="I33">
            <v>21.11</v>
          </cell>
          <cell r="J33">
            <v>21.21</v>
          </cell>
          <cell r="K33">
            <v>3338722827.6569052</v>
          </cell>
          <cell r="L33">
            <v>2629391599.5015693</v>
          </cell>
          <cell r="M33">
            <v>2162378759.3466973</v>
          </cell>
          <cell r="N33">
            <v>302.99250526355235</v>
          </cell>
          <cell r="O33">
            <v>250.62725309725457</v>
          </cell>
          <cell r="P33">
            <v>219.42483088269827</v>
          </cell>
        </row>
        <row r="34">
          <cell r="B34" t="str">
            <v>CPV</v>
          </cell>
          <cell r="C34" t="str">
            <v>AFR</v>
          </cell>
          <cell r="D34" t="str">
            <v>Sub-Saharan Africa</v>
          </cell>
          <cell r="E34" t="str">
            <v>Upper middle income</v>
          </cell>
          <cell r="G34">
            <v>83.045303267667407</v>
          </cell>
          <cell r="H34">
            <v>23.71</v>
          </cell>
          <cell r="I34">
            <v>23.64</v>
          </cell>
          <cell r="J34">
            <v>23.68</v>
          </cell>
          <cell r="K34">
            <v>2247003344.3424206</v>
          </cell>
          <cell r="L34">
            <v>2539203428.7383742</v>
          </cell>
          <cell r="M34">
            <v>2767599017.4487433</v>
          </cell>
          <cell r="N34">
            <v>4323.3136203270869</v>
          </cell>
          <cell r="O34">
            <v>4794.901219172586</v>
          </cell>
          <cell r="P34">
            <v>5192.4815732587813</v>
          </cell>
        </row>
        <row r="35">
          <cell r="B35" t="str">
            <v>KHM</v>
          </cell>
          <cell r="C35" t="str">
            <v>WPR</v>
          </cell>
          <cell r="D35" t="str">
            <v>East Asia &amp; Pacific</v>
          </cell>
          <cell r="E35" t="str">
            <v>Lower middle income</v>
          </cell>
          <cell r="G35">
            <v>76.719418336461999</v>
          </cell>
          <cell r="H35">
            <v>28.19</v>
          </cell>
          <cell r="I35">
            <v>28.22</v>
          </cell>
          <cell r="J35">
            <v>28.21</v>
          </cell>
          <cell r="K35">
            <v>39994532959.607384</v>
          </cell>
          <cell r="L35">
            <v>42335646895.798386</v>
          </cell>
          <cell r="M35">
            <v>46352647034.777466</v>
          </cell>
          <cell r="N35">
            <v>2325.0305004084116</v>
          </cell>
          <cell r="O35">
            <v>2429.7485345283822</v>
          </cell>
          <cell r="P35">
            <v>2627.8796975622413</v>
          </cell>
        </row>
        <row r="36">
          <cell r="B36" t="str">
            <v>CMR</v>
          </cell>
          <cell r="C36" t="str">
            <v>AFR</v>
          </cell>
          <cell r="D36" t="str">
            <v>Sub-Saharan Africa</v>
          </cell>
          <cell r="E36" t="str">
            <v>Lower middle income</v>
          </cell>
          <cell r="G36">
            <v>43.119165338496003</v>
          </cell>
          <cell r="H36">
            <v>25.43</v>
          </cell>
          <cell r="I36">
            <v>25.44</v>
          </cell>
          <cell r="J36">
            <v>25.51</v>
          </cell>
          <cell r="K36">
            <v>44347206072.551331</v>
          </cell>
          <cell r="L36">
            <v>49279410982.825966</v>
          </cell>
          <cell r="M36">
            <v>51326764684.859528</v>
          </cell>
          <cell r="N36">
            <v>1604.8772695489472</v>
          </cell>
          <cell r="O36">
            <v>1720.4751015450624</v>
          </cell>
          <cell r="P36">
            <v>1830.0083368472697</v>
          </cell>
        </row>
        <row r="37">
          <cell r="B37" t="str">
            <v>CAN</v>
          </cell>
          <cell r="C37" t="str">
            <v>AMR</v>
          </cell>
          <cell r="D37" t="str">
            <v>North America</v>
          </cell>
          <cell r="E37" t="str">
            <v>High income</v>
          </cell>
          <cell r="G37">
            <v>98.588358196861407</v>
          </cell>
          <cell r="H37">
            <v>-2.41</v>
          </cell>
          <cell r="I37">
            <v>-2.3199999999999998</v>
          </cell>
          <cell r="J37">
            <v>-2.19</v>
          </cell>
          <cell r="K37">
            <v>2190411080134.3191</v>
          </cell>
          <cell r="L37">
            <v>2173339670064.3279</v>
          </cell>
          <cell r="M37">
            <v>2241253230970.3394</v>
          </cell>
          <cell r="N37">
            <v>56256.800726401452</v>
          </cell>
          <cell r="O37">
            <v>54220.328503987526</v>
          </cell>
          <cell r="P37">
            <v>54340.347722473263</v>
          </cell>
        </row>
        <row r="38">
          <cell r="B38" t="str">
            <v>CYM</v>
          </cell>
          <cell r="C38" t="str">
            <v>AMR</v>
          </cell>
          <cell r="D38" t="str">
            <v>Latin America &amp; Caribbean</v>
          </cell>
          <cell r="E38" t="str">
            <v>High income</v>
          </cell>
          <cell r="G38">
            <v>83.266288343558202</v>
          </cell>
          <cell r="H38">
            <v>27.15</v>
          </cell>
          <cell r="I38">
            <v>27.15</v>
          </cell>
          <cell r="J38">
            <v>27.18</v>
          </cell>
          <cell r="K38">
            <v>6600843963.3758535</v>
          </cell>
          <cell r="L38">
            <v>7139428557.7142305</v>
          </cell>
          <cell r="M38">
            <v>0</v>
          </cell>
          <cell r="N38">
            <v>93030.705144780324</v>
          </cell>
          <cell r="O38">
            <v>99143.518024312303</v>
          </cell>
          <cell r="P38">
            <v>0</v>
          </cell>
        </row>
        <row r="39">
          <cell r="B39" t="str">
            <v>CAF</v>
          </cell>
          <cell r="C39" t="str">
            <v>AFR</v>
          </cell>
          <cell r="D39" t="str">
            <v>Sub-Saharan Africa</v>
          </cell>
          <cell r="E39" t="str">
            <v>Low income</v>
          </cell>
          <cell r="G39">
            <v>13.8462938417752</v>
          </cell>
          <cell r="H39">
            <v>26.69</v>
          </cell>
          <cell r="I39">
            <v>26.7</v>
          </cell>
          <cell r="J39">
            <v>26.83</v>
          </cell>
          <cell r="K39">
            <v>2382618615.0169392</v>
          </cell>
          <cell r="L39">
            <v>2555492085.947247</v>
          </cell>
          <cell r="M39">
            <v>2751544520.3791761</v>
          </cell>
          <cell r="N39">
            <v>467.35982502623835</v>
          </cell>
          <cell r="O39">
            <v>495.97889728872059</v>
          </cell>
          <cell r="P39">
            <v>516.16099999603625</v>
          </cell>
        </row>
        <row r="40">
          <cell r="B40" t="str">
            <v>TCD</v>
          </cell>
          <cell r="C40" t="str">
            <v>AFR</v>
          </cell>
          <cell r="D40" t="str">
            <v>Sub-Saharan Africa</v>
          </cell>
          <cell r="E40" t="str">
            <v>Low income</v>
          </cell>
          <cell r="G40">
            <v>12.9220664368098</v>
          </cell>
          <cell r="H40">
            <v>27.7</v>
          </cell>
          <cell r="I40">
            <v>27.65</v>
          </cell>
          <cell r="J40">
            <v>27.83</v>
          </cell>
          <cell r="K40">
            <v>17828508289.604942</v>
          </cell>
          <cell r="L40">
            <v>19107685020.890015</v>
          </cell>
          <cell r="M40">
            <v>20625711664.647213</v>
          </cell>
          <cell r="N40">
            <v>966.03646827856767</v>
          </cell>
          <cell r="O40">
            <v>949.33345367459242</v>
          </cell>
          <cell r="P40">
            <v>961.55975562506023</v>
          </cell>
        </row>
        <row r="41">
          <cell r="B41" t="str">
            <v>CHI</v>
          </cell>
          <cell r="C41" t="str">
            <v>None</v>
          </cell>
          <cell r="D41" t="str">
            <v>Europe &amp; Central Asia</v>
          </cell>
          <cell r="E41" t="str">
            <v>High income</v>
          </cell>
          <cell r="G41">
            <v>0</v>
          </cell>
          <cell r="H41" t="e">
            <v>#N/A</v>
          </cell>
          <cell r="I41" t="e">
            <v>#N/A</v>
          </cell>
          <cell r="J41" t="e">
            <v>#N/A</v>
          </cell>
          <cell r="K41">
            <v>11308300382.102798</v>
          </cell>
          <cell r="L41">
            <v>12507927159.726538</v>
          </cell>
          <cell r="M41">
            <v>0</v>
          </cell>
          <cell r="N41">
            <v>67627.141734790697</v>
          </cell>
          <cell r="O41">
            <v>74585.522409629426</v>
          </cell>
          <cell r="P41">
            <v>0</v>
          </cell>
        </row>
        <row r="42">
          <cell r="B42" t="str">
            <v>CHL</v>
          </cell>
          <cell r="C42" t="str">
            <v>AMR</v>
          </cell>
          <cell r="D42" t="str">
            <v>Latin America &amp; Caribbean</v>
          </cell>
          <cell r="E42" t="str">
            <v>High income</v>
          </cell>
          <cell r="G42">
            <v>99.999998296322602</v>
          </cell>
          <cell r="H42">
            <v>9.57</v>
          </cell>
          <cell r="I42">
            <v>9.6199999999999992</v>
          </cell>
          <cell r="J42">
            <v>9.6999999999999993</v>
          </cell>
          <cell r="K42">
            <v>301226575540.2417</v>
          </cell>
          <cell r="L42">
            <v>335518054097.63696</v>
          </cell>
          <cell r="M42">
            <v>330267137371.59229</v>
          </cell>
          <cell r="N42">
            <v>15405.616577407298</v>
          </cell>
          <cell r="O42">
            <v>17067.036479915365</v>
          </cell>
          <cell r="P42">
            <v>16709.889397230672</v>
          </cell>
        </row>
        <row r="43">
          <cell r="B43" t="str">
            <v>CHN</v>
          </cell>
          <cell r="C43" t="str">
            <v>WPR</v>
          </cell>
          <cell r="D43" t="str">
            <v>East Asia &amp; Pacific</v>
          </cell>
          <cell r="E43" t="str">
            <v>Upper middle income</v>
          </cell>
          <cell r="G43">
            <v>95.892361406945298</v>
          </cell>
          <cell r="H43">
            <v>7.77</v>
          </cell>
          <cell r="I43">
            <v>7.86</v>
          </cell>
          <cell r="J43">
            <v>7.87</v>
          </cell>
          <cell r="K43">
            <v>18316765021690.156</v>
          </cell>
          <cell r="L43">
            <v>18270356654533.215</v>
          </cell>
          <cell r="M43">
            <v>18743803170827.164</v>
          </cell>
          <cell r="N43">
            <v>12970.605641432652</v>
          </cell>
          <cell r="O43">
            <v>12951.178239704273</v>
          </cell>
          <cell r="P43">
            <v>13303.148154386816</v>
          </cell>
        </row>
        <row r="44">
          <cell r="B44" t="str">
            <v>COL</v>
          </cell>
          <cell r="C44" t="str">
            <v>AMR</v>
          </cell>
          <cell r="D44" t="str">
            <v>Latin America &amp; Caribbean</v>
          </cell>
          <cell r="E44" t="str">
            <v>Upper middle income</v>
          </cell>
          <cell r="G44">
            <v>94.730978438523906</v>
          </cell>
          <cell r="H44">
            <v>24.95</v>
          </cell>
          <cell r="I44">
            <v>24.97</v>
          </cell>
          <cell r="J44">
            <v>25.04</v>
          </cell>
          <cell r="K44">
            <v>345632492851.44751</v>
          </cell>
          <cell r="L44">
            <v>366291836137.91638</v>
          </cell>
          <cell r="M44">
            <v>418542042920.18939</v>
          </cell>
          <cell r="N44">
            <v>6680.4450685448091</v>
          </cell>
          <cell r="O44">
            <v>7000.8366050104623</v>
          </cell>
          <cell r="P44">
            <v>7919.2088682534495</v>
          </cell>
        </row>
        <row r="45">
          <cell r="B45" t="str">
            <v>COM</v>
          </cell>
          <cell r="C45" t="str">
            <v>AFR</v>
          </cell>
          <cell r="D45" t="str">
            <v>Sub-Saharan Africa</v>
          </cell>
          <cell r="E45" t="str">
            <v>Lower middle income</v>
          </cell>
          <cell r="G45">
            <v>0</v>
          </cell>
          <cell r="H45">
            <v>25.66</v>
          </cell>
          <cell r="I45">
            <v>25.7</v>
          </cell>
          <cell r="J45">
            <v>25.73</v>
          </cell>
          <cell r="K45">
            <v>1279542248.4501672</v>
          </cell>
          <cell r="L45">
            <v>1430523435.8169503</v>
          </cell>
          <cell r="M45">
            <v>1546164420.3244183</v>
          </cell>
          <cell r="N45">
            <v>1465.4796428619959</v>
          </cell>
          <cell r="O45">
            <v>1560.2737847685466</v>
          </cell>
          <cell r="P45">
            <v>1662.7566331250366</v>
          </cell>
        </row>
        <row r="46">
          <cell r="B46" t="str">
            <v>COD</v>
          </cell>
          <cell r="C46" t="str">
            <v>AFR</v>
          </cell>
          <cell r="D46" t="str">
            <v>Sub-Saharan Africa</v>
          </cell>
          <cell r="E46" t="str">
            <v>Low income</v>
          </cell>
          <cell r="G46">
            <v>16.174472554239301</v>
          </cell>
          <cell r="H46">
            <v>25.04</v>
          </cell>
          <cell r="I46">
            <v>25.08</v>
          </cell>
          <cell r="J46">
            <v>25.17</v>
          </cell>
          <cell r="K46">
            <v>65801547755.655205</v>
          </cell>
          <cell r="L46">
            <v>67006756666.360443</v>
          </cell>
          <cell r="M46">
            <v>70749355652.120728</v>
          </cell>
          <cell r="N46">
            <v>687.73858755468507</v>
          </cell>
          <cell r="O46">
            <v>660.21205238997027</v>
          </cell>
          <cell r="P46">
            <v>649.38333855672454</v>
          </cell>
        </row>
        <row r="47">
          <cell r="B47" t="str">
            <v>COG</v>
          </cell>
          <cell r="C47" t="str">
            <v>AFR</v>
          </cell>
          <cell r="D47" t="str">
            <v>Sub-Saharan Africa</v>
          </cell>
          <cell r="E47" t="str">
            <v>Lower middle income</v>
          </cell>
          <cell r="G47">
            <v>0</v>
          </cell>
          <cell r="H47">
            <v>25.69</v>
          </cell>
          <cell r="I47">
            <v>25.71</v>
          </cell>
          <cell r="J47">
            <v>25.8</v>
          </cell>
          <cell r="K47">
            <v>15817030156.945892</v>
          </cell>
          <cell r="L47">
            <v>15321055818.326313</v>
          </cell>
          <cell r="M47">
            <v>15719985776.396574</v>
          </cell>
          <cell r="N47">
            <v>2620.8380426740187</v>
          </cell>
          <cell r="O47">
            <v>2477.9784554486619</v>
          </cell>
          <cell r="P47">
            <v>2482.2489948455991</v>
          </cell>
        </row>
        <row r="48">
          <cell r="B48" t="str">
            <v>CRI</v>
          </cell>
          <cell r="C48" t="str">
            <v>AMR</v>
          </cell>
          <cell r="D48" t="str">
            <v>Latin America &amp; Caribbean</v>
          </cell>
          <cell r="E48" t="str">
            <v>High income</v>
          </cell>
          <cell r="G48">
            <v>98.3836215500599</v>
          </cell>
          <cell r="H48">
            <v>24.05</v>
          </cell>
          <cell r="I48">
            <v>24.05</v>
          </cell>
          <cell r="J48">
            <v>24.09</v>
          </cell>
          <cell r="K48">
            <v>69243626028.669769</v>
          </cell>
          <cell r="L48">
            <v>86497941438.98085</v>
          </cell>
          <cell r="M48">
            <v>95350423176.663971</v>
          </cell>
          <cell r="N48">
            <v>13625.900849132848</v>
          </cell>
          <cell r="O48">
            <v>16942.026811937547</v>
          </cell>
          <cell r="P48">
            <v>18587.153220348158</v>
          </cell>
        </row>
        <row r="49">
          <cell r="B49" t="str">
            <v>CIV</v>
          </cell>
          <cell r="C49" t="str">
            <v>AFR</v>
          </cell>
          <cell r="D49" t="str">
            <v>Sub-Saharan Africa</v>
          </cell>
          <cell r="E49" t="str">
            <v>Lower middle income</v>
          </cell>
          <cell r="G49">
            <v>36.962083939006803</v>
          </cell>
          <cell r="H49">
            <v>27.23</v>
          </cell>
          <cell r="I49">
            <v>27.25</v>
          </cell>
          <cell r="J49">
            <v>27.31</v>
          </cell>
          <cell r="K49">
            <v>70922824824.006943</v>
          </cell>
          <cell r="L49">
            <v>79618056323.763855</v>
          </cell>
          <cell r="M49">
            <v>86538413923.394287</v>
          </cell>
          <cell r="N49">
            <v>2333.3712830125887</v>
          </cell>
          <cell r="O49">
            <v>2591.9659048118979</v>
          </cell>
          <cell r="P49">
            <v>2727.8935220697044</v>
          </cell>
        </row>
        <row r="50">
          <cell r="B50" t="str">
            <v>HRV</v>
          </cell>
          <cell r="C50" t="str">
            <v>EUR</v>
          </cell>
          <cell r="D50" t="str">
            <v>Europe &amp; Central Asia</v>
          </cell>
          <cell r="E50" t="str">
            <v>High income</v>
          </cell>
          <cell r="G50">
            <v>0</v>
          </cell>
          <cell r="H50">
            <v>13.1</v>
          </cell>
          <cell r="I50">
            <v>13.09</v>
          </cell>
          <cell r="J50">
            <v>13.11</v>
          </cell>
          <cell r="K50">
            <v>71198635101.951431</v>
          </cell>
          <cell r="L50">
            <v>84393795502.442108</v>
          </cell>
          <cell r="M50">
            <v>92526176108.620987</v>
          </cell>
          <cell r="N50">
            <v>18465.54144203637</v>
          </cell>
          <cell r="O50">
            <v>22184.227930484161</v>
          </cell>
          <cell r="P50">
            <v>24050.439793313548</v>
          </cell>
        </row>
        <row r="51">
          <cell r="B51" t="str">
            <v>CUB</v>
          </cell>
          <cell r="C51" t="str">
            <v>AMR</v>
          </cell>
          <cell r="D51" t="str">
            <v>Latin America &amp; Caribbean</v>
          </cell>
          <cell r="E51" t="str">
            <v>Upper middle income</v>
          </cell>
          <cell r="G51">
            <v>92.149409654717005</v>
          </cell>
          <cell r="H51">
            <v>26.41</v>
          </cell>
          <cell r="I51">
            <v>26.46</v>
          </cell>
          <cell r="J51">
            <v>26.45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B52" t="str">
            <v>CUW</v>
          </cell>
          <cell r="C52" t="str">
            <v>None</v>
          </cell>
          <cell r="D52" t="str">
            <v>Latin America &amp; Caribbean</v>
          </cell>
          <cell r="E52" t="str">
            <v>High income</v>
          </cell>
          <cell r="G52">
            <v>0</v>
          </cell>
          <cell r="H52">
            <v>27.05</v>
          </cell>
          <cell r="I52">
            <v>27.01</v>
          </cell>
          <cell r="J52">
            <v>27.06</v>
          </cell>
          <cell r="K52">
            <v>3075180834.7241673</v>
          </cell>
          <cell r="L52">
            <v>3281419347.3705306</v>
          </cell>
          <cell r="M52">
            <v>0</v>
          </cell>
          <cell r="N52">
            <v>20057.140474717537</v>
          </cell>
          <cell r="O52">
            <v>21217.811032178481</v>
          </cell>
          <cell r="P52">
            <v>22832.895395866653</v>
          </cell>
        </row>
        <row r="53">
          <cell r="B53" t="str">
            <v>CYP</v>
          </cell>
          <cell r="C53" t="str">
            <v>EUR</v>
          </cell>
          <cell r="D53" t="str">
            <v>Europe &amp; Central Asia</v>
          </cell>
          <cell r="E53" t="str">
            <v>High income</v>
          </cell>
          <cell r="G53">
            <v>99.396775945619595</v>
          </cell>
          <cell r="H53">
            <v>20.260000000000002</v>
          </cell>
          <cell r="I53">
            <v>20.25</v>
          </cell>
          <cell r="J53">
            <v>20.27</v>
          </cell>
          <cell r="K53">
            <v>30935566076.678768</v>
          </cell>
          <cell r="L53">
            <v>33886930712.339432</v>
          </cell>
          <cell r="M53">
            <v>36333022329.4981</v>
          </cell>
          <cell r="N53">
            <v>33231.04296875</v>
          </cell>
          <cell r="O53">
            <v>36623.69140625</v>
          </cell>
          <cell r="P53">
            <v>38674.29296875</v>
          </cell>
        </row>
        <row r="54">
          <cell r="B54" t="str">
            <v>CZE</v>
          </cell>
          <cell r="C54" t="str">
            <v>EUR</v>
          </cell>
          <cell r="D54" t="str">
            <v>Europe &amp; Central Asia</v>
          </cell>
          <cell r="E54" t="str">
            <v>High income</v>
          </cell>
          <cell r="G54">
            <v>99.136358195432294</v>
          </cell>
          <cell r="H54">
            <v>9.36</v>
          </cell>
          <cell r="I54">
            <v>9.3000000000000007</v>
          </cell>
          <cell r="J54">
            <v>9.25</v>
          </cell>
          <cell r="K54">
            <v>301831228325.55554</v>
          </cell>
          <cell r="L54">
            <v>343206568134.63672</v>
          </cell>
          <cell r="M54">
            <v>345036675975.0473</v>
          </cell>
          <cell r="N54">
            <v>28282.223671585671</v>
          </cell>
          <cell r="O54">
            <v>31761.594410249065</v>
          </cell>
          <cell r="P54">
            <v>31823.307829056383</v>
          </cell>
        </row>
        <row r="55">
          <cell r="B55" t="str">
            <v>DNK</v>
          </cell>
          <cell r="C55" t="str">
            <v>EUR</v>
          </cell>
          <cell r="D55" t="str">
            <v>Europe &amp; Central Asia</v>
          </cell>
          <cell r="E55" t="str">
            <v>High income</v>
          </cell>
          <cell r="G55">
            <v>99.597229240099495</v>
          </cell>
          <cell r="H55">
            <v>9.48</v>
          </cell>
          <cell r="I55">
            <v>9.2899999999999991</v>
          </cell>
          <cell r="J55">
            <v>9.35</v>
          </cell>
          <cell r="K55">
            <v>401945576107.96332</v>
          </cell>
          <cell r="L55">
            <v>407091920305.4043</v>
          </cell>
          <cell r="M55">
            <v>429457372071.86896</v>
          </cell>
          <cell r="N55">
            <v>67781.094093951397</v>
          </cell>
          <cell r="O55">
            <v>68043.546697124315</v>
          </cell>
          <cell r="P55">
            <v>71026.483227189703</v>
          </cell>
        </row>
        <row r="56">
          <cell r="B56" t="str">
            <v>DJI</v>
          </cell>
          <cell r="C56" t="str">
            <v>EMR</v>
          </cell>
          <cell r="D56" t="str">
            <v>Middle East &amp; North Africa</v>
          </cell>
          <cell r="E56" t="str">
            <v>Lower middle income</v>
          </cell>
          <cell r="G56">
            <v>66.905213453649793</v>
          </cell>
          <cell r="H56">
            <v>29.1</v>
          </cell>
          <cell r="I56">
            <v>29.15</v>
          </cell>
          <cell r="J56">
            <v>29.17</v>
          </cell>
          <cell r="K56">
            <v>3562814908.7614856</v>
          </cell>
          <cell r="L56">
            <v>3917150480.8098087</v>
          </cell>
          <cell r="M56">
            <v>4086402718.8683386</v>
          </cell>
          <cell r="N56">
            <v>3133.2577977246297</v>
          </cell>
          <cell r="O56">
            <v>3381.2977971072178</v>
          </cell>
          <cell r="P56">
            <v>3552.7233507922178</v>
          </cell>
        </row>
        <row r="57">
          <cell r="B57" t="str">
            <v>DMA</v>
          </cell>
          <cell r="C57" t="str">
            <v>AMR</v>
          </cell>
          <cell r="D57" t="str">
            <v>Latin America &amp; Caribbean</v>
          </cell>
          <cell r="E57" t="str">
            <v>Upper middle income</v>
          </cell>
          <cell r="G57">
            <v>0</v>
          </cell>
          <cell r="H57">
            <v>26.02</v>
          </cell>
          <cell r="I57">
            <v>26.05</v>
          </cell>
          <cell r="J57">
            <v>26.11</v>
          </cell>
          <cell r="K57">
            <v>623062962.96296287</v>
          </cell>
          <cell r="L57">
            <v>659311111.11111104</v>
          </cell>
          <cell r="M57">
            <v>688881481.48148143</v>
          </cell>
          <cell r="N57">
            <v>9323.660894905619</v>
          </cell>
          <cell r="O57">
            <v>9912.9621276666821</v>
          </cell>
          <cell r="P57">
            <v>10405.278777758196</v>
          </cell>
        </row>
        <row r="58">
          <cell r="B58" t="str">
            <v>DOM</v>
          </cell>
          <cell r="C58" t="str">
            <v>AMR</v>
          </cell>
          <cell r="D58" t="str">
            <v>Latin America &amp; Caribbean</v>
          </cell>
          <cell r="E58" t="str">
            <v>Upper middle income</v>
          </cell>
          <cell r="G58">
            <v>88.681791880602901</v>
          </cell>
          <cell r="H58">
            <v>24.97</v>
          </cell>
          <cell r="I58">
            <v>25</v>
          </cell>
          <cell r="J58">
            <v>25.02</v>
          </cell>
          <cell r="K58">
            <v>113478087134.79988</v>
          </cell>
          <cell r="L58">
            <v>120456239153.73875</v>
          </cell>
          <cell r="M58">
            <v>124282245638.56845</v>
          </cell>
          <cell r="N58">
            <v>10104.244934908073</v>
          </cell>
          <cell r="O58">
            <v>10630.431743829022</v>
          </cell>
          <cell r="P58">
            <v>10875.661844309196</v>
          </cell>
        </row>
        <row r="59">
          <cell r="B59" t="str">
            <v>ECU</v>
          </cell>
          <cell r="C59" t="str">
            <v>AMR</v>
          </cell>
          <cell r="D59" t="str">
            <v>Latin America &amp; Caribbean</v>
          </cell>
          <cell r="E59" t="str">
            <v>Upper middle income</v>
          </cell>
          <cell r="G59">
            <v>92.272501092360699</v>
          </cell>
          <cell r="H59">
            <v>21.61</v>
          </cell>
          <cell r="I59">
            <v>21.63</v>
          </cell>
          <cell r="J59">
            <v>21.71</v>
          </cell>
          <cell r="K59">
            <v>116133121000</v>
          </cell>
          <cell r="L59">
            <v>121147057000</v>
          </cell>
          <cell r="M59">
            <v>124676074700</v>
          </cell>
          <cell r="N59">
            <v>6515.5852841833639</v>
          </cell>
          <cell r="O59">
            <v>6737.8474837963759</v>
          </cell>
          <cell r="P59">
            <v>6874.7057397659992</v>
          </cell>
        </row>
        <row r="60">
          <cell r="B60" t="str">
            <v>EGY</v>
          </cell>
          <cell r="C60" t="str">
            <v>EMR</v>
          </cell>
          <cell r="D60" t="str">
            <v>Middle East &amp; North Africa</v>
          </cell>
          <cell r="E60" t="str">
            <v>Lower middle income</v>
          </cell>
          <cell r="G60">
            <v>97.528750009994397</v>
          </cell>
          <cell r="H60">
            <v>23.62</v>
          </cell>
          <cell r="I60">
            <v>23.61</v>
          </cell>
          <cell r="J60">
            <v>23.69</v>
          </cell>
          <cell r="K60">
            <v>476747720364.74164</v>
          </cell>
          <cell r="L60">
            <v>395926075163.0058</v>
          </cell>
          <cell r="M60">
            <v>389059911003.56573</v>
          </cell>
          <cell r="N60">
            <v>4233.3078374485631</v>
          </cell>
          <cell r="O60">
            <v>3456.7896845625296</v>
          </cell>
          <cell r="P60">
            <v>3338.4737139589452</v>
          </cell>
        </row>
        <row r="61">
          <cell r="B61" t="str">
            <v>SLV</v>
          </cell>
          <cell r="C61" t="str">
            <v>AMR</v>
          </cell>
          <cell r="D61" t="str">
            <v>Latin America &amp; Caribbean</v>
          </cell>
          <cell r="E61" t="str">
            <v>Upper middle income</v>
          </cell>
          <cell r="G61">
            <v>87.552783752322895</v>
          </cell>
          <cell r="H61">
            <v>26.85</v>
          </cell>
          <cell r="I61">
            <v>26.9</v>
          </cell>
          <cell r="J61">
            <v>26.9</v>
          </cell>
          <cell r="K61">
            <v>31870120000</v>
          </cell>
          <cell r="L61">
            <v>33853940000.000004</v>
          </cell>
          <cell r="M61">
            <v>35364960000</v>
          </cell>
          <cell r="N61">
            <v>5074.6021022180557</v>
          </cell>
          <cell r="O61">
            <v>5365.444913991706</v>
          </cell>
          <cell r="P61">
            <v>5579.6596916502858</v>
          </cell>
        </row>
        <row r="62">
          <cell r="B62" t="str">
            <v>GNQ</v>
          </cell>
          <cell r="C62" t="str">
            <v>AFR</v>
          </cell>
          <cell r="D62" t="str">
            <v>Sub-Saharan Africa</v>
          </cell>
          <cell r="E62" t="str">
            <v>Upper middle income</v>
          </cell>
          <cell r="G62">
            <v>0</v>
          </cell>
          <cell r="H62">
            <v>24.82</v>
          </cell>
          <cell r="I62">
            <v>24.84</v>
          </cell>
          <cell r="J62">
            <v>24.9</v>
          </cell>
          <cell r="K62">
            <v>13687643435.624903</v>
          </cell>
          <cell r="L62">
            <v>12337550583.753971</v>
          </cell>
          <cell r="M62">
            <v>12765777677.062155</v>
          </cell>
          <cell r="N62">
            <v>7589.2996490938131</v>
          </cell>
          <cell r="O62">
            <v>6677.793435386001</v>
          </cell>
          <cell r="P62">
            <v>6745.4001324491601</v>
          </cell>
        </row>
        <row r="63">
          <cell r="B63" t="str">
            <v>ERI</v>
          </cell>
          <cell r="C63" t="str">
            <v>AFR</v>
          </cell>
          <cell r="D63" t="str">
            <v>Sub-Saharan Africa</v>
          </cell>
          <cell r="E63" t="str">
            <v>Low income</v>
          </cell>
          <cell r="G63">
            <v>0</v>
          </cell>
          <cell r="H63">
            <v>27.66</v>
          </cell>
          <cell r="I63">
            <v>27.66</v>
          </cell>
          <cell r="J63">
            <v>27.74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B64" t="str">
            <v>EST</v>
          </cell>
          <cell r="C64" t="str">
            <v>EUR</v>
          </cell>
          <cell r="D64" t="str">
            <v>Europe &amp; Central Asia</v>
          </cell>
          <cell r="E64" t="str">
            <v>High income</v>
          </cell>
          <cell r="G64">
            <v>99.060220552291497</v>
          </cell>
          <cell r="H64">
            <v>7.13</v>
          </cell>
          <cell r="I64">
            <v>6.9</v>
          </cell>
          <cell r="J64">
            <v>6.84</v>
          </cell>
          <cell r="K64">
            <v>38376046174.97097</v>
          </cell>
          <cell r="L64">
            <v>41291245222.194847</v>
          </cell>
          <cell r="M64">
            <v>42764929169.325775</v>
          </cell>
          <cell r="N64">
            <v>28340.382654940564</v>
          </cell>
          <cell r="O64">
            <v>30264.006488505736</v>
          </cell>
          <cell r="P64">
            <v>31428.354781610396</v>
          </cell>
        </row>
        <row r="65">
          <cell r="B65" t="str">
            <v>SWZ</v>
          </cell>
          <cell r="C65" t="str">
            <v>AFR</v>
          </cell>
          <cell r="D65" t="str">
            <v>Sub-Saharan Africa</v>
          </cell>
          <cell r="E65" t="str">
            <v>Lower middle income</v>
          </cell>
          <cell r="G65">
            <v>64.420233850650305</v>
          </cell>
          <cell r="H65">
            <v>20.91</v>
          </cell>
          <cell r="I65">
            <v>20.96</v>
          </cell>
          <cell r="J65">
            <v>20.97</v>
          </cell>
          <cell r="K65">
            <v>4741163884.9522972</v>
          </cell>
          <cell r="L65">
            <v>4604172127.3629856</v>
          </cell>
          <cell r="M65">
            <v>4891883720.1574173</v>
          </cell>
          <cell r="N65">
            <v>3894.1620089869011</v>
          </cell>
          <cell r="O65">
            <v>3755.5211123246368</v>
          </cell>
          <cell r="P65">
            <v>3909.5589237818158</v>
          </cell>
        </row>
        <row r="66">
          <cell r="B66" t="str">
            <v>ETH</v>
          </cell>
          <cell r="C66" t="str">
            <v>AFR</v>
          </cell>
          <cell r="D66" t="str">
            <v>Sub-Saharan Africa</v>
          </cell>
          <cell r="E66">
            <v>0</v>
          </cell>
          <cell r="G66">
            <v>9.3362160987694391</v>
          </cell>
          <cell r="H66">
            <v>23.93</v>
          </cell>
          <cell r="I66">
            <v>24.02</v>
          </cell>
          <cell r="J66">
            <v>24.07</v>
          </cell>
          <cell r="K66">
            <v>126772707851.33949</v>
          </cell>
          <cell r="L66">
            <v>0</v>
          </cell>
          <cell r="M66">
            <v>0</v>
          </cell>
          <cell r="N66">
            <v>982.10316150699168</v>
          </cell>
          <cell r="O66">
            <v>1055.8109159252658</v>
          </cell>
          <cell r="P66">
            <v>1133.8827968171868</v>
          </cell>
        </row>
        <row r="67">
          <cell r="B67" t="str">
            <v>FRO</v>
          </cell>
          <cell r="C67" t="str">
            <v>None</v>
          </cell>
          <cell r="D67" t="str">
            <v>Europe &amp; Central Asia</v>
          </cell>
          <cell r="E67" t="str">
            <v>High income</v>
          </cell>
          <cell r="G67">
            <v>0</v>
          </cell>
          <cell r="H67">
            <v>7.55</v>
          </cell>
          <cell r="I67">
            <v>7.6</v>
          </cell>
          <cell r="J67">
            <v>7.62</v>
          </cell>
          <cell r="K67">
            <v>3566698397.6601968</v>
          </cell>
          <cell r="L67">
            <v>3907323961.3396373</v>
          </cell>
          <cell r="M67">
            <v>0</v>
          </cell>
          <cell r="N67">
            <v>67058.202264812571</v>
          </cell>
          <cell r="O67">
            <v>72465.376966021533</v>
          </cell>
          <cell r="P67">
            <v>74119.660755387886</v>
          </cell>
        </row>
        <row r="68">
          <cell r="B68" t="str">
            <v>FJI</v>
          </cell>
          <cell r="C68" t="str">
            <v>WPR</v>
          </cell>
          <cell r="D68" t="str">
            <v>East Asia &amp; Pacific</v>
          </cell>
          <cell r="E68" t="str">
            <v>Upper middle income</v>
          </cell>
          <cell r="G68">
            <v>93.043742630131106</v>
          </cell>
          <cell r="H68">
            <v>25.07</v>
          </cell>
          <cell r="I68">
            <v>25.08</v>
          </cell>
          <cell r="J68">
            <v>25.09</v>
          </cell>
          <cell r="K68">
            <v>4969503549.3209572</v>
          </cell>
          <cell r="L68">
            <v>5442046552.9692793</v>
          </cell>
          <cell r="M68">
            <v>5840564072.7731342</v>
          </cell>
          <cell r="N68">
            <v>5414.1209211908808</v>
          </cell>
          <cell r="O68">
            <v>5926.205863947629</v>
          </cell>
          <cell r="P68">
            <v>6425.741517157122</v>
          </cell>
        </row>
        <row r="69">
          <cell r="B69" t="str">
            <v>FIN</v>
          </cell>
          <cell r="C69" t="str">
            <v>EUR</v>
          </cell>
          <cell r="D69" t="str">
            <v>Europe &amp; Central Asia</v>
          </cell>
          <cell r="E69" t="str">
            <v>High income</v>
          </cell>
          <cell r="G69">
            <v>99.447947076058099</v>
          </cell>
          <cell r="H69">
            <v>3.74</v>
          </cell>
          <cell r="I69">
            <v>3.6</v>
          </cell>
          <cell r="J69">
            <v>3.52</v>
          </cell>
          <cell r="K69">
            <v>280253099309.3396</v>
          </cell>
          <cell r="L69">
            <v>294950618733.33856</v>
          </cell>
          <cell r="M69">
            <v>299835625550.78119</v>
          </cell>
          <cell r="N69">
            <v>50440.56022497404</v>
          </cell>
          <cell r="O69">
            <v>52834.291675270309</v>
          </cell>
          <cell r="P69">
            <v>53149.767193405052</v>
          </cell>
        </row>
        <row r="70">
          <cell r="B70" t="str">
            <v>FRA</v>
          </cell>
          <cell r="C70" t="str">
            <v>EUR</v>
          </cell>
          <cell r="D70" t="str">
            <v>Europe &amp; Central Asia</v>
          </cell>
          <cell r="E70" t="str">
            <v>High income</v>
          </cell>
          <cell r="G70">
            <v>98.645996345359094</v>
          </cell>
          <cell r="H70">
            <v>12.01</v>
          </cell>
          <cell r="I70">
            <v>11.93</v>
          </cell>
          <cell r="J70">
            <v>11.99</v>
          </cell>
          <cell r="K70">
            <v>2796302210398.8438</v>
          </cell>
          <cell r="L70">
            <v>3051831611384.7598</v>
          </cell>
          <cell r="M70">
            <v>3162079073495.7808</v>
          </cell>
          <cell r="N70">
            <v>40988.639640657944</v>
          </cell>
          <cell r="O70">
            <v>44700.138417754366</v>
          </cell>
          <cell r="P70">
            <v>46103.084085588387</v>
          </cell>
        </row>
        <row r="71">
          <cell r="B71" t="str">
            <v>PYF</v>
          </cell>
          <cell r="C71" t="str">
            <v>WPR</v>
          </cell>
          <cell r="D71" t="str">
            <v>East Asia &amp; Pacific</v>
          </cell>
          <cell r="E71" t="str">
            <v>High income</v>
          </cell>
          <cell r="G71">
            <v>97.003381079113495</v>
          </cell>
          <cell r="H71">
            <v>25.94</v>
          </cell>
          <cell r="I71">
            <v>25.94</v>
          </cell>
          <cell r="J71">
            <v>26.03</v>
          </cell>
          <cell r="K71">
            <v>5814661208.9054441</v>
          </cell>
          <cell r="L71">
            <v>6402221222.3274851</v>
          </cell>
          <cell r="M71">
            <v>0</v>
          </cell>
          <cell r="N71">
            <v>20053.956936932169</v>
          </cell>
          <cell r="O71">
            <v>21832.283179556853</v>
          </cell>
          <cell r="P71">
            <v>22439.883874602452</v>
          </cell>
        </row>
        <row r="72">
          <cell r="B72" t="str">
            <v>GAB</v>
          </cell>
          <cell r="C72" t="str">
            <v>AFR</v>
          </cell>
          <cell r="D72" t="str">
            <v>Sub-Saharan Africa</v>
          </cell>
          <cell r="E72" t="str">
            <v>Upper middle income</v>
          </cell>
          <cell r="G72">
            <v>49.896234523671303</v>
          </cell>
          <cell r="H72">
            <v>25.5</v>
          </cell>
          <cell r="I72">
            <v>25.51</v>
          </cell>
          <cell r="J72">
            <v>25.59</v>
          </cell>
          <cell r="K72">
            <v>20440655695.229019</v>
          </cell>
          <cell r="L72">
            <v>20055720403.470993</v>
          </cell>
          <cell r="M72">
            <v>20867044935.672943</v>
          </cell>
          <cell r="N72">
            <v>8409.2074145028018</v>
          </cell>
          <cell r="O72">
            <v>7802.8243327613818</v>
          </cell>
          <cell r="P72">
            <v>8230.0431145115072</v>
          </cell>
        </row>
        <row r="73">
          <cell r="B73" t="str">
            <v>GMB</v>
          </cell>
          <cell r="C73" t="str">
            <v>AFR</v>
          </cell>
          <cell r="D73" t="str">
            <v>Sub-Saharan Africa</v>
          </cell>
          <cell r="E73" t="str">
            <v>Low income</v>
          </cell>
          <cell r="G73">
            <v>47.715992142754303</v>
          </cell>
          <cell r="H73">
            <v>28.78</v>
          </cell>
          <cell r="I73">
            <v>28.74</v>
          </cell>
          <cell r="J73">
            <v>28.83</v>
          </cell>
          <cell r="K73">
            <v>2204734527.1273389</v>
          </cell>
          <cell r="L73">
            <v>2396111020.8800979</v>
          </cell>
          <cell r="M73">
            <v>2507519958.3485727</v>
          </cell>
          <cell r="N73">
            <v>836.24487586847567</v>
          </cell>
          <cell r="O73">
            <v>883.02411171980873</v>
          </cell>
          <cell r="P73">
            <v>871.34029177629372</v>
          </cell>
        </row>
        <row r="74">
          <cell r="B74" t="str">
            <v>GEO</v>
          </cell>
          <cell r="C74" t="str">
            <v>EUR</v>
          </cell>
          <cell r="D74" t="str">
            <v>Europe &amp; Central Asia</v>
          </cell>
          <cell r="E74" t="str">
            <v>Upper middle income</v>
          </cell>
          <cell r="G74">
            <v>86.258018456070204</v>
          </cell>
          <cell r="H74">
            <v>8.93</v>
          </cell>
          <cell r="I74">
            <v>8.9499999999999993</v>
          </cell>
          <cell r="J74">
            <v>9.0500000000000007</v>
          </cell>
          <cell r="K74">
            <v>24984568959.604965</v>
          </cell>
          <cell r="L74">
            <v>30777833600.651455</v>
          </cell>
          <cell r="M74">
            <v>33776141250.571564</v>
          </cell>
          <cell r="N74">
            <v>6729.8465993028331</v>
          </cell>
          <cell r="O74">
            <v>8283.6696065226115</v>
          </cell>
          <cell r="P74">
            <v>9241.4912231371309</v>
          </cell>
        </row>
        <row r="75">
          <cell r="B75" t="str">
            <v>DEU</v>
          </cell>
          <cell r="C75" t="str">
            <v>EUR</v>
          </cell>
          <cell r="D75" t="str">
            <v>Europe &amp; Central Asia</v>
          </cell>
          <cell r="E75" t="str">
            <v>High income</v>
          </cell>
          <cell r="G75">
            <v>99.226203740287602</v>
          </cell>
          <cell r="H75">
            <v>10.130000000000001</v>
          </cell>
          <cell r="I75">
            <v>9.9700000000000006</v>
          </cell>
          <cell r="J75">
            <v>9.9499999999999993</v>
          </cell>
          <cell r="K75">
            <v>4163596357879.3936</v>
          </cell>
          <cell r="L75">
            <v>4525703903627.5313</v>
          </cell>
          <cell r="M75">
            <v>4659929336890.624</v>
          </cell>
          <cell r="N75">
            <v>50506.517963854327</v>
          </cell>
          <cell r="O75">
            <v>54776.766823549093</v>
          </cell>
          <cell r="P75">
            <v>56103.732318255446</v>
          </cell>
        </row>
        <row r="76">
          <cell r="B76" t="str">
            <v>GHA</v>
          </cell>
          <cell r="C76" t="str">
            <v>AFR</v>
          </cell>
          <cell r="D76" t="str">
            <v>Sub-Saharan Africa</v>
          </cell>
          <cell r="E76" t="str">
            <v>Lower middle income</v>
          </cell>
          <cell r="G76">
            <v>28.583887167189701</v>
          </cell>
          <cell r="H76">
            <v>28.01</v>
          </cell>
          <cell r="I76">
            <v>28.04</v>
          </cell>
          <cell r="J76">
            <v>28.11</v>
          </cell>
          <cell r="K76">
            <v>73919003209.986649</v>
          </cell>
          <cell r="L76">
            <v>80547146878.384308</v>
          </cell>
          <cell r="M76">
            <v>82825288888.973389</v>
          </cell>
          <cell r="N76">
            <v>2229.8912264780301</v>
          </cell>
          <cell r="O76">
            <v>2383.9041048341815</v>
          </cell>
          <cell r="P76">
            <v>2390.7723765271498</v>
          </cell>
        </row>
        <row r="77">
          <cell r="B77" t="str">
            <v>GIB</v>
          </cell>
          <cell r="C77" t="str">
            <v>None</v>
          </cell>
          <cell r="D77" t="str">
            <v>Europe &amp; Central Asia</v>
          </cell>
          <cell r="E77" t="str">
            <v>High income</v>
          </cell>
          <cell r="G77">
            <v>100</v>
          </cell>
          <cell r="H77">
            <v>18.489999999999998</v>
          </cell>
          <cell r="I77">
            <v>18.52</v>
          </cell>
          <cell r="J77">
            <v>18.57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</row>
        <row r="78">
          <cell r="B78" t="str">
            <v>GRC</v>
          </cell>
          <cell r="C78" t="str">
            <v>EUR</v>
          </cell>
          <cell r="D78" t="str">
            <v>Europe &amp; Central Asia</v>
          </cell>
          <cell r="E78" t="str">
            <v>High income</v>
          </cell>
          <cell r="G78">
            <v>99.000583106411398</v>
          </cell>
          <cell r="H78">
            <v>15.82</v>
          </cell>
          <cell r="I78">
            <v>15.79</v>
          </cell>
          <cell r="J78">
            <v>15.87</v>
          </cell>
          <cell r="K78">
            <v>218880566444.34909</v>
          </cell>
          <cell r="L78">
            <v>243498333237.80234</v>
          </cell>
          <cell r="M78">
            <v>257144811301.67261</v>
          </cell>
          <cell r="N78">
            <v>20886.524308762862</v>
          </cell>
          <cell r="O78">
            <v>23343.710396456216</v>
          </cell>
          <cell r="P78">
            <v>24626.148185897262</v>
          </cell>
        </row>
        <row r="79">
          <cell r="B79" t="str">
            <v>GRL</v>
          </cell>
          <cell r="C79" t="str">
            <v>None</v>
          </cell>
          <cell r="D79" t="str">
            <v>Europe &amp; Central Asia</v>
          </cell>
          <cell r="E79" t="str">
            <v>High income</v>
          </cell>
          <cell r="G79">
            <v>62.5</v>
          </cell>
          <cell r="H79">
            <v>-17.38</v>
          </cell>
          <cell r="I79">
            <v>-17.309999999999999</v>
          </cell>
          <cell r="J79">
            <v>-17.13</v>
          </cell>
          <cell r="K79">
            <v>3152334771.7799163</v>
          </cell>
          <cell r="L79">
            <v>3326544174.3794465</v>
          </cell>
          <cell r="M79">
            <v>0</v>
          </cell>
          <cell r="N79">
            <v>55635.000649122259</v>
          </cell>
          <cell r="O79">
            <v>58498.970797360933</v>
          </cell>
          <cell r="P79">
            <v>0</v>
          </cell>
        </row>
        <row r="80">
          <cell r="B80" t="str">
            <v>GRD</v>
          </cell>
          <cell r="C80" t="str">
            <v>AMR</v>
          </cell>
          <cell r="D80" t="str">
            <v>Latin America &amp; Caribbean</v>
          </cell>
          <cell r="E80" t="str">
            <v>Upper middle income</v>
          </cell>
          <cell r="G80">
            <v>0</v>
          </cell>
          <cell r="H80">
            <v>26.82</v>
          </cell>
          <cell r="I80">
            <v>26.84</v>
          </cell>
          <cell r="J80">
            <v>26.88</v>
          </cell>
          <cell r="K80">
            <v>1231732103.7037036</v>
          </cell>
          <cell r="L80">
            <v>1323985600</v>
          </cell>
          <cell r="M80">
            <v>1391435992.5925925</v>
          </cell>
          <cell r="N80">
            <v>10469.386701285634</v>
          </cell>
          <cell r="O80">
            <v>11414.478169118118</v>
          </cell>
          <cell r="P80">
            <v>11705.090297665825</v>
          </cell>
        </row>
        <row r="81">
          <cell r="B81" t="str">
            <v>GUM</v>
          </cell>
          <cell r="C81" t="str">
            <v>WPR</v>
          </cell>
          <cell r="D81" t="str">
            <v>East Asia &amp; Pacific</v>
          </cell>
          <cell r="E81" t="str">
            <v>High income</v>
          </cell>
          <cell r="G81">
            <v>90.376579148756903</v>
          </cell>
          <cell r="H81">
            <v>27.36</v>
          </cell>
          <cell r="I81">
            <v>27.38</v>
          </cell>
          <cell r="J81">
            <v>27.39</v>
          </cell>
          <cell r="K81">
            <v>6910000000</v>
          </cell>
          <cell r="L81">
            <v>0</v>
          </cell>
          <cell r="M81">
            <v>0</v>
          </cell>
          <cell r="N81">
            <v>41833.151713282481</v>
          </cell>
          <cell r="O81">
            <v>0</v>
          </cell>
          <cell r="P81">
            <v>0</v>
          </cell>
        </row>
        <row r="82">
          <cell r="B82" t="str">
            <v>GTM</v>
          </cell>
          <cell r="C82" t="str">
            <v>AMR</v>
          </cell>
          <cell r="D82" t="str">
            <v>Latin America &amp; Caribbean</v>
          </cell>
          <cell r="E82" t="str">
            <v>Upper middle income</v>
          </cell>
          <cell r="G82">
            <v>69.621727899074202</v>
          </cell>
          <cell r="H82">
            <v>23.75</v>
          </cell>
          <cell r="I82">
            <v>23.82</v>
          </cell>
          <cell r="J82">
            <v>23.83</v>
          </cell>
          <cell r="K82">
            <v>95641441234.943039</v>
          </cell>
          <cell r="L82">
            <v>104368413483.14607</v>
          </cell>
          <cell r="M82">
            <v>113199586004.47662</v>
          </cell>
          <cell r="N82">
            <v>5358.7015699767699</v>
          </cell>
          <cell r="O82">
            <v>5758.3276084785166</v>
          </cell>
          <cell r="P82">
            <v>6150.0257143850531</v>
          </cell>
        </row>
        <row r="83">
          <cell r="B83" t="str">
            <v>GIN</v>
          </cell>
          <cell r="C83" t="str">
            <v>AFR</v>
          </cell>
          <cell r="D83" t="str">
            <v>Sub-Saharan Africa</v>
          </cell>
          <cell r="E83" t="str">
            <v>Lower middle income</v>
          </cell>
          <cell r="G83">
            <v>31.2707417142027</v>
          </cell>
          <cell r="H83">
            <v>26.92</v>
          </cell>
          <cell r="I83">
            <v>26.94</v>
          </cell>
          <cell r="J83">
            <v>27.03</v>
          </cell>
          <cell r="K83">
            <v>19910452541.921909</v>
          </cell>
          <cell r="L83">
            <v>22407615556.057053</v>
          </cell>
          <cell r="M83">
            <v>25334307878.737022</v>
          </cell>
          <cell r="N83">
            <v>1416.5961201176417</v>
          </cell>
          <cell r="O83">
            <v>1555.4937580686064</v>
          </cell>
          <cell r="P83">
            <v>1694.9537586219271</v>
          </cell>
        </row>
        <row r="84">
          <cell r="B84" t="str">
            <v>GNB</v>
          </cell>
          <cell r="C84" t="str">
            <v>AFR</v>
          </cell>
          <cell r="D84" t="str">
            <v>Sub-Saharan Africa</v>
          </cell>
          <cell r="E84" t="str">
            <v>Low income</v>
          </cell>
          <cell r="G84">
            <v>27.843818589382799</v>
          </cell>
          <cell r="H84">
            <v>28.49</v>
          </cell>
          <cell r="I84">
            <v>28.47</v>
          </cell>
          <cell r="J84">
            <v>28.54</v>
          </cell>
          <cell r="K84">
            <v>1839048747.8767085</v>
          </cell>
          <cell r="L84">
            <v>2077816134.6741908</v>
          </cell>
          <cell r="M84">
            <v>2119865935.2490857</v>
          </cell>
          <cell r="N84">
            <v>883.19913145783119</v>
          </cell>
          <cell r="O84">
            <v>988.08788635702194</v>
          </cell>
          <cell r="P84">
            <v>1007.7415172802815</v>
          </cell>
        </row>
        <row r="85">
          <cell r="B85" t="str">
            <v>GUY</v>
          </cell>
          <cell r="C85" t="str">
            <v>AMR</v>
          </cell>
          <cell r="D85" t="str">
            <v>Latin America &amp; Caribbean</v>
          </cell>
          <cell r="E85" t="str">
            <v>High income</v>
          </cell>
          <cell r="G85">
            <v>90.989207409414604</v>
          </cell>
          <cell r="H85">
            <v>26.5</v>
          </cell>
          <cell r="I85">
            <v>26.5</v>
          </cell>
          <cell r="J85">
            <v>26.53</v>
          </cell>
          <cell r="K85">
            <v>14718388489.208633</v>
          </cell>
          <cell r="L85">
            <v>16918503597.122303</v>
          </cell>
          <cell r="M85">
            <v>24835899825.899281</v>
          </cell>
          <cell r="N85">
            <v>17913.492806687907</v>
          </cell>
          <cell r="O85">
            <v>20473.700219061713</v>
          </cell>
          <cell r="P85">
            <v>29675.244387331641</v>
          </cell>
        </row>
        <row r="86">
          <cell r="B86" t="str">
            <v>HTI</v>
          </cell>
          <cell r="C86" t="str">
            <v>AMR</v>
          </cell>
          <cell r="D86" t="str">
            <v>Latin America &amp; Caribbean</v>
          </cell>
          <cell r="E86" t="str">
            <v>Lower middle income</v>
          </cell>
          <cell r="G86">
            <v>37.475878862445001</v>
          </cell>
          <cell r="H86">
            <v>25.86</v>
          </cell>
          <cell r="I86">
            <v>25.89</v>
          </cell>
          <cell r="J86">
            <v>25.9</v>
          </cell>
          <cell r="K86">
            <v>20253551920.551617</v>
          </cell>
          <cell r="L86">
            <v>19850585722.324139</v>
          </cell>
          <cell r="M86">
            <v>25224154990.794556</v>
          </cell>
          <cell r="N86">
            <v>1760.626356687774</v>
          </cell>
          <cell r="O86">
            <v>1705.7580846099909</v>
          </cell>
          <cell r="P86">
            <v>2142.6233052678831</v>
          </cell>
        </row>
        <row r="87">
          <cell r="B87" t="str">
            <v>HND</v>
          </cell>
          <cell r="C87" t="str">
            <v>AMR</v>
          </cell>
          <cell r="D87" t="str">
            <v>Latin America &amp; Caribbean</v>
          </cell>
          <cell r="E87" t="str">
            <v>Lower middle income</v>
          </cell>
          <cell r="G87">
            <v>84.396991371735496</v>
          </cell>
          <cell r="H87">
            <v>24.55</v>
          </cell>
          <cell r="I87">
            <v>24.6</v>
          </cell>
          <cell r="J87">
            <v>24.61</v>
          </cell>
          <cell r="K87">
            <v>31426041806.798485</v>
          </cell>
          <cell r="L87">
            <v>34355805527.979488</v>
          </cell>
          <cell r="M87">
            <v>37093565854.043678</v>
          </cell>
          <cell r="N87">
            <v>3003.2899682639932</v>
          </cell>
          <cell r="O87">
            <v>3227.4576250977575</v>
          </cell>
          <cell r="P87">
            <v>3426.4348332892264</v>
          </cell>
        </row>
        <row r="88">
          <cell r="B88" t="str">
            <v>HKG</v>
          </cell>
          <cell r="C88" t="str">
            <v>WPR</v>
          </cell>
          <cell r="D88" t="str">
            <v>East Asia &amp; Pacific</v>
          </cell>
          <cell r="E88" t="str">
            <v>High income</v>
          </cell>
          <cell r="G88">
            <v>96.504173989455197</v>
          </cell>
          <cell r="H88">
            <v>23.57</v>
          </cell>
          <cell r="I88">
            <v>23.63</v>
          </cell>
          <cell r="J88">
            <v>23.66</v>
          </cell>
          <cell r="K88">
            <v>358679533984.7182</v>
          </cell>
          <cell r="L88">
            <v>381066399066.20825</v>
          </cell>
          <cell r="M88">
            <v>407106738445.06921</v>
          </cell>
          <cell r="N88">
            <v>48825.844187353592</v>
          </cell>
          <cell r="O88">
            <v>50562.363314437898</v>
          </cell>
          <cell r="P88">
            <v>54074.692851947948</v>
          </cell>
        </row>
        <row r="89">
          <cell r="B89" t="str">
            <v>HUN</v>
          </cell>
          <cell r="C89" t="str">
            <v>EUR</v>
          </cell>
          <cell r="D89" t="str">
            <v>Europe &amp; Central Asia</v>
          </cell>
          <cell r="E89" t="str">
            <v>High income</v>
          </cell>
          <cell r="G89">
            <v>97.978737009236198</v>
          </cell>
          <cell r="H89">
            <v>12.35</v>
          </cell>
          <cell r="I89">
            <v>12.35</v>
          </cell>
          <cell r="J89">
            <v>12.34</v>
          </cell>
          <cell r="K89">
            <v>177536698164.90179</v>
          </cell>
          <cell r="L89">
            <v>214022571311.23959</v>
          </cell>
          <cell r="M89">
            <v>222904723252.1098</v>
          </cell>
          <cell r="N89">
            <v>18428.02882561399</v>
          </cell>
          <cell r="O89">
            <v>22230.627787518693</v>
          </cell>
          <cell r="P89">
            <v>23292.326388247828</v>
          </cell>
        </row>
        <row r="90">
          <cell r="B90" t="str">
            <v>ISL</v>
          </cell>
          <cell r="C90" t="str">
            <v>EUR</v>
          </cell>
          <cell r="D90" t="str">
            <v>Europe &amp; Central Asia</v>
          </cell>
          <cell r="E90" t="str">
            <v>High income</v>
          </cell>
          <cell r="G90">
            <v>98.779326727374894</v>
          </cell>
          <cell r="H90">
            <v>1.79</v>
          </cell>
          <cell r="I90">
            <v>1.78</v>
          </cell>
          <cell r="J90">
            <v>1.93</v>
          </cell>
          <cell r="K90">
            <v>28696453180.165657</v>
          </cell>
          <cell r="L90">
            <v>31452223861.909103</v>
          </cell>
          <cell r="M90">
            <v>33462807982.850002</v>
          </cell>
          <cell r="N90">
            <v>76350.455041650246</v>
          </cell>
          <cell r="O90">
            <v>82138.789297355674</v>
          </cell>
          <cell r="P90">
            <v>86040.530985128789</v>
          </cell>
        </row>
        <row r="91">
          <cell r="B91" t="str">
            <v>IND</v>
          </cell>
          <cell r="C91" t="str">
            <v>SEAR</v>
          </cell>
          <cell r="D91" t="str">
            <v>South Asia</v>
          </cell>
          <cell r="E91" t="str">
            <v>Lower middle income</v>
          </cell>
          <cell r="G91">
            <v>78.388559946666604</v>
          </cell>
          <cell r="H91">
            <v>24.71</v>
          </cell>
          <cell r="I91">
            <v>24.76</v>
          </cell>
          <cell r="J91">
            <v>24.79</v>
          </cell>
          <cell r="K91">
            <v>3346107287730.9272</v>
          </cell>
          <cell r="L91">
            <v>3638489096033.8589</v>
          </cell>
          <cell r="M91">
            <v>3912686168582.2144</v>
          </cell>
          <cell r="N91">
            <v>2347.4482943462317</v>
          </cell>
          <cell r="O91">
            <v>2530.1203127820381</v>
          </cell>
          <cell r="P91">
            <v>2694.7378085996111</v>
          </cell>
        </row>
        <row r="92">
          <cell r="B92" t="str">
            <v>IDN</v>
          </cell>
          <cell r="C92" t="str">
            <v>SEAR</v>
          </cell>
          <cell r="D92" t="str">
            <v>East Asia &amp; Pacific</v>
          </cell>
          <cell r="E92" t="str">
            <v>Upper middle income</v>
          </cell>
          <cell r="G92">
            <v>88.156880601992995</v>
          </cell>
          <cell r="H92">
            <v>25.93</v>
          </cell>
          <cell r="I92">
            <v>25.94</v>
          </cell>
          <cell r="J92">
            <v>25.98</v>
          </cell>
          <cell r="K92">
            <v>1319101183380.1516</v>
          </cell>
          <cell r="L92">
            <v>1371169301563.6216</v>
          </cell>
          <cell r="M92">
            <v>1396300098190.9734</v>
          </cell>
          <cell r="N92">
            <v>4730.8348483610689</v>
          </cell>
          <cell r="O92">
            <v>4876.3077451225245</v>
          </cell>
          <cell r="P92">
            <v>4925.4304875186144</v>
          </cell>
        </row>
        <row r="93">
          <cell r="B93" t="str">
            <v>IRN</v>
          </cell>
          <cell r="C93" t="str">
            <v>EMR</v>
          </cell>
          <cell r="D93" t="str">
            <v>Middle East &amp; North Africa</v>
          </cell>
          <cell r="E93" t="str">
            <v>Upper middle income</v>
          </cell>
          <cell r="G93">
            <v>90.364731061125596</v>
          </cell>
          <cell r="H93">
            <v>18.72</v>
          </cell>
          <cell r="I93">
            <v>18.73</v>
          </cell>
          <cell r="J93">
            <v>18.78</v>
          </cell>
          <cell r="K93">
            <v>394362621793.03467</v>
          </cell>
          <cell r="L93">
            <v>404625655076.27484</v>
          </cell>
          <cell r="M93">
            <v>436906331671.85852</v>
          </cell>
          <cell r="N93">
            <v>4721.2043709998425</v>
          </cell>
          <cell r="O93">
            <v>5049.2993164275395</v>
          </cell>
          <cell r="P93">
            <v>5190.1695902482134</v>
          </cell>
        </row>
        <row r="94">
          <cell r="B94" t="str">
            <v>IRQ</v>
          </cell>
          <cell r="C94" t="str">
            <v>EMR</v>
          </cell>
          <cell r="D94" t="str">
            <v>Middle East &amp; North Africa</v>
          </cell>
          <cell r="E94" t="str">
            <v>Upper middle income</v>
          </cell>
          <cell r="G94">
            <v>98.498780545837306</v>
          </cell>
          <cell r="H94">
            <v>23.56</v>
          </cell>
          <cell r="I94">
            <v>23.56</v>
          </cell>
          <cell r="J94">
            <v>23.68</v>
          </cell>
          <cell r="K94">
            <v>287372232137.93103</v>
          </cell>
          <cell r="L94">
            <v>268881051643.54932</v>
          </cell>
          <cell r="M94">
            <v>279641257615.38464</v>
          </cell>
          <cell r="N94">
            <v>6520.7315456058404</v>
          </cell>
          <cell r="O94">
            <v>5965.318350777613</v>
          </cell>
          <cell r="P94">
            <v>6073.610323427084</v>
          </cell>
        </row>
        <row r="95">
          <cell r="B95" t="str">
            <v>IRL</v>
          </cell>
          <cell r="C95" t="str">
            <v>EUR</v>
          </cell>
          <cell r="D95" t="str">
            <v>Europe &amp; Central Asia</v>
          </cell>
          <cell r="E95" t="str">
            <v>High income</v>
          </cell>
          <cell r="G95">
            <v>89.254870649239095</v>
          </cell>
          <cell r="H95">
            <v>10.26</v>
          </cell>
          <cell r="I95">
            <v>10.27</v>
          </cell>
          <cell r="J95">
            <v>10.31</v>
          </cell>
          <cell r="K95">
            <v>548570250341.98657</v>
          </cell>
          <cell r="L95">
            <v>551394889339.77832</v>
          </cell>
          <cell r="M95">
            <v>577389475009.92175</v>
          </cell>
          <cell r="N95">
            <v>105190.68595273084</v>
          </cell>
          <cell r="O95">
            <v>106818.91713080389</v>
          </cell>
          <cell r="P95">
            <v>112894.95324080539</v>
          </cell>
        </row>
        <row r="96">
          <cell r="B96" t="str">
            <v>IMN</v>
          </cell>
          <cell r="C96" t="str">
            <v>None</v>
          </cell>
          <cell r="D96" t="str">
            <v>Europe &amp; Central Asia</v>
          </cell>
          <cell r="E96" t="str">
            <v>High income</v>
          </cell>
          <cell r="G96">
            <v>100</v>
          </cell>
          <cell r="H96">
            <v>10.85</v>
          </cell>
          <cell r="I96">
            <v>10.75</v>
          </cell>
          <cell r="J96">
            <v>10.87</v>
          </cell>
          <cell r="K96">
            <v>7431257410.9271269</v>
          </cell>
          <cell r="L96">
            <v>0</v>
          </cell>
          <cell r="M96">
            <v>0</v>
          </cell>
          <cell r="N96">
            <v>88328.548125887028</v>
          </cell>
          <cell r="O96">
            <v>0</v>
          </cell>
          <cell r="P96">
            <v>0</v>
          </cell>
        </row>
        <row r="97">
          <cell r="B97" t="str">
            <v>ISR</v>
          </cell>
          <cell r="C97" t="str">
            <v>EUR</v>
          </cell>
          <cell r="D97" t="str">
            <v>Middle East &amp; North Africa</v>
          </cell>
          <cell r="E97" t="str">
            <v>High income</v>
          </cell>
          <cell r="G97">
            <v>99.924519397394704</v>
          </cell>
          <cell r="H97">
            <v>21.16</v>
          </cell>
          <cell r="I97">
            <v>21.14</v>
          </cell>
          <cell r="J97">
            <v>21.18</v>
          </cell>
          <cell r="K97">
            <v>525181008025.57025</v>
          </cell>
          <cell r="L97">
            <v>512184638998.97394</v>
          </cell>
          <cell r="M97">
            <v>540379921261.68097</v>
          </cell>
          <cell r="N97">
            <v>54949.621556429011</v>
          </cell>
          <cell r="O97">
            <v>52003.720072999691</v>
          </cell>
          <cell r="P97">
            <v>54176.684438330223</v>
          </cell>
        </row>
        <row r="98">
          <cell r="B98" t="str">
            <v>ITA</v>
          </cell>
          <cell r="C98" t="str">
            <v>EUR</v>
          </cell>
          <cell r="D98" t="str">
            <v>Europe &amp; Central Asia</v>
          </cell>
          <cell r="E98" t="str">
            <v>High income</v>
          </cell>
          <cell r="G98">
            <v>99.8850365009352</v>
          </cell>
          <cell r="H98">
            <v>13.87</v>
          </cell>
          <cell r="I98">
            <v>13.79</v>
          </cell>
          <cell r="J98">
            <v>13.81</v>
          </cell>
          <cell r="K98">
            <v>2104067630319.4634</v>
          </cell>
          <cell r="L98">
            <v>2304605139862.7856</v>
          </cell>
          <cell r="M98">
            <v>2372774547793.1245</v>
          </cell>
          <cell r="N98">
            <v>35653.904210349501</v>
          </cell>
          <cell r="O98">
            <v>39277.083878391779</v>
          </cell>
          <cell r="P98">
            <v>40385.341395766904</v>
          </cell>
        </row>
        <row r="99">
          <cell r="B99" t="str">
            <v>JAM</v>
          </cell>
          <cell r="C99" t="str">
            <v>AMR</v>
          </cell>
          <cell r="D99" t="str">
            <v>Latin America &amp; Caribbean</v>
          </cell>
          <cell r="E99" t="str">
            <v>Upper middle income</v>
          </cell>
          <cell r="G99">
            <v>86.552597631728005</v>
          </cell>
          <cell r="H99">
            <v>26.32</v>
          </cell>
          <cell r="I99">
            <v>26.28</v>
          </cell>
          <cell r="J99">
            <v>26.31</v>
          </cell>
          <cell r="K99">
            <v>17097760686.777462</v>
          </cell>
          <cell r="L99">
            <v>19423355367.237179</v>
          </cell>
          <cell r="M99">
            <v>19930288337.027954</v>
          </cell>
          <cell r="N99">
            <v>6626.4750238853849</v>
          </cell>
          <cell r="O99">
            <v>7542.4008427534518</v>
          </cell>
          <cell r="P99">
            <v>7753.8006955431983</v>
          </cell>
        </row>
        <row r="100">
          <cell r="B100" t="str">
            <v>JPN</v>
          </cell>
          <cell r="C100" t="str">
            <v>WPR</v>
          </cell>
          <cell r="D100" t="str">
            <v>East Asia &amp; Pacific</v>
          </cell>
          <cell r="E100" t="str">
            <v>High income</v>
          </cell>
          <cell r="G100">
            <v>99.9376889486133</v>
          </cell>
          <cell r="H100">
            <v>12.85</v>
          </cell>
          <cell r="I100">
            <v>12.99</v>
          </cell>
          <cell r="J100">
            <v>13.05</v>
          </cell>
          <cell r="K100">
            <v>4262463317796.5278</v>
          </cell>
          <cell r="L100">
            <v>4213167237905.8257</v>
          </cell>
          <cell r="M100">
            <v>4026210821146.8076</v>
          </cell>
          <cell r="N100">
            <v>34065.64389625263</v>
          </cell>
          <cell r="O100">
            <v>33836.175627161712</v>
          </cell>
          <cell r="P100">
            <v>32487.07780475674</v>
          </cell>
        </row>
        <row r="101">
          <cell r="B101" t="str">
            <v>JOR</v>
          </cell>
          <cell r="C101" t="str">
            <v>EMR</v>
          </cell>
          <cell r="D101" t="str">
            <v>Middle East &amp; North Africa</v>
          </cell>
          <cell r="E101" t="str">
            <v>Lower middle income</v>
          </cell>
          <cell r="G101">
            <v>97.144885793103597</v>
          </cell>
          <cell r="H101">
            <v>20.010000000000002</v>
          </cell>
          <cell r="I101">
            <v>20.03</v>
          </cell>
          <cell r="J101">
            <v>20.09</v>
          </cell>
          <cell r="K101">
            <v>48764963380.281693</v>
          </cell>
          <cell r="L101">
            <v>51088476338.028175</v>
          </cell>
          <cell r="M101">
            <v>53352289577.46479</v>
          </cell>
          <cell r="N101">
            <v>4332.2515989793146</v>
          </cell>
          <cell r="O101">
            <v>4466.0831420857512</v>
          </cell>
          <cell r="P101">
            <v>4618.0959249856742</v>
          </cell>
        </row>
        <row r="102">
          <cell r="B102" t="str">
            <v>KAZ</v>
          </cell>
          <cell r="C102" t="str">
            <v>EUR</v>
          </cell>
          <cell r="D102" t="str">
            <v>Europe &amp; Central Asia</v>
          </cell>
          <cell r="E102" t="str">
            <v>Upper middle income</v>
          </cell>
          <cell r="G102">
            <v>97.860845796832706</v>
          </cell>
          <cell r="H102">
            <v>7.81</v>
          </cell>
          <cell r="I102">
            <v>7.65</v>
          </cell>
          <cell r="J102">
            <v>7.66</v>
          </cell>
          <cell r="K102">
            <v>225496328925.49411</v>
          </cell>
          <cell r="L102">
            <v>261840101059.92349</v>
          </cell>
          <cell r="M102">
            <v>288406138230.66876</v>
          </cell>
          <cell r="N102">
            <v>11255.339643788113</v>
          </cell>
          <cell r="O102">
            <v>12879.427525797384</v>
          </cell>
          <cell r="P102">
            <v>14154.632495807635</v>
          </cell>
        </row>
        <row r="103">
          <cell r="B103" t="str">
            <v>KEN</v>
          </cell>
          <cell r="C103" t="str">
            <v>AFR</v>
          </cell>
          <cell r="D103" t="str">
            <v>Sub-Saharan Africa</v>
          </cell>
          <cell r="E103" t="str">
            <v>Lower middle income</v>
          </cell>
          <cell r="G103">
            <v>36.528720029266999</v>
          </cell>
          <cell r="H103">
            <v>25.87</v>
          </cell>
          <cell r="I103">
            <v>25.94</v>
          </cell>
          <cell r="J103">
            <v>26</v>
          </cell>
          <cell r="K103">
            <v>114448978152.63741</v>
          </cell>
          <cell r="L103">
            <v>108038588970.59505</v>
          </cell>
          <cell r="M103">
            <v>124498691699.12495</v>
          </cell>
          <cell r="N103">
            <v>2109.562885131375</v>
          </cell>
          <cell r="O103">
            <v>1942.5880275619108</v>
          </cell>
          <cell r="P103">
            <v>2132.4345209764665</v>
          </cell>
        </row>
        <row r="104">
          <cell r="B104" t="str">
            <v>KIR</v>
          </cell>
          <cell r="C104" t="str">
            <v>WPR</v>
          </cell>
          <cell r="D104" t="str">
            <v>East Asia &amp; Pacific</v>
          </cell>
          <cell r="E104" t="str">
            <v>Lower middle income</v>
          </cell>
          <cell r="G104">
            <v>45.182053881510299</v>
          </cell>
          <cell r="H104">
            <v>27.15</v>
          </cell>
          <cell r="I104">
            <v>27.2</v>
          </cell>
          <cell r="J104">
            <v>27.19</v>
          </cell>
          <cell r="K104">
            <v>270040456.96104503</v>
          </cell>
          <cell r="L104">
            <v>288610732.19077516</v>
          </cell>
          <cell r="M104">
            <v>307862546.78962725</v>
          </cell>
          <cell r="N104">
            <v>2069.7671726924987</v>
          </cell>
          <cell r="O104">
            <v>2177.7012581226231</v>
          </cell>
          <cell r="P104">
            <v>2288.6347142368409</v>
          </cell>
        </row>
        <row r="105">
          <cell r="B105" t="str">
            <v>PRK</v>
          </cell>
          <cell r="C105" t="str">
            <v>SEAR</v>
          </cell>
          <cell r="D105" t="str">
            <v>East Asia &amp; Pacific</v>
          </cell>
          <cell r="E105" t="str">
            <v>Low income</v>
          </cell>
          <cell r="G105">
            <v>84.765038840301798</v>
          </cell>
          <cell r="H105">
            <v>8.18</v>
          </cell>
          <cell r="I105">
            <v>8.35</v>
          </cell>
          <cell r="J105">
            <v>8.2200000000000006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B106" t="str">
            <v>KOR</v>
          </cell>
          <cell r="C106" t="str">
            <v>WPR</v>
          </cell>
          <cell r="D106" t="str">
            <v>East Asia &amp; Pacific</v>
          </cell>
          <cell r="E106" t="str">
            <v>High income</v>
          </cell>
          <cell r="G106">
            <v>99.816782255034298</v>
          </cell>
          <cell r="H106">
            <v>13.36</v>
          </cell>
          <cell r="I106">
            <v>13.5</v>
          </cell>
          <cell r="J106">
            <v>13.48</v>
          </cell>
          <cell r="K106">
            <v>1673916511799.7087</v>
          </cell>
          <cell r="L106">
            <v>1712792854202.3687</v>
          </cell>
          <cell r="M106">
            <v>0</v>
          </cell>
          <cell r="N106">
            <v>34822.404840497111</v>
          </cell>
          <cell r="O106">
            <v>35674.095995632029</v>
          </cell>
          <cell r="P106">
            <v>36238.639908314988</v>
          </cell>
        </row>
        <row r="107">
          <cell r="B107" t="str">
            <v>XKX</v>
          </cell>
          <cell r="C107" t="str">
            <v>None</v>
          </cell>
          <cell r="D107" t="str">
            <v>Europe &amp; Central Asia</v>
          </cell>
          <cell r="E107" t="str">
            <v>Upper middle income</v>
          </cell>
          <cell r="G107">
            <v>0</v>
          </cell>
          <cell r="H107" t="e">
            <v>#N/A</v>
          </cell>
          <cell r="I107" t="e">
            <v>#N/A</v>
          </cell>
          <cell r="J107" t="e">
            <v>#N/A</v>
          </cell>
          <cell r="K107">
            <v>9354903061.8897991</v>
          </cell>
          <cell r="L107">
            <v>10468220306.90703</v>
          </cell>
          <cell r="M107">
            <v>11148602232.663</v>
          </cell>
          <cell r="N107">
            <v>5290.9500650970576</v>
          </cell>
          <cell r="O107">
            <v>6221.2061884779905</v>
          </cell>
          <cell r="P107">
            <v>7023.0659851287764</v>
          </cell>
        </row>
        <row r="108">
          <cell r="B108" t="str">
            <v>KWT</v>
          </cell>
          <cell r="C108" t="str">
            <v>EMR</v>
          </cell>
          <cell r="D108" t="str">
            <v>Middle East &amp; North Africa</v>
          </cell>
          <cell r="E108" t="str">
            <v>High income</v>
          </cell>
          <cell r="G108">
            <v>100</v>
          </cell>
          <cell r="H108">
            <v>26.84</v>
          </cell>
          <cell r="I108">
            <v>26.84</v>
          </cell>
          <cell r="J108">
            <v>26.86</v>
          </cell>
          <cell r="K108">
            <v>183502046669.15036</v>
          </cell>
          <cell r="L108">
            <v>165384407267.056</v>
          </cell>
          <cell r="M108">
            <v>160227273001.34827</v>
          </cell>
          <cell r="N108">
            <v>39981.769103583334</v>
          </cell>
          <cell r="O108">
            <v>34075.849012909021</v>
          </cell>
          <cell r="P108">
            <v>32717.718663125463</v>
          </cell>
        </row>
        <row r="109">
          <cell r="B109" t="str">
            <v>KGZ</v>
          </cell>
          <cell r="C109" t="str">
            <v>EUR</v>
          </cell>
          <cell r="D109" t="str">
            <v>Europe &amp; Central Asia</v>
          </cell>
          <cell r="E109" t="str">
            <v>Lower middle income</v>
          </cell>
          <cell r="G109">
            <v>97.8645711028921</v>
          </cell>
          <cell r="H109">
            <v>1.37</v>
          </cell>
          <cell r="I109">
            <v>1.36</v>
          </cell>
          <cell r="J109">
            <v>1.44</v>
          </cell>
          <cell r="K109">
            <v>12134931017.946526</v>
          </cell>
          <cell r="L109">
            <v>15180842369.489408</v>
          </cell>
          <cell r="M109">
            <v>17478259659.262497</v>
          </cell>
          <cell r="N109">
            <v>1739.7201834417447</v>
          </cell>
          <cell r="O109">
            <v>2138.2221021147798</v>
          </cell>
          <cell r="P109">
            <v>2420.1854228383149</v>
          </cell>
        </row>
        <row r="110">
          <cell r="B110" t="str">
            <v>LAO</v>
          </cell>
          <cell r="C110" t="str">
            <v>WPR</v>
          </cell>
          <cell r="D110" t="str">
            <v>East Asia &amp; Pacific</v>
          </cell>
          <cell r="E110" t="str">
            <v>Lower middle income</v>
          </cell>
          <cell r="G110">
            <v>79.513633849649807</v>
          </cell>
          <cell r="H110">
            <v>23.95</v>
          </cell>
          <cell r="I110">
            <v>23.95</v>
          </cell>
          <cell r="J110">
            <v>24.01</v>
          </cell>
          <cell r="K110">
            <v>15468785203.753174</v>
          </cell>
          <cell r="L110">
            <v>15843155731.25518</v>
          </cell>
          <cell r="M110">
            <v>16502933121.080585</v>
          </cell>
          <cell r="N110">
            <v>2046.4044025562052</v>
          </cell>
          <cell r="O110">
            <v>2066.9497977695714</v>
          </cell>
          <cell r="P110">
            <v>2123.9790941510914</v>
          </cell>
        </row>
        <row r="111">
          <cell r="B111" t="str">
            <v>LVA</v>
          </cell>
          <cell r="C111" t="str">
            <v>EUR</v>
          </cell>
          <cell r="D111" t="str">
            <v>Europe &amp; Central Asia</v>
          </cell>
          <cell r="E111" t="str">
            <v>High income</v>
          </cell>
          <cell r="G111">
            <v>0</v>
          </cell>
          <cell r="H111">
            <v>7.62</v>
          </cell>
          <cell r="I111">
            <v>7.29</v>
          </cell>
          <cell r="J111">
            <v>7.31</v>
          </cell>
          <cell r="K111">
            <v>38014713595.768631</v>
          </cell>
          <cell r="L111">
            <v>42572151720.138008</v>
          </cell>
          <cell r="M111">
            <v>43520773851.121864</v>
          </cell>
          <cell r="N111">
            <v>20221.103686109032</v>
          </cell>
          <cell r="O111">
            <v>22710.263754419742</v>
          </cell>
          <cell r="P111">
            <v>23409.084515477498</v>
          </cell>
        </row>
        <row r="112">
          <cell r="B112" t="str">
            <v>LBN</v>
          </cell>
          <cell r="C112" t="str">
            <v>EMR</v>
          </cell>
          <cell r="D112" t="str">
            <v>Middle East &amp; North Africa</v>
          </cell>
          <cell r="E112" t="str">
            <v>Lower middle income</v>
          </cell>
          <cell r="G112">
            <v>99.2</v>
          </cell>
          <cell r="H112">
            <v>16.16</v>
          </cell>
          <cell r="I112">
            <v>16.149999999999999</v>
          </cell>
          <cell r="J112">
            <v>16.23</v>
          </cell>
          <cell r="K112">
            <v>20992421948.808086</v>
          </cell>
          <cell r="L112">
            <v>20078620356.993057</v>
          </cell>
          <cell r="M112">
            <v>0</v>
          </cell>
          <cell r="N112">
            <v>3654.3584553487849</v>
          </cell>
          <cell r="O112">
            <v>3477.7248984268376</v>
          </cell>
          <cell r="P112">
            <v>0</v>
          </cell>
        </row>
        <row r="113">
          <cell r="B113" t="str">
            <v>LSO</v>
          </cell>
          <cell r="C113" t="str">
            <v>AFR</v>
          </cell>
          <cell r="D113" t="str">
            <v>Sub-Saharan Africa</v>
          </cell>
          <cell r="E113" t="str">
            <v>Lower middle income</v>
          </cell>
          <cell r="G113">
            <v>50.279192985030903</v>
          </cell>
          <cell r="H113">
            <v>12.26</v>
          </cell>
          <cell r="I113">
            <v>12.35</v>
          </cell>
          <cell r="J113">
            <v>12.41</v>
          </cell>
          <cell r="K113">
            <v>2354980884.1527104</v>
          </cell>
          <cell r="L113">
            <v>2117962430.3041036</v>
          </cell>
          <cell r="M113">
            <v>2271541845.6200151</v>
          </cell>
          <cell r="N113">
            <v>1030.1258294775712</v>
          </cell>
          <cell r="O113">
            <v>916.28297698380345</v>
          </cell>
          <cell r="P113">
            <v>971.90771824828971</v>
          </cell>
        </row>
        <row r="114">
          <cell r="B114" t="str">
            <v>LBR</v>
          </cell>
          <cell r="C114" t="str">
            <v>AFR</v>
          </cell>
          <cell r="D114" t="str">
            <v>Sub-Saharan Africa</v>
          </cell>
          <cell r="E114" t="str">
            <v>Low income</v>
          </cell>
          <cell r="G114">
            <v>22.523382497250498</v>
          </cell>
          <cell r="H114">
            <v>26.18</v>
          </cell>
          <cell r="I114">
            <v>26.21</v>
          </cell>
          <cell r="J114">
            <v>26.25</v>
          </cell>
          <cell r="K114">
            <v>4001047000</v>
          </cell>
          <cell r="L114">
            <v>4390000000</v>
          </cell>
          <cell r="M114">
            <v>4750000000</v>
          </cell>
          <cell r="N114">
            <v>744.61717523738696</v>
          </cell>
          <cell r="O114">
            <v>799.19447022964187</v>
          </cell>
          <cell r="P114">
            <v>851.4977238702063</v>
          </cell>
        </row>
        <row r="115">
          <cell r="B115" t="str">
            <v>LBY</v>
          </cell>
          <cell r="C115" t="str">
            <v>EMR</v>
          </cell>
          <cell r="D115" t="str">
            <v>Middle East &amp; North Africa</v>
          </cell>
          <cell r="E115" t="str">
            <v>Upper middle income</v>
          </cell>
          <cell r="G115">
            <v>92.106002208955502</v>
          </cell>
          <cell r="H115">
            <v>22.86</v>
          </cell>
          <cell r="I115">
            <v>22.85</v>
          </cell>
          <cell r="J115">
            <v>22.96</v>
          </cell>
          <cell r="K115">
            <v>43246297921.849922</v>
          </cell>
          <cell r="L115">
            <v>45096462972.40136</v>
          </cell>
          <cell r="M115">
            <v>46636278901.901581</v>
          </cell>
          <cell r="N115">
            <v>5986.6369485125806</v>
          </cell>
          <cell r="O115">
            <v>6026.5151870881191</v>
          </cell>
          <cell r="P115">
            <v>6569.1640867864844</v>
          </cell>
        </row>
        <row r="116">
          <cell r="B116" t="str">
            <v>LIE</v>
          </cell>
          <cell r="C116" t="str">
            <v>None</v>
          </cell>
          <cell r="D116" t="str">
            <v>Europe &amp; Central Asia</v>
          </cell>
          <cell r="E116" t="str">
            <v>High income</v>
          </cell>
          <cell r="G116">
            <v>99.95</v>
          </cell>
          <cell r="H116">
            <v>6.7</v>
          </cell>
          <cell r="I116">
            <v>6.58</v>
          </cell>
          <cell r="J116">
            <v>6.57</v>
          </cell>
          <cell r="K116">
            <v>7378156576.2354002</v>
          </cell>
          <cell r="L116">
            <v>8287748667.2083158</v>
          </cell>
          <cell r="M116">
            <v>0</v>
          </cell>
          <cell r="N116">
            <v>188055.00323534798</v>
          </cell>
          <cell r="O116">
            <v>206780.59035338453</v>
          </cell>
          <cell r="P116">
            <v>0</v>
          </cell>
        </row>
        <row r="117">
          <cell r="B117" t="str">
            <v>LTU</v>
          </cell>
          <cell r="C117" t="str">
            <v>EUR</v>
          </cell>
          <cell r="D117" t="str">
            <v>Europe &amp; Central Asia</v>
          </cell>
          <cell r="E117" t="str">
            <v>High income</v>
          </cell>
          <cell r="G117">
            <v>95.3067363442577</v>
          </cell>
          <cell r="H117">
            <v>8.1199999999999992</v>
          </cell>
          <cell r="I117">
            <v>7.82</v>
          </cell>
          <cell r="J117">
            <v>7.81</v>
          </cell>
          <cell r="K117">
            <v>71033884499.782379</v>
          </cell>
          <cell r="L117">
            <v>79789877416.168076</v>
          </cell>
          <cell r="M117">
            <v>84869215513.364822</v>
          </cell>
          <cell r="N117">
            <v>25085.784063499046</v>
          </cell>
          <cell r="O117">
            <v>27786.005782927572</v>
          </cell>
          <cell r="P117">
            <v>29384.018959866335</v>
          </cell>
        </row>
        <row r="118">
          <cell r="B118" t="str">
            <v>LUX</v>
          </cell>
          <cell r="C118" t="str">
            <v>EUR</v>
          </cell>
          <cell r="D118" t="str">
            <v>Europe &amp; Central Asia</v>
          </cell>
          <cell r="E118" t="str">
            <v>High income</v>
          </cell>
          <cell r="G118">
            <v>97.585929408821002</v>
          </cell>
          <cell r="H118">
            <v>9.98</v>
          </cell>
          <cell r="I118">
            <v>9.82</v>
          </cell>
          <cell r="J118">
            <v>9.8800000000000008</v>
          </cell>
          <cell r="K118">
            <v>80801680397.013931</v>
          </cell>
          <cell r="L118">
            <v>87574021091.752533</v>
          </cell>
          <cell r="M118">
            <v>93197329011.707794</v>
          </cell>
          <cell r="N118">
            <v>123719.6589159963</v>
          </cell>
          <cell r="O118">
            <v>133230.6191788991</v>
          </cell>
          <cell r="P118">
            <v>137781.68165912307</v>
          </cell>
        </row>
        <row r="119">
          <cell r="B119" t="str">
            <v>MAC</v>
          </cell>
          <cell r="C119" t="str">
            <v>WPR</v>
          </cell>
          <cell r="D119" t="str">
            <v>East Asia &amp; Pacific</v>
          </cell>
          <cell r="E119" t="str">
            <v>High income</v>
          </cell>
          <cell r="G119">
            <v>100</v>
          </cell>
          <cell r="H119">
            <v>23.77</v>
          </cell>
          <cell r="I119">
            <v>23.83</v>
          </cell>
          <cell r="J119">
            <v>23.86</v>
          </cell>
          <cell r="K119">
            <v>24999113475.836823</v>
          </cell>
          <cell r="L119">
            <v>45803067940.407196</v>
          </cell>
          <cell r="M119">
            <v>50183212761.348351</v>
          </cell>
          <cell r="N119">
            <v>36806.891255460985</v>
          </cell>
          <cell r="O119">
            <v>67216.363111212369</v>
          </cell>
          <cell r="P119">
            <v>72004.743702073349</v>
          </cell>
        </row>
        <row r="120">
          <cell r="B120" t="str">
            <v>MDG</v>
          </cell>
          <cell r="C120" t="str">
            <v>AFR</v>
          </cell>
          <cell r="D120" t="str">
            <v>Sub-Saharan Africa</v>
          </cell>
          <cell r="E120" t="str">
            <v>Low income</v>
          </cell>
          <cell r="G120">
            <v>14.754285111118801</v>
          </cell>
          <cell r="H120">
            <v>23.38</v>
          </cell>
          <cell r="I120">
            <v>23.39</v>
          </cell>
          <cell r="J120">
            <v>23.4</v>
          </cell>
          <cell r="K120">
            <v>15325603272.607267</v>
          </cell>
          <cell r="L120">
            <v>15869945477.855042</v>
          </cell>
          <cell r="M120">
            <v>17420814800.704494</v>
          </cell>
          <cell r="N120">
            <v>503.51453347295961</v>
          </cell>
          <cell r="O120">
            <v>508.71842770559078</v>
          </cell>
          <cell r="P120">
            <v>544.98750100338384</v>
          </cell>
        </row>
        <row r="121">
          <cell r="B121" t="str">
            <v>MWI</v>
          </cell>
          <cell r="C121" t="str">
            <v>AFR</v>
          </cell>
          <cell r="D121" t="str">
            <v>Sub-Saharan Africa</v>
          </cell>
          <cell r="E121" t="str">
            <v>Low income</v>
          </cell>
          <cell r="G121">
            <v>49.241288812948902</v>
          </cell>
          <cell r="H121">
            <v>22.88</v>
          </cell>
          <cell r="I121">
            <v>22.87</v>
          </cell>
          <cell r="J121">
            <v>22.87</v>
          </cell>
          <cell r="K121">
            <v>12429060150.741961</v>
          </cell>
          <cell r="L121">
            <v>12712150082.079203</v>
          </cell>
          <cell r="M121">
            <v>11008925322.513369</v>
          </cell>
          <cell r="N121">
            <v>604.26974036031731</v>
          </cell>
          <cell r="O121">
            <v>633.21476797869502</v>
          </cell>
          <cell r="P121">
            <v>522.57039364254717</v>
          </cell>
        </row>
        <row r="122">
          <cell r="B122" t="str">
            <v>MYS</v>
          </cell>
          <cell r="C122" t="str">
            <v>WPR</v>
          </cell>
          <cell r="D122" t="str">
            <v>East Asia &amp; Pacific</v>
          </cell>
          <cell r="E122" t="str">
            <v>Upper middle income</v>
          </cell>
          <cell r="G122">
            <v>95.996135200180206</v>
          </cell>
          <cell r="H122">
            <v>26.41</v>
          </cell>
          <cell r="I122">
            <v>26.44</v>
          </cell>
          <cell r="J122">
            <v>26.47</v>
          </cell>
          <cell r="K122">
            <v>407605841348.2348</v>
          </cell>
          <cell r="L122">
            <v>399705137434.07428</v>
          </cell>
          <cell r="M122">
            <v>421972102253.57031</v>
          </cell>
          <cell r="N122">
            <v>11754.567833624773</v>
          </cell>
          <cell r="O122">
            <v>11386.039563652774</v>
          </cell>
          <cell r="P122">
            <v>11874.427368424476</v>
          </cell>
        </row>
        <row r="123">
          <cell r="B123" t="str">
            <v>MDV</v>
          </cell>
          <cell r="C123" t="str">
            <v>SEAR</v>
          </cell>
          <cell r="D123" t="str">
            <v>South Asia</v>
          </cell>
          <cell r="E123" t="str">
            <v>Upper middle income</v>
          </cell>
          <cell r="G123">
            <v>99.700538860316001</v>
          </cell>
          <cell r="H123">
            <v>27.41</v>
          </cell>
          <cell r="I123">
            <v>27.43</v>
          </cell>
          <cell r="J123">
            <v>27.5</v>
          </cell>
          <cell r="K123">
            <v>6177118113.9463654</v>
          </cell>
          <cell r="L123">
            <v>6590894301.9579</v>
          </cell>
          <cell r="M123">
            <v>6975146349.4259214</v>
          </cell>
          <cell r="N123">
            <v>11786.019149298254</v>
          </cell>
          <cell r="O123">
            <v>12587.612603865125</v>
          </cell>
          <cell r="P123">
            <v>13379.351357722368</v>
          </cell>
        </row>
        <row r="124">
          <cell r="B124" t="str">
            <v>MLI</v>
          </cell>
          <cell r="C124" t="str">
            <v>AFR</v>
          </cell>
          <cell r="D124" t="str">
            <v>Sub-Saharan Africa</v>
          </cell>
          <cell r="E124" t="str">
            <v>Low income</v>
          </cell>
          <cell r="G124">
            <v>50.208551122290103</v>
          </cell>
          <cell r="H124">
            <v>29.24</v>
          </cell>
          <cell r="I124">
            <v>29.2</v>
          </cell>
          <cell r="J124">
            <v>29.35</v>
          </cell>
          <cell r="K124">
            <v>22374051349.944458</v>
          </cell>
          <cell r="L124">
            <v>24621545564.875267</v>
          </cell>
          <cell r="M124">
            <v>26588067731.169247</v>
          </cell>
          <cell r="N124">
            <v>976.91411640645185</v>
          </cell>
          <cell r="O124">
            <v>1043.9533853528012</v>
          </cell>
          <cell r="P124">
            <v>1094.6194926579924</v>
          </cell>
        </row>
        <row r="125">
          <cell r="B125" t="str">
            <v>MLT</v>
          </cell>
          <cell r="C125" t="str">
            <v>EUR</v>
          </cell>
          <cell r="D125" t="str">
            <v>Middle East &amp; North Africa</v>
          </cell>
          <cell r="E125" t="str">
            <v>High income</v>
          </cell>
          <cell r="G125">
            <v>99.964422815225007</v>
          </cell>
          <cell r="H125">
            <v>20</v>
          </cell>
          <cell r="I125">
            <v>20.05</v>
          </cell>
          <cell r="J125">
            <v>20.079999999999998</v>
          </cell>
          <cell r="K125">
            <v>19239187083.519371</v>
          </cell>
          <cell r="L125">
            <v>22210718401.020718</v>
          </cell>
          <cell r="M125">
            <v>24322006607.929516</v>
          </cell>
          <cell r="N125">
            <v>35638.886945740596</v>
          </cell>
          <cell r="O125">
            <v>40905.805958505691</v>
          </cell>
          <cell r="P125">
            <v>43898.578180859666</v>
          </cell>
        </row>
        <row r="126">
          <cell r="B126" t="str">
            <v>MHL</v>
          </cell>
          <cell r="C126" t="str">
            <v>WPR</v>
          </cell>
          <cell r="D126" t="str">
            <v>East Asia &amp; Pacific</v>
          </cell>
          <cell r="E126" t="str">
            <v>Upper middle income</v>
          </cell>
          <cell r="G126">
            <v>81.459674355676597</v>
          </cell>
          <cell r="H126">
            <v>27.32</v>
          </cell>
          <cell r="I126">
            <v>27.34</v>
          </cell>
          <cell r="J126">
            <v>27.37</v>
          </cell>
          <cell r="K126">
            <v>253400000</v>
          </cell>
          <cell r="L126">
            <v>259300000</v>
          </cell>
          <cell r="M126">
            <v>280357844.22980201</v>
          </cell>
          <cell r="N126">
            <v>6455.6606218576244</v>
          </cell>
          <cell r="O126">
            <v>6793.2449589585594</v>
          </cell>
          <cell r="P126">
            <v>7726.3366887779366</v>
          </cell>
        </row>
        <row r="127">
          <cell r="B127" t="str">
            <v>MRT</v>
          </cell>
          <cell r="C127" t="str">
            <v>AFR</v>
          </cell>
          <cell r="D127" t="str">
            <v>Sub-Saharan Africa</v>
          </cell>
          <cell r="E127" t="str">
            <v>Lower middle income</v>
          </cell>
          <cell r="G127">
            <v>55.929894395425698</v>
          </cell>
          <cell r="H127">
            <v>28.28</v>
          </cell>
          <cell r="I127">
            <v>28.22</v>
          </cell>
          <cell r="J127">
            <v>28.34</v>
          </cell>
          <cell r="K127">
            <v>9557966698.2536888</v>
          </cell>
          <cell r="L127">
            <v>10651709314.164392</v>
          </cell>
          <cell r="M127">
            <v>10766731873.540733</v>
          </cell>
          <cell r="N127">
            <v>1960.3524007742351</v>
          </cell>
          <cell r="O127">
            <v>2135.7818760635901</v>
          </cell>
          <cell r="P127">
            <v>2110.1203693818711</v>
          </cell>
        </row>
        <row r="128">
          <cell r="B128" t="str">
            <v>MUS</v>
          </cell>
          <cell r="C128" t="str">
            <v>AFR</v>
          </cell>
          <cell r="D128" t="str">
            <v>Sub-Saharan Africa</v>
          </cell>
          <cell r="E128" t="str">
            <v>Upper middle income</v>
          </cell>
          <cell r="G128">
            <v>0</v>
          </cell>
          <cell r="H128">
            <v>24.06</v>
          </cell>
          <cell r="I128">
            <v>24.14</v>
          </cell>
          <cell r="J128">
            <v>24.13</v>
          </cell>
          <cell r="K128">
            <v>12907767789.596737</v>
          </cell>
          <cell r="L128">
            <v>14101195732.674135</v>
          </cell>
          <cell r="M128">
            <v>14952555414.855322</v>
          </cell>
          <cell r="N128">
            <v>10246.501745555295</v>
          </cell>
          <cell r="O128">
            <v>11269.968446213859</v>
          </cell>
          <cell r="P128">
            <v>11990.77989448369</v>
          </cell>
        </row>
        <row r="129">
          <cell r="B129" t="str">
            <v>MEX</v>
          </cell>
          <cell r="C129" t="str">
            <v>AMR</v>
          </cell>
          <cell r="D129" t="str">
            <v>Latin America &amp; Caribbean</v>
          </cell>
          <cell r="E129" t="str">
            <v>Upper middle income</v>
          </cell>
          <cell r="G129">
            <v>92.518447768031905</v>
          </cell>
          <cell r="H129">
            <v>21.8</v>
          </cell>
          <cell r="I129">
            <v>21.89</v>
          </cell>
          <cell r="J129">
            <v>21.85</v>
          </cell>
          <cell r="K129">
            <v>1466464899303.6838</v>
          </cell>
          <cell r="L129">
            <v>1793798859343.2734</v>
          </cell>
          <cell r="M129">
            <v>1852722885258.1101</v>
          </cell>
          <cell r="N129">
            <v>11405.79404737593</v>
          </cell>
          <cell r="O129">
            <v>13860.959780932561</v>
          </cell>
          <cell r="P129">
            <v>14185.781224852855</v>
          </cell>
        </row>
        <row r="130">
          <cell r="B130" t="str">
            <v>FSM</v>
          </cell>
          <cell r="C130" t="str">
            <v>WPR</v>
          </cell>
          <cell r="D130" t="str">
            <v>East Asia &amp; Pacific</v>
          </cell>
          <cell r="E130" t="str">
            <v>Lower middle income</v>
          </cell>
          <cell r="G130">
            <v>0</v>
          </cell>
          <cell r="H130">
            <v>27.44</v>
          </cell>
          <cell r="I130">
            <v>27.43</v>
          </cell>
          <cell r="J130">
            <v>27.46</v>
          </cell>
          <cell r="K130">
            <v>415956896.458884</v>
          </cell>
          <cell r="L130">
            <v>443916782.29559398</v>
          </cell>
          <cell r="M130">
            <v>471425099.488675</v>
          </cell>
          <cell r="N130">
            <v>3710.1245161175234</v>
          </cell>
          <cell r="O130">
            <v>3919.6430791085854</v>
          </cell>
          <cell r="P130">
            <v>4166.0047674856396</v>
          </cell>
        </row>
        <row r="131">
          <cell r="B131" t="str">
            <v>MDA</v>
          </cell>
          <cell r="C131" t="str">
            <v>EUR</v>
          </cell>
          <cell r="D131" t="str">
            <v>Europe &amp; Central Asia</v>
          </cell>
          <cell r="E131" t="str">
            <v>Upper middle income</v>
          </cell>
          <cell r="G131">
            <v>84.910951921760301</v>
          </cell>
          <cell r="H131">
            <v>11.35</v>
          </cell>
          <cell r="I131">
            <v>11.28</v>
          </cell>
          <cell r="J131">
            <v>11.25</v>
          </cell>
          <cell r="K131">
            <v>14525337523.727076</v>
          </cell>
          <cell r="L131">
            <v>16711906746.213291</v>
          </cell>
          <cell r="M131">
            <v>18200340853.651684</v>
          </cell>
          <cell r="N131">
            <v>5744.2961843443491</v>
          </cell>
          <cell r="O131">
            <v>6799.5859464457562</v>
          </cell>
          <cell r="P131">
            <v>7576.195894133255</v>
          </cell>
        </row>
        <row r="132">
          <cell r="B132" t="str">
            <v>MCO</v>
          </cell>
          <cell r="C132" t="str">
            <v>EUR</v>
          </cell>
          <cell r="D132" t="str">
            <v>Europe &amp; Central Asia</v>
          </cell>
          <cell r="E132" t="str">
            <v>High income</v>
          </cell>
          <cell r="G132">
            <v>100</v>
          </cell>
          <cell r="H132">
            <v>15.59</v>
          </cell>
          <cell r="I132">
            <v>15.46</v>
          </cell>
          <cell r="J132">
            <v>15.42</v>
          </cell>
          <cell r="K132">
            <v>8800430486.1713696</v>
          </cell>
          <cell r="L132">
            <v>9995350547.121664</v>
          </cell>
          <cell r="M132">
            <v>0</v>
          </cell>
          <cell r="N132">
            <v>226052.00190520074</v>
          </cell>
          <cell r="O132">
            <v>256799.78861280595</v>
          </cell>
          <cell r="P132">
            <v>288001.43336904061</v>
          </cell>
        </row>
        <row r="133">
          <cell r="B133" t="str">
            <v>MNG</v>
          </cell>
          <cell r="C133" t="str">
            <v>WPR</v>
          </cell>
          <cell r="D133" t="str">
            <v>East Asia &amp; Pacific</v>
          </cell>
          <cell r="E133" t="str">
            <v>Upper middle income</v>
          </cell>
          <cell r="G133">
            <v>69.9648819624705</v>
          </cell>
          <cell r="H133">
            <v>2.11</v>
          </cell>
          <cell r="I133">
            <v>2.2200000000000002</v>
          </cell>
          <cell r="J133">
            <v>2.13</v>
          </cell>
          <cell r="K133">
            <v>17146471713.748024</v>
          </cell>
          <cell r="L133">
            <v>20325121393.907364</v>
          </cell>
          <cell r="M133">
            <v>23586055802.451691</v>
          </cell>
          <cell r="N133">
            <v>4993.5148746349541</v>
          </cell>
          <cell r="O133">
            <v>5838.6310808390235</v>
          </cell>
          <cell r="P133">
            <v>6750.630115772402</v>
          </cell>
        </row>
        <row r="134">
          <cell r="B134" t="str">
            <v>MNE</v>
          </cell>
          <cell r="C134" t="str">
            <v>EUR</v>
          </cell>
          <cell r="D134" t="str">
            <v>Europe &amp; Central Asia</v>
          </cell>
          <cell r="E134" t="str">
            <v>Upper middle income</v>
          </cell>
          <cell r="G134">
            <v>97.810446505020906</v>
          </cell>
          <cell r="H134">
            <v>10.45</v>
          </cell>
          <cell r="I134">
            <v>10.49</v>
          </cell>
          <cell r="J134">
            <v>10.46</v>
          </cell>
          <cell r="K134">
            <v>6229801580.7915735</v>
          </cell>
          <cell r="L134">
            <v>7530593375.2203388</v>
          </cell>
          <cell r="M134">
            <v>8069536125.802846</v>
          </cell>
          <cell r="N134">
            <v>10024.543561620851</v>
          </cell>
          <cell r="O134">
            <v>12259.877503443637</v>
          </cell>
          <cell r="P134">
            <v>13263.328127769921</v>
          </cell>
        </row>
        <row r="135">
          <cell r="B135" t="str">
            <v>MAR</v>
          </cell>
          <cell r="C135" t="str">
            <v>EMR</v>
          </cell>
          <cell r="D135" t="str">
            <v>Middle East &amp; North Africa</v>
          </cell>
          <cell r="E135" t="str">
            <v>Lower middle income</v>
          </cell>
          <cell r="G135">
            <v>87.516348664130703</v>
          </cell>
          <cell r="H135">
            <v>19.25</v>
          </cell>
          <cell r="I135">
            <v>19.2</v>
          </cell>
          <cell r="J135">
            <v>19.25</v>
          </cell>
          <cell r="K135">
            <v>130951926351.24097</v>
          </cell>
          <cell r="L135">
            <v>144417103249.64584</v>
          </cell>
          <cell r="M135">
            <v>154430996472.75183</v>
          </cell>
          <cell r="N135">
            <v>3463.1376953125</v>
          </cell>
          <cell r="O135">
            <v>3813.72607421875</v>
          </cell>
          <cell r="P135">
            <v>4153.1943359375</v>
          </cell>
        </row>
        <row r="136">
          <cell r="B136" t="str">
            <v>MOZ</v>
          </cell>
          <cell r="C136" t="str">
            <v>AFR</v>
          </cell>
          <cell r="D136" t="str">
            <v>Sub-Saharan Africa</v>
          </cell>
          <cell r="E136" t="str">
            <v>Low income</v>
          </cell>
          <cell r="G136">
            <v>37.379796682790797</v>
          </cell>
          <cell r="H136">
            <v>24.78</v>
          </cell>
          <cell r="I136">
            <v>24.79</v>
          </cell>
          <cell r="J136">
            <v>24.79</v>
          </cell>
          <cell r="K136">
            <v>18883528581.373402</v>
          </cell>
          <cell r="L136">
            <v>20954220983.547325</v>
          </cell>
          <cell r="M136">
            <v>22416650343.4786</v>
          </cell>
          <cell r="N136">
            <v>578.25166375135097</v>
          </cell>
          <cell r="O136">
            <v>622.00029768282263</v>
          </cell>
          <cell r="P136">
            <v>656.77682463730559</v>
          </cell>
        </row>
        <row r="137">
          <cell r="B137" t="str">
            <v>MMR</v>
          </cell>
          <cell r="C137" t="str">
            <v>SEAR</v>
          </cell>
          <cell r="D137" t="str">
            <v>East Asia &amp; Pacific</v>
          </cell>
          <cell r="E137" t="str">
            <v>Lower middle income</v>
          </cell>
          <cell r="G137">
            <v>74.130153443267304</v>
          </cell>
          <cell r="H137">
            <v>24.26</v>
          </cell>
          <cell r="I137">
            <v>24.31</v>
          </cell>
          <cell r="J137">
            <v>24.35</v>
          </cell>
          <cell r="K137">
            <v>62253049891.644943</v>
          </cell>
          <cell r="L137">
            <v>66757619000</v>
          </cell>
          <cell r="M137">
            <v>74079772652.428574</v>
          </cell>
          <cell r="N137">
            <v>1158.0500505597558</v>
          </cell>
          <cell r="O137">
            <v>1233.1966620926912</v>
          </cell>
          <cell r="P137">
            <v>1359.0500156010662</v>
          </cell>
        </row>
        <row r="138">
          <cell r="B138" t="str">
            <v>NAM</v>
          </cell>
          <cell r="C138" t="str">
            <v>AFR</v>
          </cell>
          <cell r="D138" t="str">
            <v>Sub-Saharan Africa</v>
          </cell>
          <cell r="E138" t="str">
            <v>Lower middle income</v>
          </cell>
          <cell r="G138">
            <v>35.840541358400102</v>
          </cell>
          <cell r="H138">
            <v>22.27</v>
          </cell>
          <cell r="I138">
            <v>22.29</v>
          </cell>
          <cell r="J138">
            <v>22.33</v>
          </cell>
          <cell r="K138">
            <v>12569449123.366074</v>
          </cell>
          <cell r="L138">
            <v>12408271447.869135</v>
          </cell>
          <cell r="M138">
            <v>13372354268.544609</v>
          </cell>
          <cell r="N138">
            <v>4349.7990849331418</v>
          </cell>
          <cell r="O138">
            <v>4187.6050039652528</v>
          </cell>
          <cell r="P138">
            <v>4413.1275221157184</v>
          </cell>
        </row>
        <row r="139">
          <cell r="B139" t="str">
            <v>NRU</v>
          </cell>
          <cell r="C139" t="str">
            <v>WPR</v>
          </cell>
          <cell r="D139" t="str">
            <v>East Asia &amp; Pacific</v>
          </cell>
          <cell r="E139" t="str">
            <v>High income</v>
          </cell>
          <cell r="G139">
            <v>0</v>
          </cell>
          <cell r="H139">
            <v>27.63</v>
          </cell>
          <cell r="I139">
            <v>27.63</v>
          </cell>
          <cell r="J139">
            <v>27.63</v>
          </cell>
          <cell r="K139">
            <v>152190818.86895233</v>
          </cell>
          <cell r="L139">
            <v>151455967.7353195</v>
          </cell>
          <cell r="M139">
            <v>160350639.54946691</v>
          </cell>
          <cell r="N139">
            <v>12911.908644138142</v>
          </cell>
          <cell r="O139">
            <v>12752.472385583755</v>
          </cell>
          <cell r="P139">
            <v>13609.158837551997</v>
          </cell>
        </row>
        <row r="140">
          <cell r="B140" t="str">
            <v>NPL</v>
          </cell>
          <cell r="C140" t="str">
            <v>SEAR</v>
          </cell>
          <cell r="D140" t="str">
            <v>South Asia</v>
          </cell>
          <cell r="E140" t="str">
            <v>Lower middle income</v>
          </cell>
          <cell r="G140">
            <v>80.392703029166697</v>
          </cell>
          <cell r="H140">
            <v>12.99</v>
          </cell>
          <cell r="I140">
            <v>13.03</v>
          </cell>
          <cell r="J140">
            <v>13.11</v>
          </cell>
          <cell r="K140">
            <v>41182939600.620857</v>
          </cell>
          <cell r="L140">
            <v>41047772331.099426</v>
          </cell>
          <cell r="M140">
            <v>42914268286.710922</v>
          </cell>
          <cell r="N140">
            <v>1385.9106627485075</v>
          </cell>
          <cell r="O140">
            <v>1382.3305576930356</v>
          </cell>
          <cell r="P140">
            <v>1447.3100445842811</v>
          </cell>
        </row>
        <row r="141">
          <cell r="B141" t="str">
            <v>NLD</v>
          </cell>
          <cell r="C141" t="str">
            <v>EUR</v>
          </cell>
          <cell r="D141" t="str">
            <v>Europe &amp; Central Asia</v>
          </cell>
          <cell r="E141" t="str">
            <v>High income</v>
          </cell>
          <cell r="G141">
            <v>97.670234341693799</v>
          </cell>
          <cell r="H141">
            <v>10.97</v>
          </cell>
          <cell r="I141">
            <v>10.75</v>
          </cell>
          <cell r="J141">
            <v>10.78</v>
          </cell>
          <cell r="K141">
            <v>1046540797548.6422</v>
          </cell>
          <cell r="L141">
            <v>1154361305398.0596</v>
          </cell>
          <cell r="M141">
            <v>1227543925316.406</v>
          </cell>
          <cell r="N141">
            <v>59123.318556486993</v>
          </cell>
          <cell r="O141">
            <v>63515.603078001921</v>
          </cell>
          <cell r="P141">
            <v>67520.421895628111</v>
          </cell>
        </row>
        <row r="142">
          <cell r="B142" t="str">
            <v>NCL</v>
          </cell>
          <cell r="C142" t="str">
            <v>WPR</v>
          </cell>
          <cell r="D142" t="str">
            <v>East Asia &amp; Pacific</v>
          </cell>
          <cell r="E142" t="str">
            <v>High income</v>
          </cell>
          <cell r="G142">
            <v>100</v>
          </cell>
          <cell r="H142">
            <v>23.02</v>
          </cell>
          <cell r="I142">
            <v>23.09</v>
          </cell>
          <cell r="J142">
            <v>23.05</v>
          </cell>
          <cell r="K142">
            <v>9623318718.3145943</v>
          </cell>
          <cell r="L142">
            <v>0</v>
          </cell>
          <cell r="M142">
            <v>0</v>
          </cell>
          <cell r="N142">
            <v>33516.363085906021</v>
          </cell>
          <cell r="O142">
            <v>33701.892332278054</v>
          </cell>
          <cell r="P142">
            <v>29213.192319294649</v>
          </cell>
        </row>
        <row r="143">
          <cell r="B143" t="str">
            <v>NZL</v>
          </cell>
          <cell r="C143" t="str">
            <v>WPR</v>
          </cell>
          <cell r="D143" t="str">
            <v>East Asia &amp; Pacific</v>
          </cell>
          <cell r="E143" t="str">
            <v>High income</v>
          </cell>
          <cell r="G143">
            <v>100</v>
          </cell>
          <cell r="H143">
            <v>10.94</v>
          </cell>
          <cell r="I143">
            <v>10.98</v>
          </cell>
          <cell r="J143">
            <v>11.01</v>
          </cell>
          <cell r="K143">
            <v>249509991440.43759</v>
          </cell>
          <cell r="L143">
            <v>255194972673.12192</v>
          </cell>
          <cell r="M143">
            <v>260235932558.99628</v>
          </cell>
          <cell r="N143">
            <v>49099.709042335751</v>
          </cell>
          <cell r="O143">
            <v>49075.956283292675</v>
          </cell>
          <cell r="P143">
            <v>49205.179214679243</v>
          </cell>
        </row>
        <row r="144">
          <cell r="B144" t="str">
            <v>NIC</v>
          </cell>
          <cell r="C144" t="str">
            <v>AMR</v>
          </cell>
          <cell r="D144" t="str">
            <v>Latin America &amp; Caribbean</v>
          </cell>
          <cell r="E144" t="str">
            <v>Lower middle income</v>
          </cell>
          <cell r="G144">
            <v>0</v>
          </cell>
          <cell r="H144">
            <v>26.28</v>
          </cell>
          <cell r="I144">
            <v>26.34</v>
          </cell>
          <cell r="J144">
            <v>26.36</v>
          </cell>
          <cell r="K144">
            <v>15634572502.229374</v>
          </cell>
          <cell r="L144">
            <v>17805842283.872475</v>
          </cell>
          <cell r="M144">
            <v>19693982967.592556</v>
          </cell>
          <cell r="N144">
            <v>2322.8905396458313</v>
          </cell>
          <cell r="O144">
            <v>2609.4449207293078</v>
          </cell>
          <cell r="P144">
            <v>2847.5396633949799</v>
          </cell>
        </row>
        <row r="145">
          <cell r="B145" t="str">
            <v>NER</v>
          </cell>
          <cell r="C145" t="str">
            <v>AFR</v>
          </cell>
          <cell r="D145" t="str">
            <v>Sub-Saharan Africa</v>
          </cell>
          <cell r="E145" t="str">
            <v>Low income</v>
          </cell>
          <cell r="G145">
            <v>16.409656995899301</v>
          </cell>
          <cell r="H145">
            <v>27.99</v>
          </cell>
          <cell r="I145">
            <v>27.88</v>
          </cell>
          <cell r="J145">
            <v>28.09</v>
          </cell>
          <cell r="K145">
            <v>15433852714.493536</v>
          </cell>
          <cell r="L145">
            <v>16698786973.022758</v>
          </cell>
          <cell r="M145">
            <v>19537639288.06332</v>
          </cell>
          <cell r="N145">
            <v>609.74514757487827</v>
          </cell>
          <cell r="O145">
            <v>638.33608089788697</v>
          </cell>
          <cell r="P145">
            <v>735.27025578722578</v>
          </cell>
        </row>
        <row r="146">
          <cell r="B146" t="str">
            <v>NGA</v>
          </cell>
          <cell r="C146" t="str">
            <v>AFR</v>
          </cell>
          <cell r="D146" t="str">
            <v>Sub-Saharan Africa</v>
          </cell>
          <cell r="E146" t="str">
            <v>Lower middle income</v>
          </cell>
          <cell r="G146">
            <v>46.570675077481702</v>
          </cell>
          <cell r="H146">
            <v>27.82</v>
          </cell>
          <cell r="I146">
            <v>27.81</v>
          </cell>
          <cell r="J146">
            <v>27.93</v>
          </cell>
          <cell r="K146">
            <v>477403400101.17365</v>
          </cell>
          <cell r="L146">
            <v>363846332834.61841</v>
          </cell>
          <cell r="M146">
            <v>187759703099.80142</v>
          </cell>
          <cell r="N146">
            <v>2899.1604747032429</v>
          </cell>
          <cell r="O146">
            <v>2138.7638371998255</v>
          </cell>
          <cell r="P146">
            <v>1084.1604180543611</v>
          </cell>
        </row>
        <row r="147">
          <cell r="B147" t="str">
            <v>MKD</v>
          </cell>
          <cell r="C147" t="str">
            <v>EUR</v>
          </cell>
          <cell r="D147" t="str">
            <v>Europe &amp; Central Asia</v>
          </cell>
          <cell r="E147" t="str">
            <v>Upper middle income</v>
          </cell>
          <cell r="G147">
            <v>98.981807527622706</v>
          </cell>
          <cell r="H147">
            <v>12.1</v>
          </cell>
          <cell r="I147">
            <v>12.05</v>
          </cell>
          <cell r="J147">
            <v>12.13</v>
          </cell>
          <cell r="K147">
            <v>13932436550.088305</v>
          </cell>
          <cell r="L147">
            <v>15763604287.986666</v>
          </cell>
          <cell r="M147">
            <v>16685236492.06752</v>
          </cell>
          <cell r="N147">
            <v>7606.2375253797018</v>
          </cell>
          <cell r="O147">
            <v>8674.3584632748534</v>
          </cell>
          <cell r="P147">
            <v>9291.85661671864</v>
          </cell>
        </row>
        <row r="148">
          <cell r="B148" t="str">
            <v>MNP</v>
          </cell>
          <cell r="C148" t="str">
            <v>WPR</v>
          </cell>
          <cell r="D148" t="str">
            <v>East Asia &amp; Pacific</v>
          </cell>
          <cell r="E148" t="str">
            <v>High income</v>
          </cell>
          <cell r="G148">
            <v>80.3272843396756</v>
          </cell>
          <cell r="H148">
            <v>27.28</v>
          </cell>
          <cell r="I148">
            <v>27.32</v>
          </cell>
          <cell r="J148">
            <v>27.32</v>
          </cell>
          <cell r="K148">
            <v>1096000000</v>
          </cell>
          <cell r="L148">
            <v>0</v>
          </cell>
          <cell r="M148">
            <v>0</v>
          </cell>
          <cell r="N148">
            <v>23785.754590042972</v>
          </cell>
          <cell r="O148">
            <v>0</v>
          </cell>
          <cell r="P148">
            <v>0</v>
          </cell>
        </row>
        <row r="149">
          <cell r="B149" t="str">
            <v>NOR</v>
          </cell>
          <cell r="C149" t="str">
            <v>EUR</v>
          </cell>
          <cell r="D149" t="str">
            <v>Europe &amp; Central Asia</v>
          </cell>
          <cell r="E149" t="str">
            <v>High income</v>
          </cell>
          <cell r="G149">
            <v>98.049011857575493</v>
          </cell>
          <cell r="H149">
            <v>2.89</v>
          </cell>
          <cell r="I149">
            <v>2.82</v>
          </cell>
          <cell r="J149">
            <v>2.83</v>
          </cell>
          <cell r="K149">
            <v>596297651035.79773</v>
          </cell>
          <cell r="L149">
            <v>482949731776.58716</v>
          </cell>
          <cell r="M149">
            <v>483727398216.36444</v>
          </cell>
          <cell r="N149">
            <v>109269.52058029761</v>
          </cell>
          <cell r="O149">
            <v>87497.217964955649</v>
          </cell>
          <cell r="P149">
            <v>86785.433448917611</v>
          </cell>
        </row>
        <row r="150">
          <cell r="B150" t="str">
            <v>OMN</v>
          </cell>
          <cell r="C150" t="str">
            <v>EMR</v>
          </cell>
          <cell r="D150" t="str">
            <v>Middle East &amp; North Africa</v>
          </cell>
          <cell r="E150" t="str">
            <v>High income</v>
          </cell>
          <cell r="G150">
            <v>99.320615633983607</v>
          </cell>
          <cell r="H150">
            <v>28.4</v>
          </cell>
          <cell r="I150">
            <v>28.42</v>
          </cell>
          <cell r="J150">
            <v>28.45</v>
          </cell>
          <cell r="K150">
            <v>109852795838.75162</v>
          </cell>
          <cell r="L150">
            <v>105895708712.61378</v>
          </cell>
          <cell r="M150">
            <v>106942782834.85045</v>
          </cell>
          <cell r="N150">
            <v>23223.582940593456</v>
          </cell>
          <cell r="O150">
            <v>21027.738477888633</v>
          </cell>
          <cell r="P150">
            <v>20285.227289737661</v>
          </cell>
        </row>
        <row r="151">
          <cell r="B151" t="str">
            <v>PAK</v>
          </cell>
          <cell r="C151" t="str">
            <v>EMR</v>
          </cell>
          <cell r="D151" t="str">
            <v>Middle East &amp; North Africa</v>
          </cell>
          <cell r="E151" t="str">
            <v>Lower middle income</v>
          </cell>
          <cell r="G151">
            <v>70.528813258871907</v>
          </cell>
          <cell r="H151">
            <v>21.25</v>
          </cell>
          <cell r="I151">
            <v>21.27</v>
          </cell>
          <cell r="J151">
            <v>21.32</v>
          </cell>
          <cell r="K151">
            <v>374890295666.69366</v>
          </cell>
          <cell r="L151">
            <v>337885531778.05212</v>
          </cell>
          <cell r="M151">
            <v>373071855731.5387</v>
          </cell>
          <cell r="N151">
            <v>1538.3228133170996</v>
          </cell>
          <cell r="O151">
            <v>1360.3241775841927</v>
          </cell>
          <cell r="P151">
            <v>1478.7727797799566</v>
          </cell>
        </row>
        <row r="152">
          <cell r="B152" t="str">
            <v>PLW</v>
          </cell>
          <cell r="C152" t="str">
            <v>WPR</v>
          </cell>
          <cell r="D152" t="str">
            <v>East Asia &amp; Pacific</v>
          </cell>
          <cell r="E152" t="str">
            <v>High income</v>
          </cell>
          <cell r="G152">
            <v>99.018506592733303</v>
          </cell>
          <cell r="H152">
            <v>27.42</v>
          </cell>
          <cell r="I152">
            <v>27.44</v>
          </cell>
          <cell r="J152">
            <v>27.45</v>
          </cell>
          <cell r="K152">
            <v>255591100</v>
          </cell>
          <cell r="L152">
            <v>281849100</v>
          </cell>
          <cell r="M152">
            <v>0</v>
          </cell>
          <cell r="N152">
            <v>13729.760276149613</v>
          </cell>
          <cell r="O152">
            <v>15610.823193103235</v>
          </cell>
          <cell r="P152">
            <v>0</v>
          </cell>
        </row>
        <row r="153">
          <cell r="B153" t="str">
            <v>PAN</v>
          </cell>
          <cell r="C153" t="str">
            <v>AMR</v>
          </cell>
          <cell r="D153" t="str">
            <v>Latin America &amp; Caribbean</v>
          </cell>
          <cell r="E153" t="str">
            <v>High income</v>
          </cell>
          <cell r="G153">
            <v>85.879875612160603</v>
          </cell>
          <cell r="H153">
            <v>25.85</v>
          </cell>
          <cell r="I153">
            <v>25.85</v>
          </cell>
          <cell r="J153">
            <v>25.89</v>
          </cell>
          <cell r="K153">
            <v>76276116700</v>
          </cell>
          <cell r="L153">
            <v>83318176900</v>
          </cell>
          <cell r="M153">
            <v>86260400000</v>
          </cell>
          <cell r="N153">
            <v>17378.607001755714</v>
          </cell>
          <cell r="O153">
            <v>18797.193399404456</v>
          </cell>
          <cell r="P153">
            <v>19161.218850159614</v>
          </cell>
        </row>
        <row r="154">
          <cell r="B154" t="str">
            <v>PNG</v>
          </cell>
          <cell r="C154" t="str">
            <v>WPR</v>
          </cell>
          <cell r="D154" t="str">
            <v>East Asia &amp; Pacific</v>
          </cell>
          <cell r="E154" t="str">
            <v>Lower middle income</v>
          </cell>
          <cell r="G154">
            <v>19.304728768577998</v>
          </cell>
          <cell r="H154">
            <v>24.26</v>
          </cell>
          <cell r="I154">
            <v>24.3</v>
          </cell>
          <cell r="J154">
            <v>24.29</v>
          </cell>
          <cell r="K154">
            <v>31653185952.608952</v>
          </cell>
          <cell r="L154">
            <v>30816367066.9594</v>
          </cell>
          <cell r="M154">
            <v>32538480023.999786</v>
          </cell>
          <cell r="N154">
            <v>3102.2896859406083</v>
          </cell>
          <cell r="O154">
            <v>2966.0683043205463</v>
          </cell>
          <cell r="P154">
            <v>3006.7056447892346</v>
          </cell>
        </row>
        <row r="155">
          <cell r="B155" t="str">
            <v>PRY</v>
          </cell>
          <cell r="C155" t="str">
            <v>AMR</v>
          </cell>
          <cell r="D155" t="str">
            <v>Latin America &amp; Caribbean</v>
          </cell>
          <cell r="E155" t="str">
            <v>Upper middle income</v>
          </cell>
          <cell r="G155">
            <v>94.572748440331196</v>
          </cell>
          <cell r="H155">
            <v>24.88</v>
          </cell>
          <cell r="I155">
            <v>24.9</v>
          </cell>
          <cell r="J155">
            <v>25.05</v>
          </cell>
          <cell r="K155">
            <v>41952910858.08799</v>
          </cell>
          <cell r="L155">
            <v>43118053174.54129</v>
          </cell>
          <cell r="M155">
            <v>44458118399.666885</v>
          </cell>
          <cell r="N155">
            <v>6205.6259537931946</v>
          </cell>
          <cell r="O155">
            <v>6299.9902653371346</v>
          </cell>
          <cell r="P155">
            <v>6416.0970897084453</v>
          </cell>
        </row>
        <row r="156">
          <cell r="B156" t="str">
            <v>PER</v>
          </cell>
          <cell r="C156" t="str">
            <v>AMR</v>
          </cell>
          <cell r="D156" t="str">
            <v>Latin America &amp; Caribbean</v>
          </cell>
          <cell r="E156" t="str">
            <v>Upper middle income</v>
          </cell>
          <cell r="G156">
            <v>78.459456576791297</v>
          </cell>
          <cell r="H156">
            <v>19.91</v>
          </cell>
          <cell r="I156">
            <v>19.920000000000002</v>
          </cell>
          <cell r="J156">
            <v>20</v>
          </cell>
          <cell r="K156">
            <v>246065570308.15494</v>
          </cell>
          <cell r="L156">
            <v>266958720837.98767</v>
          </cell>
          <cell r="M156">
            <v>289221969059.85333</v>
          </cell>
          <cell r="N156">
            <v>7350.6303430041735</v>
          </cell>
          <cell r="O156">
            <v>7887.5418592010801</v>
          </cell>
          <cell r="P156">
            <v>8452.3716705662137</v>
          </cell>
        </row>
        <row r="157">
          <cell r="B157" t="str">
            <v>PHL</v>
          </cell>
          <cell r="C157" t="str">
            <v>WPR</v>
          </cell>
          <cell r="D157" t="str">
            <v>East Asia &amp; Pacific</v>
          </cell>
          <cell r="E157" t="str">
            <v>Lower middle income</v>
          </cell>
          <cell r="G157">
            <v>84.757161823672405</v>
          </cell>
          <cell r="H157">
            <v>26.46</v>
          </cell>
          <cell r="I157">
            <v>26.5</v>
          </cell>
          <cell r="J157">
            <v>26.52</v>
          </cell>
          <cell r="K157">
            <v>404353369604.6311</v>
          </cell>
          <cell r="L157">
            <v>437055627244.42401</v>
          </cell>
          <cell r="M157">
            <v>461617509782.35455</v>
          </cell>
          <cell r="N157">
            <v>3548.0693057211556</v>
          </cell>
          <cell r="O157">
            <v>3804.0827413109687</v>
          </cell>
          <cell r="P157">
            <v>3984.8315387656016</v>
          </cell>
        </row>
        <row r="158">
          <cell r="B158" t="str">
            <v>POL</v>
          </cell>
          <cell r="C158" t="str">
            <v>EUR</v>
          </cell>
          <cell r="D158" t="str">
            <v>Europe &amp; Central Asia</v>
          </cell>
          <cell r="E158" t="str">
            <v>High income</v>
          </cell>
          <cell r="G158">
            <v>98.957082524143203</v>
          </cell>
          <cell r="H158">
            <v>9.58</v>
          </cell>
          <cell r="I158">
            <v>9.35</v>
          </cell>
          <cell r="J158">
            <v>9.3800000000000008</v>
          </cell>
          <cell r="K158">
            <v>695607522884.82239</v>
          </cell>
          <cell r="L158">
            <v>812451128978.57983</v>
          </cell>
          <cell r="M158">
            <v>914696430325.39075</v>
          </cell>
          <cell r="N158">
            <v>18891.212116927858</v>
          </cell>
          <cell r="O158">
            <v>22145.266064742871</v>
          </cell>
          <cell r="P158">
            <v>25103.56566142297</v>
          </cell>
        </row>
        <row r="159">
          <cell r="B159" t="str">
            <v>PRT</v>
          </cell>
          <cell r="C159" t="str">
            <v>EUR</v>
          </cell>
          <cell r="D159" t="str">
            <v>Europe &amp; Central Asia</v>
          </cell>
          <cell r="E159" t="str">
            <v>High income</v>
          </cell>
          <cell r="G159">
            <v>99.661256728974706</v>
          </cell>
          <cell r="H159">
            <v>16</v>
          </cell>
          <cell r="I159">
            <v>16.04</v>
          </cell>
          <cell r="J159">
            <v>16.079999999999998</v>
          </cell>
          <cell r="K159">
            <v>256898675068.92706</v>
          </cell>
          <cell r="L159">
            <v>289696962620.23456</v>
          </cell>
          <cell r="M159">
            <v>308683317392.67963</v>
          </cell>
          <cell r="N159">
            <v>24620.519758718081</v>
          </cell>
          <cell r="O159">
            <v>27634.618313977298</v>
          </cell>
          <cell r="P159">
            <v>29292.242104753037</v>
          </cell>
        </row>
        <row r="160">
          <cell r="B160" t="str">
            <v>PRI</v>
          </cell>
          <cell r="C160" t="str">
            <v>AMR</v>
          </cell>
          <cell r="D160" t="str">
            <v>Latin America &amp; Caribbean</v>
          </cell>
          <cell r="E160" t="str">
            <v>High income</v>
          </cell>
          <cell r="G160">
            <v>100</v>
          </cell>
          <cell r="H160">
            <v>26.16</v>
          </cell>
          <cell r="I160">
            <v>26.18</v>
          </cell>
          <cell r="J160">
            <v>26.17</v>
          </cell>
          <cell r="K160">
            <v>113843700000</v>
          </cell>
          <cell r="L160">
            <v>118375000000</v>
          </cell>
          <cell r="M160">
            <v>125841500000</v>
          </cell>
          <cell r="N160">
            <v>35353.682157001393</v>
          </cell>
          <cell r="O160">
            <v>36980.788478428687</v>
          </cell>
          <cell r="P160">
            <v>39343.715466013899</v>
          </cell>
        </row>
        <row r="161">
          <cell r="B161" t="str">
            <v>QAT</v>
          </cell>
          <cell r="C161" t="str">
            <v>EMR</v>
          </cell>
          <cell r="D161" t="str">
            <v>Middle East &amp; North Africa</v>
          </cell>
          <cell r="E161" t="str">
            <v>High income</v>
          </cell>
          <cell r="G161">
            <v>99.936545083788005</v>
          </cell>
          <cell r="H161">
            <v>27.99</v>
          </cell>
          <cell r="I161">
            <v>28.01</v>
          </cell>
          <cell r="J161">
            <v>28.05</v>
          </cell>
          <cell r="K161">
            <v>235709325714.28571</v>
          </cell>
          <cell r="L161">
            <v>213002809340.65933</v>
          </cell>
          <cell r="M161">
            <v>217982967032.96701</v>
          </cell>
          <cell r="N161">
            <v>88701.468976353601</v>
          </cell>
          <cell r="O161">
            <v>81816.979796748114</v>
          </cell>
          <cell r="P161">
            <v>76688.694174317847</v>
          </cell>
        </row>
        <row r="162">
          <cell r="B162" t="str">
            <v>ROU</v>
          </cell>
          <cell r="C162" t="str">
            <v>EUR</v>
          </cell>
          <cell r="D162" t="str">
            <v>Europe &amp; Central Asia</v>
          </cell>
          <cell r="E162" t="str">
            <v>High income</v>
          </cell>
          <cell r="G162">
            <v>88.284229426922295</v>
          </cell>
          <cell r="H162">
            <v>10.97</v>
          </cell>
          <cell r="I162">
            <v>11.01</v>
          </cell>
          <cell r="J162">
            <v>11</v>
          </cell>
          <cell r="K162">
            <v>296354358293.47491</v>
          </cell>
          <cell r="L162">
            <v>350775856415.18921</v>
          </cell>
          <cell r="M162">
            <v>382767571329.15796</v>
          </cell>
          <cell r="N162">
            <v>15503.551804597973</v>
          </cell>
          <cell r="O162">
            <v>18244.418687632093</v>
          </cell>
          <cell r="P162">
            <v>20080.209621559497</v>
          </cell>
        </row>
        <row r="163">
          <cell r="B163" t="str">
            <v>RUS</v>
          </cell>
          <cell r="C163" t="str">
            <v>EUR</v>
          </cell>
          <cell r="D163" t="str">
            <v>Europe &amp; Central Asia</v>
          </cell>
          <cell r="E163" t="str">
            <v>High income</v>
          </cell>
          <cell r="G163">
            <v>89.418526452974305</v>
          </cell>
          <cell r="H163">
            <v>-2.56</v>
          </cell>
          <cell r="I163">
            <v>-2.71</v>
          </cell>
          <cell r="J163">
            <v>-2.74</v>
          </cell>
          <cell r="K163">
            <v>2291612121334.6431</v>
          </cell>
          <cell r="L163">
            <v>2071505725030.5793</v>
          </cell>
          <cell r="M163">
            <v>2173835806671.656</v>
          </cell>
          <cell r="N163">
            <v>15619.6142578125</v>
          </cell>
          <cell r="O163">
            <v>14159.3876953125</v>
          </cell>
          <cell r="P163">
            <v>14889.0185546875</v>
          </cell>
        </row>
        <row r="164">
          <cell r="B164" t="str">
            <v>RWA</v>
          </cell>
          <cell r="C164" t="str">
            <v>AFR</v>
          </cell>
          <cell r="D164" t="str">
            <v>Sub-Saharan Africa</v>
          </cell>
          <cell r="E164" t="str">
            <v>Low income</v>
          </cell>
          <cell r="G164">
            <v>73.826445482821001</v>
          </cell>
          <cell r="H164">
            <v>19.97</v>
          </cell>
          <cell r="I164">
            <v>20.010000000000002</v>
          </cell>
          <cell r="J164">
            <v>20.11</v>
          </cell>
          <cell r="K164">
            <v>13316161005.72444</v>
          </cell>
          <cell r="L164">
            <v>14331722700.324898</v>
          </cell>
          <cell r="M164">
            <v>14251642231.493185</v>
          </cell>
          <cell r="N164">
            <v>975.46932373536856</v>
          </cell>
          <cell r="O164">
            <v>1027.0344682656455</v>
          </cell>
          <cell r="P164">
            <v>999.65456165546982</v>
          </cell>
        </row>
        <row r="165">
          <cell r="B165" t="str">
            <v>WSM</v>
          </cell>
          <cell r="C165" t="str">
            <v>WPR</v>
          </cell>
          <cell r="D165" t="str">
            <v>East Asia &amp; Pacific</v>
          </cell>
          <cell r="E165" t="str">
            <v>Upper middle income</v>
          </cell>
          <cell r="G165">
            <v>97.927864497832402</v>
          </cell>
          <cell r="H165">
            <v>25.96</v>
          </cell>
          <cell r="I165">
            <v>25.97</v>
          </cell>
          <cell r="J165">
            <v>26.04</v>
          </cell>
          <cell r="K165">
            <v>832945205.63718474</v>
          </cell>
          <cell r="L165">
            <v>938189443.83039284</v>
          </cell>
          <cell r="M165">
            <v>1068025243.6392901</v>
          </cell>
          <cell r="N165">
            <v>4132.4471773444357</v>
          </cell>
          <cell r="O165">
            <v>4822.7408465001881</v>
          </cell>
          <cell r="P165">
            <v>5392.8776191576198</v>
          </cell>
        </row>
        <row r="166">
          <cell r="B166" t="str">
            <v>SMR</v>
          </cell>
          <cell r="C166" t="str">
            <v>EUR</v>
          </cell>
          <cell r="D166" t="str">
            <v>Europe &amp; Central Asia</v>
          </cell>
          <cell r="E166" t="str">
            <v>High income</v>
          </cell>
          <cell r="G166">
            <v>100</v>
          </cell>
          <cell r="H166">
            <v>15.72</v>
          </cell>
          <cell r="I166">
            <v>15.62</v>
          </cell>
          <cell r="J166">
            <v>15.68</v>
          </cell>
          <cell r="K166">
            <v>1831700577.0890374</v>
          </cell>
          <cell r="L166">
            <v>0</v>
          </cell>
          <cell r="M166">
            <v>0</v>
          </cell>
          <cell r="N166">
            <v>54190.841770037157</v>
          </cell>
          <cell r="O166">
            <v>59879.717301565135</v>
          </cell>
          <cell r="P166">
            <v>0</v>
          </cell>
        </row>
        <row r="167">
          <cell r="B167" t="str">
            <v>STP</v>
          </cell>
          <cell r="C167" t="str">
            <v>AFR</v>
          </cell>
          <cell r="D167" t="str">
            <v>Sub-Saharan Africa</v>
          </cell>
          <cell r="E167" t="str">
            <v>Lower middle income</v>
          </cell>
          <cell r="G167">
            <v>47.8426472252971</v>
          </cell>
          <cell r="H167">
            <v>25.94</v>
          </cell>
          <cell r="I167">
            <v>25.99</v>
          </cell>
          <cell r="J167">
            <v>26.05</v>
          </cell>
          <cell r="K167">
            <v>540809499.18934846</v>
          </cell>
          <cell r="L167">
            <v>678976264.83543599</v>
          </cell>
          <cell r="M167">
            <v>764274042.73504281</v>
          </cell>
          <cell r="N167">
            <v>2389.7372978473672</v>
          </cell>
          <cell r="O167">
            <v>2990.6606143534955</v>
          </cell>
          <cell r="P167">
            <v>3490.5688348655713</v>
          </cell>
        </row>
        <row r="168">
          <cell r="B168" t="str">
            <v>SAU</v>
          </cell>
          <cell r="C168" t="str">
            <v>EMR</v>
          </cell>
          <cell r="D168" t="str">
            <v>Middle East &amp; North Africa</v>
          </cell>
          <cell r="E168" t="str">
            <v>High income</v>
          </cell>
          <cell r="G168">
            <v>95.3480675371882</v>
          </cell>
          <cell r="H168">
            <v>26.17</v>
          </cell>
          <cell r="I168">
            <v>26.2</v>
          </cell>
          <cell r="J168">
            <v>26.26</v>
          </cell>
          <cell r="K168">
            <v>1239075200000</v>
          </cell>
          <cell r="L168">
            <v>1218584533333.3333</v>
          </cell>
          <cell r="M168">
            <v>1237529866666.6667</v>
          </cell>
          <cell r="N168">
            <v>38510.227621103739</v>
          </cell>
          <cell r="O168">
            <v>36156.848337700976</v>
          </cell>
          <cell r="P168">
            <v>35121.66286877422</v>
          </cell>
        </row>
        <row r="169">
          <cell r="B169" t="str">
            <v>SEN</v>
          </cell>
          <cell r="C169" t="str">
            <v>AFR</v>
          </cell>
          <cell r="D169" t="str">
            <v>Sub-Saharan Africa</v>
          </cell>
          <cell r="E169" t="str">
            <v>Lower middle income</v>
          </cell>
          <cell r="G169">
            <v>60.183913102635401</v>
          </cell>
          <cell r="H169">
            <v>29.61</v>
          </cell>
          <cell r="I169">
            <v>29.58</v>
          </cell>
          <cell r="J169">
            <v>29.65</v>
          </cell>
          <cell r="K169">
            <v>27783332222.675926</v>
          </cell>
          <cell r="L169">
            <v>30696331295.782555</v>
          </cell>
          <cell r="M169">
            <v>32267254425.052044</v>
          </cell>
          <cell r="N169">
            <v>1574.0281059305996</v>
          </cell>
          <cell r="O169">
            <v>1698.0338730084263</v>
          </cell>
          <cell r="P169">
            <v>1773.218299234481</v>
          </cell>
        </row>
        <row r="170">
          <cell r="B170" t="str">
            <v>SRB</v>
          </cell>
          <cell r="C170" t="str">
            <v>EUR</v>
          </cell>
          <cell r="D170" t="str">
            <v>Europe &amp; Central Asia</v>
          </cell>
          <cell r="E170" t="str">
            <v>Upper middle income</v>
          </cell>
          <cell r="G170">
            <v>97.9104148354253</v>
          </cell>
          <cell r="H170">
            <v>12.18</v>
          </cell>
          <cell r="I170">
            <v>12.25</v>
          </cell>
          <cell r="J170">
            <v>12.23</v>
          </cell>
          <cell r="K170">
            <v>66797564758.338997</v>
          </cell>
          <cell r="L170">
            <v>81342660752.373199</v>
          </cell>
          <cell r="M170">
            <v>89083506277.234421</v>
          </cell>
          <cell r="N170">
            <v>10024.819111259634</v>
          </cell>
          <cell r="O170">
            <v>12281.707946166955</v>
          </cell>
          <cell r="P170">
            <v>13679.206598355697</v>
          </cell>
        </row>
        <row r="171">
          <cell r="B171" t="str">
            <v>SYC</v>
          </cell>
          <cell r="C171" t="str">
            <v>AFR</v>
          </cell>
          <cell r="D171" t="str">
            <v>Sub-Saharan Africa</v>
          </cell>
          <cell r="E171" t="str">
            <v>High income</v>
          </cell>
          <cell r="G171">
            <v>100</v>
          </cell>
          <cell r="H171">
            <v>26.56</v>
          </cell>
          <cell r="I171">
            <v>26.6</v>
          </cell>
          <cell r="J171">
            <v>26.63</v>
          </cell>
          <cell r="K171">
            <v>2018346588.7375247</v>
          </cell>
          <cell r="L171">
            <v>2187379754.6616659</v>
          </cell>
          <cell r="M171">
            <v>2167239562.4601293</v>
          </cell>
          <cell r="N171">
            <v>16836.672189538738</v>
          </cell>
          <cell r="O171">
            <v>18262.711584928707</v>
          </cell>
          <cell r="P171">
            <v>17858.822638397822</v>
          </cell>
        </row>
        <row r="172">
          <cell r="B172" t="str">
            <v>SLE</v>
          </cell>
          <cell r="C172" t="str">
            <v>AFR</v>
          </cell>
          <cell r="D172" t="str">
            <v>Sub-Saharan Africa</v>
          </cell>
          <cell r="E172" t="str">
            <v>Low income</v>
          </cell>
          <cell r="G172">
            <v>22.9191871774247</v>
          </cell>
          <cell r="H172">
            <v>26.9</v>
          </cell>
          <cell r="I172">
            <v>26.92</v>
          </cell>
          <cell r="J172">
            <v>26.99</v>
          </cell>
          <cell r="K172">
            <v>7124465159.653038</v>
          </cell>
          <cell r="L172">
            <v>6411787856.0658064</v>
          </cell>
          <cell r="M172">
            <v>7547843281.2742462</v>
          </cell>
          <cell r="N172">
            <v>860.37106791609642</v>
          </cell>
          <cell r="O172">
            <v>758.32913737824811</v>
          </cell>
          <cell r="P172">
            <v>806.65465041772586</v>
          </cell>
        </row>
        <row r="173">
          <cell r="B173" t="str">
            <v>SGP</v>
          </cell>
          <cell r="C173" t="str">
            <v>WPR</v>
          </cell>
          <cell r="D173" t="str">
            <v>East Asia &amp; Pacific</v>
          </cell>
          <cell r="E173" t="str">
            <v>High income</v>
          </cell>
          <cell r="G173">
            <v>100</v>
          </cell>
          <cell r="H173">
            <v>27.43</v>
          </cell>
          <cell r="I173">
            <v>27.45</v>
          </cell>
          <cell r="J173">
            <v>27.49</v>
          </cell>
          <cell r="K173">
            <v>509017841146.55676</v>
          </cell>
          <cell r="L173">
            <v>505439514078.01947</v>
          </cell>
          <cell r="M173">
            <v>547386645891.84668</v>
          </cell>
          <cell r="N173">
            <v>90299.069463726904</v>
          </cell>
          <cell r="O173">
            <v>85412.230345235046</v>
          </cell>
          <cell r="P173">
            <v>90674.066632628004</v>
          </cell>
        </row>
        <row r="174">
          <cell r="B174" t="str">
            <v>SXM</v>
          </cell>
          <cell r="C174" t="str">
            <v>None</v>
          </cell>
          <cell r="D174" t="str">
            <v>Latin America &amp; Caribbean</v>
          </cell>
          <cell r="E174" t="str">
            <v>High income</v>
          </cell>
          <cell r="G174">
            <v>0</v>
          </cell>
          <cell r="H174">
            <v>26.55</v>
          </cell>
          <cell r="I174">
            <v>26.57</v>
          </cell>
          <cell r="J174">
            <v>26.61</v>
          </cell>
          <cell r="K174">
            <v>1537088715.0837989</v>
          </cell>
          <cell r="L174">
            <v>1627776949.2737429</v>
          </cell>
          <cell r="M174">
            <v>1735210227.9258101</v>
          </cell>
          <cell r="N174">
            <v>37793.12843991573</v>
          </cell>
          <cell r="O174">
            <v>39451.822336196303</v>
          </cell>
          <cell r="P174">
            <v>41472.5874498583</v>
          </cell>
        </row>
        <row r="175">
          <cell r="B175" t="str">
            <v>SVK</v>
          </cell>
          <cell r="C175" t="str">
            <v>EUR</v>
          </cell>
          <cell r="D175" t="str">
            <v>Europe &amp; Central Asia</v>
          </cell>
          <cell r="E175" t="str">
            <v>High income</v>
          </cell>
          <cell r="G175">
            <v>97.536360698202998</v>
          </cell>
          <cell r="H175">
            <v>9.59</v>
          </cell>
          <cell r="I175">
            <v>9.49</v>
          </cell>
          <cell r="J175">
            <v>9.52</v>
          </cell>
          <cell r="K175">
            <v>115884262197.69695</v>
          </cell>
          <cell r="L175">
            <v>133896931490.22394</v>
          </cell>
          <cell r="M175">
            <v>141775733420.11404</v>
          </cell>
          <cell r="N175">
            <v>21317.794398236263</v>
          </cell>
          <cell r="O175">
            <v>24614.87346427939</v>
          </cell>
          <cell r="P175">
            <v>25992.674850204778</v>
          </cell>
        </row>
        <row r="176">
          <cell r="B176" t="str">
            <v>SVN</v>
          </cell>
          <cell r="C176" t="str">
            <v>EUR</v>
          </cell>
          <cell r="D176" t="str">
            <v>Europe &amp; Central Asia</v>
          </cell>
          <cell r="E176" t="str">
            <v>High income</v>
          </cell>
          <cell r="G176">
            <v>98.311157750878607</v>
          </cell>
          <cell r="H176">
            <v>10.9</v>
          </cell>
          <cell r="I176">
            <v>10.83</v>
          </cell>
          <cell r="J176">
            <v>10.84</v>
          </cell>
          <cell r="K176">
            <v>59927702746.284279</v>
          </cell>
          <cell r="L176">
            <v>69148468417.320831</v>
          </cell>
          <cell r="M176">
            <v>72485008929.27655</v>
          </cell>
          <cell r="N176">
            <v>28360.304146726812</v>
          </cell>
          <cell r="O176">
            <v>32660.475358134645</v>
          </cell>
          <cell r="P176">
            <v>34301.031868659353</v>
          </cell>
        </row>
        <row r="177">
          <cell r="B177" t="str">
            <v>SLB</v>
          </cell>
          <cell r="C177" t="str">
            <v>WPR</v>
          </cell>
          <cell r="D177" t="str">
            <v>East Asia &amp; Pacific</v>
          </cell>
          <cell r="E177" t="str">
            <v>Lower middle income</v>
          </cell>
          <cell r="G177">
            <v>0</v>
          </cell>
          <cell r="H177">
            <v>26.69</v>
          </cell>
          <cell r="I177">
            <v>26.73</v>
          </cell>
          <cell r="J177">
            <v>26.73</v>
          </cell>
          <cell r="K177">
            <v>1566360686.1063213</v>
          </cell>
          <cell r="L177">
            <v>1660896530.7189443</v>
          </cell>
          <cell r="M177">
            <v>1760767447.1746111</v>
          </cell>
          <cell r="N177">
            <v>1877.7810449095555</v>
          </cell>
          <cell r="O177">
            <v>1882.6439414804188</v>
          </cell>
          <cell r="P177">
            <v>1933.55538435227</v>
          </cell>
        </row>
        <row r="178">
          <cell r="B178" t="str">
            <v>SOM</v>
          </cell>
          <cell r="C178" t="str">
            <v>EMR</v>
          </cell>
          <cell r="D178" t="str">
            <v>Sub-Saharan Africa</v>
          </cell>
          <cell r="E178" t="str">
            <v>Low income</v>
          </cell>
          <cell r="G178">
            <v>40.575803115891901</v>
          </cell>
          <cell r="H178">
            <v>27.45</v>
          </cell>
          <cell r="I178">
            <v>27.54</v>
          </cell>
          <cell r="J178">
            <v>27.55</v>
          </cell>
          <cell r="K178">
            <v>10202767269.999239</v>
          </cell>
          <cell r="L178">
            <v>10968517089.99824</v>
          </cell>
          <cell r="M178">
            <v>12108515109.999598</v>
          </cell>
          <cell r="N178">
            <v>573.14116579822928</v>
          </cell>
          <cell r="O178">
            <v>596.88598513558895</v>
          </cell>
          <cell r="P178">
            <v>629.53889944900743</v>
          </cell>
        </row>
        <row r="179">
          <cell r="B179" t="str">
            <v>ZAF</v>
          </cell>
          <cell r="C179" t="str">
            <v>AFR</v>
          </cell>
          <cell r="D179" t="str">
            <v>Sub-Saharan Africa</v>
          </cell>
          <cell r="E179" t="str">
            <v>Upper middle income</v>
          </cell>
          <cell r="G179">
            <v>77.634245978246199</v>
          </cell>
          <cell r="H179">
            <v>18.84</v>
          </cell>
          <cell r="I179">
            <v>18.899999999999999</v>
          </cell>
          <cell r="J179">
            <v>18.91</v>
          </cell>
          <cell r="K179">
            <v>406920004594.0741</v>
          </cell>
          <cell r="L179">
            <v>380699271816.3949</v>
          </cell>
          <cell r="M179">
            <v>400260724226.06696</v>
          </cell>
          <cell r="N179">
            <v>6534.2486778339689</v>
          </cell>
          <cell r="O179">
            <v>6034.2720896467317</v>
          </cell>
          <cell r="P179">
            <v>6267.1868140930046</v>
          </cell>
        </row>
        <row r="180">
          <cell r="B180" t="str">
            <v>SSD</v>
          </cell>
          <cell r="C180" t="str">
            <v>AFR</v>
          </cell>
          <cell r="D180" t="str">
            <v>Sub-Saharan Africa</v>
          </cell>
          <cell r="E180" t="str">
            <v>Low income</v>
          </cell>
          <cell r="G180">
            <v>16.0551793971587</v>
          </cell>
          <cell r="H180">
            <v>28.15</v>
          </cell>
          <cell r="I180">
            <v>28.24</v>
          </cell>
          <cell r="J180">
            <v>28.38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</row>
        <row r="181">
          <cell r="B181" t="str">
            <v>ESP</v>
          </cell>
          <cell r="C181" t="str">
            <v>EUR</v>
          </cell>
          <cell r="D181" t="str">
            <v>Europe &amp; Central Asia</v>
          </cell>
          <cell r="E181" t="str">
            <v>High income</v>
          </cell>
          <cell r="G181">
            <v>99.918616417853897</v>
          </cell>
          <cell r="H181">
            <v>14.78</v>
          </cell>
          <cell r="I181">
            <v>14.75</v>
          </cell>
          <cell r="J181">
            <v>14.78</v>
          </cell>
          <cell r="K181">
            <v>1446498147749.033</v>
          </cell>
          <cell r="L181">
            <v>1620090734956.8914</v>
          </cell>
          <cell r="M181">
            <v>1722745978335.156</v>
          </cell>
          <cell r="N181">
            <v>30319.498719661635</v>
          </cell>
          <cell r="O181">
            <v>33493.222540911127</v>
          </cell>
          <cell r="P181">
            <v>35326.768306927806</v>
          </cell>
        </row>
        <row r="182">
          <cell r="B182" t="str">
            <v>LKA</v>
          </cell>
          <cell r="C182" t="str">
            <v>SEAR</v>
          </cell>
          <cell r="D182" t="str">
            <v>South Asia</v>
          </cell>
          <cell r="E182" t="str">
            <v>Lower middle income</v>
          </cell>
          <cell r="G182">
            <v>95.086360775655095</v>
          </cell>
          <cell r="H182">
            <v>27.3</v>
          </cell>
          <cell r="I182">
            <v>27.32</v>
          </cell>
          <cell r="J182">
            <v>27.37</v>
          </cell>
          <cell r="K182">
            <v>74143020262.807648</v>
          </cell>
          <cell r="L182">
            <v>83716142582.194534</v>
          </cell>
          <cell r="M182">
            <v>98963185509.649948</v>
          </cell>
          <cell r="N182">
            <v>3342.636502538553</v>
          </cell>
          <cell r="O182">
            <v>3798.8901657301144</v>
          </cell>
          <cell r="P182">
            <v>4515.56787322732</v>
          </cell>
        </row>
        <row r="183">
          <cell r="B183" t="str">
            <v>KNA</v>
          </cell>
          <cell r="C183" t="str">
            <v>AMR</v>
          </cell>
          <cell r="D183" t="str">
            <v>Latin America &amp; Caribbean</v>
          </cell>
          <cell r="E183" t="str">
            <v>High income</v>
          </cell>
          <cell r="G183">
            <v>0</v>
          </cell>
          <cell r="H183">
            <v>26.51</v>
          </cell>
          <cell r="I183">
            <v>26.55</v>
          </cell>
          <cell r="J183">
            <v>26.59</v>
          </cell>
          <cell r="K183">
            <v>980188888.88888884</v>
          </cell>
          <cell r="L183">
            <v>1056751851.8518518</v>
          </cell>
          <cell r="M183">
            <v>1066681481.4814814</v>
          </cell>
          <cell r="N183">
            <v>21011.5744209816</v>
          </cell>
          <cell r="O183">
            <v>22576.924843916589</v>
          </cell>
          <cell r="P183">
            <v>23960.653435708406</v>
          </cell>
        </row>
        <row r="184">
          <cell r="B184" t="str">
            <v>LCA</v>
          </cell>
          <cell r="C184" t="str">
            <v>AMR</v>
          </cell>
          <cell r="D184" t="str">
            <v>Latin America &amp; Caribbean</v>
          </cell>
          <cell r="E184" t="str">
            <v>Upper middle income</v>
          </cell>
          <cell r="G184">
            <v>83.3579887895079</v>
          </cell>
          <cell r="H184">
            <v>27.09</v>
          </cell>
          <cell r="I184">
            <v>27.12</v>
          </cell>
          <cell r="J184">
            <v>27.15</v>
          </cell>
          <cell r="K184">
            <v>2342714814.8148146</v>
          </cell>
          <cell r="L184">
            <v>2430166666.6666665</v>
          </cell>
          <cell r="M184">
            <v>2549062962.9629626</v>
          </cell>
          <cell r="N184">
            <v>13103.824314747175</v>
          </cell>
          <cell r="O184">
            <v>13554.768478493274</v>
          </cell>
          <cell r="P184">
            <v>14181.630335159798</v>
          </cell>
        </row>
        <row r="185">
          <cell r="B185" t="str">
            <v>MAF</v>
          </cell>
          <cell r="C185" t="str">
            <v>None</v>
          </cell>
          <cell r="D185" t="str">
            <v>Latin America &amp; Caribbean</v>
          </cell>
          <cell r="E185" t="str">
            <v>High income</v>
          </cell>
          <cell r="G185">
            <v>100</v>
          </cell>
          <cell r="H185">
            <v>26.55</v>
          </cell>
          <cell r="I185">
            <v>26.57</v>
          </cell>
          <cell r="J185">
            <v>26.62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</row>
        <row r="186">
          <cell r="B186" t="str">
            <v>VCT</v>
          </cell>
          <cell r="C186" t="str">
            <v>None</v>
          </cell>
          <cell r="D186" t="str">
            <v>Latin America &amp; Caribbean</v>
          </cell>
          <cell r="E186" t="str">
            <v>Upper middle income</v>
          </cell>
          <cell r="G186">
            <v>0</v>
          </cell>
          <cell r="H186">
            <v>26.72</v>
          </cell>
          <cell r="I186">
            <v>26.75</v>
          </cell>
          <cell r="J186">
            <v>26.77</v>
          </cell>
          <cell r="K186">
            <v>989188888.88888884</v>
          </cell>
          <cell r="L186">
            <v>1072237037.037037</v>
          </cell>
          <cell r="M186">
            <v>1157207407.4074073</v>
          </cell>
          <cell r="N186">
            <v>9693.5586783302515</v>
          </cell>
          <cell r="O186">
            <v>10582.365672522892</v>
          </cell>
          <cell r="P186">
            <v>11501.226518718766</v>
          </cell>
        </row>
        <row r="187">
          <cell r="B187" t="str">
            <v>SDN</v>
          </cell>
          <cell r="C187" t="str">
            <v>EMR</v>
          </cell>
          <cell r="D187" t="str">
            <v>Sub-Saharan Africa</v>
          </cell>
          <cell r="E187" t="str">
            <v>Low income</v>
          </cell>
          <cell r="G187">
            <v>0</v>
          </cell>
          <cell r="H187">
            <v>27.81</v>
          </cell>
          <cell r="I187">
            <v>27.77</v>
          </cell>
          <cell r="J187">
            <v>27.93</v>
          </cell>
          <cell r="K187">
            <v>51666875363.096298</v>
          </cell>
          <cell r="L187">
            <v>39898289820.795052</v>
          </cell>
          <cell r="M187">
            <v>49909807029.699585</v>
          </cell>
          <cell r="N187">
            <v>1046.24084472656</v>
          </cell>
          <cell r="O187">
            <v>797.283447265625</v>
          </cell>
          <cell r="P187">
            <v>984.607666015625</v>
          </cell>
        </row>
        <row r="188">
          <cell r="B188" t="str">
            <v>SUR</v>
          </cell>
          <cell r="C188" t="str">
            <v>AMR</v>
          </cell>
          <cell r="D188" t="str">
            <v>Latin America &amp; Caribbean</v>
          </cell>
          <cell r="E188" t="str">
            <v>Upper middle income</v>
          </cell>
          <cell r="G188">
            <v>89.972342036251604</v>
          </cell>
          <cell r="H188">
            <v>27.22</v>
          </cell>
          <cell r="I188">
            <v>27.24</v>
          </cell>
          <cell r="J188">
            <v>27.22</v>
          </cell>
          <cell r="K188">
            <v>3791603200.0259018</v>
          </cell>
          <cell r="L188">
            <v>3455146280.8397541</v>
          </cell>
          <cell r="M188">
            <v>4714267822.2233009</v>
          </cell>
          <cell r="N188">
            <v>6084.4387673644524</v>
          </cell>
          <cell r="O188">
            <v>5521.97602122638</v>
          </cell>
          <cell r="P188">
            <v>6961.7895596152566</v>
          </cell>
        </row>
        <row r="189">
          <cell r="B189" t="str">
            <v>SWE</v>
          </cell>
          <cell r="C189" t="str">
            <v>EUR</v>
          </cell>
          <cell r="D189" t="str">
            <v>Europe &amp; Central Asia</v>
          </cell>
          <cell r="E189" t="str">
            <v>High income</v>
          </cell>
          <cell r="G189">
            <v>98.860814611476897</v>
          </cell>
          <cell r="H189">
            <v>4.47</v>
          </cell>
          <cell r="I189">
            <v>4.34</v>
          </cell>
          <cell r="J189">
            <v>4.3600000000000003</v>
          </cell>
          <cell r="K189">
            <v>579895717343.95605</v>
          </cell>
          <cell r="L189">
            <v>585489968189.0636</v>
          </cell>
          <cell r="M189">
            <v>610117791237.08911</v>
          </cell>
          <cell r="N189">
            <v>54836.890723512355</v>
          </cell>
          <cell r="O189">
            <v>54950.283472562231</v>
          </cell>
          <cell r="P189">
            <v>57117.487744061626</v>
          </cell>
        </row>
        <row r="190">
          <cell r="B190" t="str">
            <v>CHE</v>
          </cell>
          <cell r="C190" t="str">
            <v>EUR</v>
          </cell>
          <cell r="D190" t="str">
            <v>Europe &amp; Central Asia</v>
          </cell>
          <cell r="E190" t="str">
            <v>High income</v>
          </cell>
          <cell r="G190">
            <v>99.899875833806405</v>
          </cell>
          <cell r="H190">
            <v>6.16</v>
          </cell>
          <cell r="I190">
            <v>6.05</v>
          </cell>
          <cell r="J190">
            <v>6.04</v>
          </cell>
          <cell r="K190">
            <v>828508926958.39331</v>
          </cell>
          <cell r="L190">
            <v>894424821645.20471</v>
          </cell>
          <cell r="M190">
            <v>936564198048.51587</v>
          </cell>
          <cell r="N190">
            <v>94394.510680352454</v>
          </cell>
          <cell r="O190">
            <v>100623.54962729648</v>
          </cell>
          <cell r="P190">
            <v>103998.18668560409</v>
          </cell>
        </row>
        <row r="191">
          <cell r="B191" t="str">
            <v>SYR</v>
          </cell>
          <cell r="C191" t="str">
            <v>EMR</v>
          </cell>
          <cell r="D191" t="str">
            <v>Middle East &amp; North Africa</v>
          </cell>
          <cell r="E191" t="str">
            <v>Low income</v>
          </cell>
          <cell r="G191">
            <v>94.980325115384005</v>
          </cell>
          <cell r="H191">
            <v>19.760000000000002</v>
          </cell>
          <cell r="I191">
            <v>19.760000000000002</v>
          </cell>
          <cell r="J191">
            <v>19.87</v>
          </cell>
          <cell r="K191">
            <v>23622827079.50465</v>
          </cell>
          <cell r="L191">
            <v>19993439949.543522</v>
          </cell>
          <cell r="M191">
            <v>0</v>
          </cell>
          <cell r="N191">
            <v>1051.6714958746265</v>
          </cell>
          <cell r="O191">
            <v>0</v>
          </cell>
          <cell r="P191">
            <v>0</v>
          </cell>
        </row>
        <row r="192">
          <cell r="B192" t="str">
            <v>TJK</v>
          </cell>
          <cell r="C192" t="str">
            <v>EUR</v>
          </cell>
          <cell r="D192" t="str">
            <v>Europe &amp; Central Asia</v>
          </cell>
          <cell r="E192" t="str">
            <v>Lower middle income</v>
          </cell>
          <cell r="G192">
            <v>96.748329119322804</v>
          </cell>
          <cell r="H192">
            <v>0.85</v>
          </cell>
          <cell r="I192">
            <v>0.9</v>
          </cell>
          <cell r="J192">
            <v>0.92</v>
          </cell>
          <cell r="K192">
            <v>10713525200.39978</v>
          </cell>
          <cell r="L192">
            <v>12244169292.799824</v>
          </cell>
          <cell r="M192">
            <v>14204575548.553579</v>
          </cell>
          <cell r="N192">
            <v>1052.1794948489417</v>
          </cell>
          <cell r="O192">
            <v>1178.4799006024873</v>
          </cell>
          <cell r="P192">
            <v>1341.2022902767226</v>
          </cell>
        </row>
        <row r="193">
          <cell r="B193" t="str">
            <v>TZA</v>
          </cell>
          <cell r="C193" t="str">
            <v>AFR</v>
          </cell>
          <cell r="D193" t="str">
            <v>Sub-Saharan Africa</v>
          </cell>
          <cell r="E193" t="str">
            <v>Lower middle income</v>
          </cell>
          <cell r="G193">
            <v>30.617949679213101</v>
          </cell>
          <cell r="H193">
            <v>23.46</v>
          </cell>
          <cell r="I193">
            <v>23.49</v>
          </cell>
          <cell r="J193">
            <v>23.56</v>
          </cell>
          <cell r="K193">
            <v>75769974505.010574</v>
          </cell>
          <cell r="L193">
            <v>79062403836.843231</v>
          </cell>
          <cell r="M193">
            <v>78779864877.301834</v>
          </cell>
          <cell r="N193">
            <v>1207.52062988281</v>
          </cell>
          <cell r="O193">
            <v>1224.00219726563</v>
          </cell>
          <cell r="P193">
            <v>1186.71691894531</v>
          </cell>
        </row>
        <row r="194">
          <cell r="B194" t="str">
            <v>THA</v>
          </cell>
          <cell r="C194" t="str">
            <v>SEAR</v>
          </cell>
          <cell r="D194" t="str">
            <v>East Asia &amp; Pacific</v>
          </cell>
          <cell r="E194" t="str">
            <v>Upper middle income</v>
          </cell>
          <cell r="G194">
            <v>99.015625258931394</v>
          </cell>
          <cell r="H194">
            <v>27.17</v>
          </cell>
          <cell r="I194">
            <v>27.18</v>
          </cell>
          <cell r="J194">
            <v>27.22</v>
          </cell>
          <cell r="K194">
            <v>495644697587.66052</v>
          </cell>
          <cell r="L194">
            <v>515906283940.93262</v>
          </cell>
          <cell r="M194">
            <v>526411265427.68256</v>
          </cell>
          <cell r="N194">
            <v>6909.3528181582678</v>
          </cell>
          <cell r="O194">
            <v>7195.1013091944869</v>
          </cell>
          <cell r="P194">
            <v>7346.620221421852</v>
          </cell>
        </row>
        <row r="195">
          <cell r="B195" t="str">
            <v>TLS</v>
          </cell>
          <cell r="C195" t="str">
            <v>SEAR</v>
          </cell>
          <cell r="D195" t="str">
            <v>East Asia &amp; Pacific</v>
          </cell>
          <cell r="E195" t="str">
            <v>Lower middle income</v>
          </cell>
          <cell r="G195">
            <v>58.378353213354302</v>
          </cell>
          <cell r="H195">
            <v>25.26</v>
          </cell>
          <cell r="I195">
            <v>25.3</v>
          </cell>
          <cell r="J195">
            <v>25.31</v>
          </cell>
          <cell r="K195">
            <v>3208593982.0107102</v>
          </cell>
          <cell r="L195">
            <v>2079916909.4948502</v>
          </cell>
          <cell r="M195">
            <v>1881265333.4187</v>
          </cell>
          <cell r="N195">
            <v>2343.2495474018747</v>
          </cell>
          <cell r="O195">
            <v>1502.4114743821076</v>
          </cell>
          <cell r="P195">
            <v>1331.970513018503</v>
          </cell>
        </row>
        <row r="196">
          <cell r="B196" t="str">
            <v>TGO</v>
          </cell>
          <cell r="C196" t="str">
            <v>AFR</v>
          </cell>
          <cell r="D196" t="str">
            <v>Sub-Saharan Africa</v>
          </cell>
          <cell r="E196" t="str">
            <v>Low income</v>
          </cell>
          <cell r="G196">
            <v>19.197636708317901</v>
          </cell>
          <cell r="H196">
            <v>27.65</v>
          </cell>
          <cell r="I196">
            <v>27.66</v>
          </cell>
          <cell r="J196">
            <v>27.74</v>
          </cell>
          <cell r="K196">
            <v>8169476148.9569206</v>
          </cell>
          <cell r="L196">
            <v>9171261837.5710297</v>
          </cell>
          <cell r="M196">
            <v>9925732119.7203388</v>
          </cell>
          <cell r="N196">
            <v>951.23237869038655</v>
          </cell>
          <cell r="O196">
            <v>1055.0172787792565</v>
          </cell>
          <cell r="P196">
            <v>1119.3816050942892</v>
          </cell>
        </row>
        <row r="197">
          <cell r="B197" t="str">
            <v>TON</v>
          </cell>
          <cell r="C197" t="str">
            <v>WPR</v>
          </cell>
          <cell r="D197" t="str">
            <v>East Asia &amp; Pacific</v>
          </cell>
          <cell r="E197" t="str">
            <v>Upper middle income</v>
          </cell>
          <cell r="G197">
            <v>95.295541299889507</v>
          </cell>
          <cell r="H197">
            <v>25.03</v>
          </cell>
          <cell r="I197">
            <v>25.07</v>
          </cell>
          <cell r="J197">
            <v>25.11</v>
          </cell>
          <cell r="K197">
            <v>518180029.4134348</v>
          </cell>
          <cell r="L197">
            <v>508735107.03373355</v>
          </cell>
          <cell r="M197">
            <v>0</v>
          </cell>
          <cell r="N197">
            <v>5298.0194150995067</v>
          </cell>
          <cell r="O197">
            <v>5651.5937306315691</v>
          </cell>
          <cell r="P197">
            <v>0</v>
          </cell>
        </row>
        <row r="198">
          <cell r="B198" t="str">
            <v>TTO</v>
          </cell>
          <cell r="C198" t="str">
            <v>AMR</v>
          </cell>
          <cell r="D198" t="str">
            <v>Latin America &amp; Caribbean</v>
          </cell>
          <cell r="E198" t="str">
            <v>High income</v>
          </cell>
          <cell r="G198">
            <v>93.915211012116899</v>
          </cell>
          <cell r="H198">
            <v>26.89</v>
          </cell>
          <cell r="I198">
            <v>26.9</v>
          </cell>
          <cell r="J198">
            <v>26.91</v>
          </cell>
          <cell r="K198">
            <v>28510328245.137161</v>
          </cell>
          <cell r="L198">
            <v>25489373405.061905</v>
          </cell>
          <cell r="M198">
            <v>26428963758.130711</v>
          </cell>
          <cell r="N198">
            <v>20750.520243465224</v>
          </cell>
          <cell r="O198">
            <v>18308.453629857464</v>
          </cell>
          <cell r="P198">
            <v>18733.411040649364</v>
          </cell>
        </row>
        <row r="199">
          <cell r="B199" t="str">
            <v>TUN</v>
          </cell>
          <cell r="C199" t="str">
            <v>EMR</v>
          </cell>
          <cell r="D199" t="str">
            <v>Middle East &amp; North Africa</v>
          </cell>
          <cell r="E199" t="str">
            <v>Lower middle income</v>
          </cell>
          <cell r="G199">
            <v>97.437526991108399</v>
          </cell>
          <cell r="H199">
            <v>20.99</v>
          </cell>
          <cell r="I199">
            <v>20.98</v>
          </cell>
          <cell r="J199">
            <v>20.96</v>
          </cell>
          <cell r="K199">
            <v>44948769171.284958</v>
          </cell>
          <cell r="L199">
            <v>48196281783.947868</v>
          </cell>
          <cell r="M199">
            <v>53409988744.596809</v>
          </cell>
          <cell r="N199">
            <v>3707.2928341438123</v>
          </cell>
          <cell r="O199">
            <v>3951.1168337692147</v>
          </cell>
          <cell r="P199">
            <v>4181.1378930122846</v>
          </cell>
        </row>
        <row r="200">
          <cell r="B200" t="str">
            <v>TUR</v>
          </cell>
          <cell r="C200" t="str">
            <v>EUR</v>
          </cell>
          <cell r="D200" t="str">
            <v>Europe &amp; Central Asia</v>
          </cell>
          <cell r="E200" t="str">
            <v>Upper middle income</v>
          </cell>
          <cell r="G200">
            <v>99.248750021802806</v>
          </cell>
          <cell r="H200">
            <v>12.5</v>
          </cell>
          <cell r="I200">
            <v>12.48</v>
          </cell>
          <cell r="J200">
            <v>12.59</v>
          </cell>
          <cell r="K200">
            <v>907118434653.50476</v>
          </cell>
          <cell r="L200">
            <v>1118252958513.7173</v>
          </cell>
          <cell r="M200">
            <v>1323254808058.7441</v>
          </cell>
          <cell r="N200">
            <v>10897.83978613649</v>
          </cell>
          <cell r="O200">
            <v>13375.094728286429</v>
          </cell>
          <cell r="P200">
            <v>15892.715728724077</v>
          </cell>
        </row>
        <row r="201">
          <cell r="B201" t="str">
            <v>TKM</v>
          </cell>
          <cell r="C201" t="str">
            <v>EUR</v>
          </cell>
          <cell r="D201" t="str">
            <v>Europe &amp; Central Asia</v>
          </cell>
          <cell r="E201" t="str">
            <v>Upper middle income</v>
          </cell>
          <cell r="G201">
            <v>99.818208385689601</v>
          </cell>
          <cell r="H201">
            <v>17.32</v>
          </cell>
          <cell r="I201">
            <v>17.18</v>
          </cell>
          <cell r="J201">
            <v>17.37</v>
          </cell>
          <cell r="K201">
            <v>58972000000</v>
          </cell>
          <cell r="L201">
            <v>60628857142.85714</v>
          </cell>
          <cell r="M201">
            <v>64239891739.331139</v>
          </cell>
          <cell r="N201">
            <v>5837.8422453894673</v>
          </cell>
          <cell r="O201">
            <v>6231.9132383969809</v>
          </cell>
          <cell r="P201">
            <v>6856.6580273020782</v>
          </cell>
        </row>
        <row r="202">
          <cell r="B202" t="str">
            <v>TCA</v>
          </cell>
          <cell r="C202" t="str">
            <v>None</v>
          </cell>
          <cell r="D202" t="str">
            <v>Latin America &amp; Caribbean</v>
          </cell>
          <cell r="E202" t="str">
            <v>High income</v>
          </cell>
          <cell r="G202">
            <v>93.146218201062595</v>
          </cell>
          <cell r="H202">
            <v>26.42</v>
          </cell>
          <cell r="I202">
            <v>26.43</v>
          </cell>
          <cell r="J202">
            <v>26.46</v>
          </cell>
          <cell r="K202">
            <v>1434119000</v>
          </cell>
          <cell r="L202">
            <v>1638653000</v>
          </cell>
          <cell r="M202">
            <v>1745378000</v>
          </cell>
          <cell r="N202">
            <v>31280.541802080836</v>
          </cell>
          <cell r="O202">
            <v>35470.215160829473</v>
          </cell>
          <cell r="P202">
            <v>37506.779843128825</v>
          </cell>
        </row>
        <row r="203">
          <cell r="B203" t="str">
            <v>TUV</v>
          </cell>
          <cell r="C203" t="str">
            <v>WPR</v>
          </cell>
          <cell r="D203" t="str">
            <v>East Asia &amp; Pacific</v>
          </cell>
          <cell r="E203" t="str">
            <v>Upper middle income</v>
          </cell>
          <cell r="G203">
            <v>83.546334661925499</v>
          </cell>
          <cell r="H203">
            <v>27.66</v>
          </cell>
          <cell r="I203">
            <v>27.72</v>
          </cell>
          <cell r="J203">
            <v>27.72</v>
          </cell>
          <cell r="K203">
            <v>59065982.087365709</v>
          </cell>
          <cell r="L203">
            <v>62280311.585217156</v>
          </cell>
          <cell r="M203">
            <v>0</v>
          </cell>
          <cell r="N203">
            <v>5911.3272705530135</v>
          </cell>
          <cell r="O203">
            <v>6344.7750188689033</v>
          </cell>
          <cell r="P203">
            <v>0</v>
          </cell>
        </row>
        <row r="204">
          <cell r="B204" t="str">
            <v>UGA</v>
          </cell>
          <cell r="C204" t="str">
            <v>AFR</v>
          </cell>
          <cell r="D204" t="str">
            <v>Sub-Saharan Africa</v>
          </cell>
          <cell r="E204" t="str">
            <v>Low income</v>
          </cell>
          <cell r="G204">
            <v>21.0121303393868</v>
          </cell>
          <cell r="H204">
            <v>23.56</v>
          </cell>
          <cell r="I204">
            <v>23.63</v>
          </cell>
          <cell r="J204">
            <v>23.72</v>
          </cell>
          <cell r="K204">
            <v>45565333216.414154</v>
          </cell>
          <cell r="L204">
            <v>48768955859.283386</v>
          </cell>
          <cell r="M204">
            <v>53651874313.98362</v>
          </cell>
          <cell r="N204">
            <v>963.06731411717828</v>
          </cell>
          <cell r="O204">
            <v>1002.3091391714248</v>
          </cell>
          <cell r="P204">
            <v>1077.9127845281687</v>
          </cell>
        </row>
        <row r="205">
          <cell r="B205" t="str">
            <v>UKR</v>
          </cell>
          <cell r="C205" t="str">
            <v>EUR</v>
          </cell>
          <cell r="D205" t="str">
            <v>Europe &amp; Central Asia</v>
          </cell>
          <cell r="E205" t="str">
            <v>Upper middle income</v>
          </cell>
          <cell r="G205">
            <v>97.745300718557502</v>
          </cell>
          <cell r="H205">
            <v>10.039999999999999</v>
          </cell>
          <cell r="I205">
            <v>9.93</v>
          </cell>
          <cell r="J205">
            <v>9.8800000000000008</v>
          </cell>
          <cell r="K205">
            <v>161989520721.19049</v>
          </cell>
          <cell r="L205">
            <v>181221517868.74365</v>
          </cell>
          <cell r="M205">
            <v>190741263731.53488</v>
          </cell>
          <cell r="N205">
            <v>4199.6708984375</v>
          </cell>
          <cell r="O205">
            <v>5139.59814453125</v>
          </cell>
          <cell r="P205">
            <v>5389.47314453125</v>
          </cell>
        </row>
        <row r="206">
          <cell r="B206" t="str">
            <v>ARE</v>
          </cell>
          <cell r="C206" t="str">
            <v>EMR</v>
          </cell>
          <cell r="D206" t="str">
            <v>Middle East &amp; North Africa</v>
          </cell>
          <cell r="E206" t="str">
            <v>High income</v>
          </cell>
          <cell r="G206">
            <v>99.0913054641249</v>
          </cell>
          <cell r="H206">
            <v>28.43</v>
          </cell>
          <cell r="I206">
            <v>28.44</v>
          </cell>
          <cell r="J206">
            <v>28.49</v>
          </cell>
          <cell r="K206">
            <v>502731935194.00952</v>
          </cell>
          <cell r="L206">
            <v>514130432648.05994</v>
          </cell>
          <cell r="M206">
            <v>537078829135.46631</v>
          </cell>
          <cell r="N206">
            <v>50759.758923119138</v>
          </cell>
          <cell r="O206">
            <v>49850.687217516395</v>
          </cell>
          <cell r="P206">
            <v>50273.506046983675</v>
          </cell>
        </row>
        <row r="207">
          <cell r="B207" t="str">
            <v>GBR</v>
          </cell>
          <cell r="C207" t="str">
            <v>EUR</v>
          </cell>
          <cell r="D207" t="str">
            <v>Europe &amp; Central Asia</v>
          </cell>
          <cell r="E207" t="str">
            <v>High income</v>
          </cell>
          <cell r="G207">
            <v>99.104790264294095</v>
          </cell>
          <cell r="H207">
            <v>9.76</v>
          </cell>
          <cell r="I207">
            <v>9.7100000000000009</v>
          </cell>
          <cell r="J207">
            <v>9.7799999999999994</v>
          </cell>
          <cell r="K207">
            <v>3114042471144.3877</v>
          </cell>
          <cell r="L207">
            <v>3369861888972.877</v>
          </cell>
          <cell r="M207">
            <v>3643834188782.9146</v>
          </cell>
          <cell r="N207">
            <v>47057.043229178962</v>
          </cell>
          <cell r="O207">
            <v>49944.470212420143</v>
          </cell>
          <cell r="P207">
            <v>53246.367614510847</v>
          </cell>
        </row>
        <row r="208">
          <cell r="B208" t="str">
            <v>USA</v>
          </cell>
          <cell r="C208" t="str">
            <v>AMR</v>
          </cell>
          <cell r="D208" t="str">
            <v>North America</v>
          </cell>
          <cell r="E208" t="str">
            <v>High income</v>
          </cell>
          <cell r="G208">
            <v>99.631610907923005</v>
          </cell>
          <cell r="H208">
            <v>11.06</v>
          </cell>
          <cell r="I208">
            <v>11</v>
          </cell>
          <cell r="J208">
            <v>11.12</v>
          </cell>
          <cell r="K208">
            <v>26006893000000</v>
          </cell>
          <cell r="L208">
            <v>27720709000000</v>
          </cell>
          <cell r="M208">
            <v>29184890000000</v>
          </cell>
          <cell r="N208">
            <v>76657.248884440341</v>
          </cell>
          <cell r="O208">
            <v>81032.26211754496</v>
          </cell>
          <cell r="P208">
            <v>84534.040784154844</v>
          </cell>
        </row>
        <row r="209">
          <cell r="B209" t="str">
            <v>URY</v>
          </cell>
          <cell r="C209" t="str">
            <v>AMR</v>
          </cell>
          <cell r="D209" t="str">
            <v>Latin America &amp; Caribbean</v>
          </cell>
          <cell r="E209" t="str">
            <v>High income</v>
          </cell>
          <cell r="G209">
            <v>98.324831288672101</v>
          </cell>
          <cell r="H209">
            <v>18.13</v>
          </cell>
          <cell r="I209">
            <v>18.100000000000001</v>
          </cell>
          <cell r="J209">
            <v>18.100000000000001</v>
          </cell>
          <cell r="K209">
            <v>70594110920.035782</v>
          </cell>
          <cell r="L209">
            <v>77991666837.73819</v>
          </cell>
          <cell r="M209">
            <v>80961511073.579651</v>
          </cell>
          <cell r="N209">
            <v>20818.614609114353</v>
          </cell>
          <cell r="O209">
            <v>23019.422156004592</v>
          </cell>
          <cell r="P209">
            <v>23906.513302940792</v>
          </cell>
        </row>
        <row r="210">
          <cell r="B210" t="str">
            <v>UZB</v>
          </cell>
          <cell r="C210" t="str">
            <v>EUR</v>
          </cell>
          <cell r="D210" t="str">
            <v>Europe &amp; Central Asia</v>
          </cell>
          <cell r="E210" t="str">
            <v>Lower middle income</v>
          </cell>
          <cell r="G210">
            <v>96.306694190097801</v>
          </cell>
          <cell r="H210">
            <v>14.19</v>
          </cell>
          <cell r="I210">
            <v>14.02</v>
          </cell>
          <cell r="J210">
            <v>14.2</v>
          </cell>
          <cell r="K210">
            <v>90095926567.435898</v>
          </cell>
          <cell r="L210">
            <v>102641879248.76396</v>
          </cell>
          <cell r="M210">
            <v>114965293466.61102</v>
          </cell>
          <cell r="N210">
            <v>2578.6668939421884</v>
          </cell>
          <cell r="O210">
            <v>2878.9687929245074</v>
          </cell>
          <cell r="P210">
            <v>3161.7001063287503</v>
          </cell>
        </row>
        <row r="211">
          <cell r="B211" t="str">
            <v>VUT</v>
          </cell>
          <cell r="C211" t="str">
            <v>WPR</v>
          </cell>
          <cell r="D211" t="str">
            <v>East Asia &amp; Pacific</v>
          </cell>
          <cell r="E211" t="str">
            <v>Lower middle income</v>
          </cell>
          <cell r="G211">
            <v>46.714933378171899</v>
          </cell>
          <cell r="H211">
            <v>25.55</v>
          </cell>
          <cell r="I211">
            <v>25.62</v>
          </cell>
          <cell r="J211">
            <v>25.58</v>
          </cell>
          <cell r="K211">
            <v>1030654208.3005296</v>
          </cell>
          <cell r="L211">
            <v>1126313359.2192256</v>
          </cell>
          <cell r="M211">
            <v>1161251868.0349755</v>
          </cell>
          <cell r="N211">
            <v>3370.2119195695336</v>
          </cell>
          <cell r="O211">
            <v>3482.6145823763695</v>
          </cell>
          <cell r="P211">
            <v>3410.7702316709738</v>
          </cell>
        </row>
        <row r="212">
          <cell r="B212" t="str">
            <v>VEN</v>
          </cell>
          <cell r="C212" t="str">
            <v>AMR</v>
          </cell>
          <cell r="D212" t="str">
            <v>Latin America &amp; Caribbean</v>
          </cell>
          <cell r="E212">
            <v>0</v>
          </cell>
          <cell r="G212">
            <v>98.395585978777106</v>
          </cell>
          <cell r="H212">
            <v>26.6</v>
          </cell>
          <cell r="I212">
            <v>26.59</v>
          </cell>
          <cell r="J212">
            <v>26.64</v>
          </cell>
          <cell r="K212">
            <v>0</v>
          </cell>
          <cell r="L212">
            <v>0</v>
          </cell>
          <cell r="M212">
            <v>0</v>
          </cell>
          <cell r="N212">
            <v>3155.0420709968707</v>
          </cell>
          <cell r="O212">
            <v>3617.4359457826904</v>
          </cell>
          <cell r="P212">
            <v>4217.5910264339145</v>
          </cell>
        </row>
        <row r="213">
          <cell r="B213" t="str">
            <v>VNM</v>
          </cell>
          <cell r="C213" t="str">
            <v>WPR</v>
          </cell>
          <cell r="D213" t="str">
            <v>East Asia &amp; Pacific</v>
          </cell>
          <cell r="E213" t="str">
            <v>Lower middle income</v>
          </cell>
          <cell r="G213">
            <v>92.170340289245203</v>
          </cell>
          <cell r="H213">
            <v>24.66</v>
          </cell>
          <cell r="I213">
            <v>24.7</v>
          </cell>
          <cell r="J213">
            <v>24.76</v>
          </cell>
          <cell r="K213">
            <v>413445230668.57819</v>
          </cell>
          <cell r="L213">
            <v>433857681378.29095</v>
          </cell>
          <cell r="M213">
            <v>476388230307.17523</v>
          </cell>
          <cell r="N213">
            <v>4147.69777213621</v>
          </cell>
          <cell r="O213">
            <v>4323.3503198245135</v>
          </cell>
          <cell r="P213">
            <v>4717.2902873244884</v>
          </cell>
        </row>
        <row r="214">
          <cell r="B214" t="str">
            <v>VIR</v>
          </cell>
          <cell r="C214" t="str">
            <v>None</v>
          </cell>
          <cell r="D214" t="str">
            <v>Latin America &amp; Caribbean</v>
          </cell>
          <cell r="E214" t="str">
            <v>High income</v>
          </cell>
          <cell r="G214">
            <v>99.108543977573802</v>
          </cell>
          <cell r="H214">
            <v>26.69</v>
          </cell>
          <cell r="I214">
            <v>26.72</v>
          </cell>
          <cell r="J214">
            <v>26.74</v>
          </cell>
          <cell r="K214">
            <v>4672000000</v>
          </cell>
          <cell r="L214">
            <v>0</v>
          </cell>
          <cell r="M214">
            <v>0</v>
          </cell>
          <cell r="N214">
            <v>44320.90918577405</v>
          </cell>
          <cell r="O214">
            <v>0</v>
          </cell>
          <cell r="P214">
            <v>0</v>
          </cell>
        </row>
        <row r="215">
          <cell r="B215" t="str">
            <v>PSE</v>
          </cell>
          <cell r="C215" t="str">
            <v>None</v>
          </cell>
          <cell r="D215" t="str">
            <v>Middle East &amp; North Africa</v>
          </cell>
          <cell r="E215" t="str">
            <v>Lower middle income</v>
          </cell>
          <cell r="G215">
            <v>99.4416057169053</v>
          </cell>
          <cell r="H215">
            <v>21.01</v>
          </cell>
          <cell r="I215">
            <v>21.01</v>
          </cell>
          <cell r="J215">
            <v>21.06</v>
          </cell>
          <cell r="K215">
            <v>19165500000</v>
          </cell>
          <cell r="L215">
            <v>17847900000</v>
          </cell>
          <cell r="M215">
            <v>13711100000</v>
          </cell>
          <cell r="N215">
            <v>3799.9552701516295</v>
          </cell>
          <cell r="O215">
            <v>3455.0285291171217</v>
          </cell>
          <cell r="P215">
            <v>2592.30591217647</v>
          </cell>
        </row>
        <row r="216">
          <cell r="B216" t="str">
            <v>YEM</v>
          </cell>
          <cell r="C216" t="str">
            <v>EMR</v>
          </cell>
          <cell r="D216" t="str">
            <v>Middle East &amp; North Africa</v>
          </cell>
          <cell r="E216" t="str">
            <v>Low income</v>
          </cell>
          <cell r="G216">
            <v>54.844758487248598</v>
          </cell>
          <cell r="H216">
            <v>25.88</v>
          </cell>
          <cell r="I216">
            <v>25.94</v>
          </cell>
          <cell r="J216">
            <v>25.98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</row>
        <row r="217">
          <cell r="B217" t="str">
            <v>ZMB</v>
          </cell>
          <cell r="C217" t="str">
            <v>AFR</v>
          </cell>
          <cell r="D217" t="str">
            <v>Sub-Saharan Africa</v>
          </cell>
          <cell r="E217" t="str">
            <v>Lower middle income</v>
          </cell>
          <cell r="G217">
            <v>36.301368541478503</v>
          </cell>
          <cell r="H217">
            <v>22.95</v>
          </cell>
          <cell r="I217">
            <v>22.99</v>
          </cell>
          <cell r="J217">
            <v>22.98</v>
          </cell>
          <cell r="K217">
            <v>29163782140.485832</v>
          </cell>
          <cell r="L217">
            <v>27577956471.243988</v>
          </cell>
          <cell r="M217">
            <v>26325775287.022636</v>
          </cell>
          <cell r="N217">
            <v>1447.1231013803463</v>
          </cell>
          <cell r="O217">
            <v>1330.7278057670908</v>
          </cell>
          <cell r="P217">
            <v>1187.1094335006403</v>
          </cell>
        </row>
        <row r="218">
          <cell r="B218" t="str">
            <v>ZWE</v>
          </cell>
          <cell r="C218" t="str">
            <v>AFR</v>
          </cell>
          <cell r="D218" t="str">
            <v>Sub-Saharan Africa</v>
          </cell>
          <cell r="E218" t="str">
            <v>Lower middle income</v>
          </cell>
          <cell r="G218">
            <v>34.617858115423303</v>
          </cell>
          <cell r="H218">
            <v>22.32</v>
          </cell>
          <cell r="I218">
            <v>22.3</v>
          </cell>
          <cell r="J218">
            <v>22.28</v>
          </cell>
          <cell r="K218">
            <v>32789657377.978817</v>
          </cell>
          <cell r="L218">
            <v>35231369343.400192</v>
          </cell>
          <cell r="M218">
            <v>44187704410.119118</v>
          </cell>
          <cell r="N218">
            <v>2536.4005022307556</v>
          </cell>
          <cell r="O218">
            <v>2195.2249207924506</v>
          </cell>
          <cell r="P218">
            <v>2497.203322087631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B24D-120B-4BA5-9F21-3BAC849E4C71}">
  <dimension ref="A1:AL223"/>
  <sheetViews>
    <sheetView tabSelected="1" topLeftCell="A16" zoomScale="85" zoomScaleNormal="85" workbookViewId="0">
      <selection activeCell="B22" sqref="B22"/>
    </sheetView>
  </sheetViews>
  <sheetFormatPr defaultColWidth="9" defaultRowHeight="13.5" x14ac:dyDescent="0.3"/>
  <cols>
    <col min="1" max="1" width="26.796875" customWidth="1"/>
    <col min="7" max="22" width="9" customWidth="1"/>
    <col min="23" max="25" width="9" style="2" customWidth="1"/>
    <col min="26" max="37" width="9" customWidth="1"/>
  </cols>
  <sheetData>
    <row r="1" spans="1:38" ht="42.75" x14ac:dyDescent="1.1000000000000001">
      <c r="A1" s="10" t="s">
        <v>0</v>
      </c>
      <c r="B1" s="11" t="s">
        <v>1</v>
      </c>
      <c r="C1" s="11" t="s">
        <v>480</v>
      </c>
      <c r="D1" s="10" t="s">
        <v>494</v>
      </c>
      <c r="E1" s="10" t="s">
        <v>495</v>
      </c>
      <c r="F1" s="10" t="s">
        <v>496</v>
      </c>
      <c r="G1" s="12" t="s">
        <v>433</v>
      </c>
      <c r="H1" s="12" t="s">
        <v>434</v>
      </c>
      <c r="I1" s="12" t="s">
        <v>436</v>
      </c>
      <c r="J1" s="12" t="s">
        <v>478</v>
      </c>
      <c r="K1" s="10" t="s">
        <v>438</v>
      </c>
      <c r="L1" s="10" t="s">
        <v>439</v>
      </c>
      <c r="M1" s="10" t="s">
        <v>440</v>
      </c>
      <c r="N1" s="10" t="s">
        <v>489</v>
      </c>
      <c r="O1" s="10" t="s">
        <v>490</v>
      </c>
      <c r="P1" s="10" t="s">
        <v>491</v>
      </c>
      <c r="Q1" s="12" t="s">
        <v>486</v>
      </c>
      <c r="R1" s="12" t="s">
        <v>443</v>
      </c>
      <c r="S1" s="12" t="s">
        <v>441</v>
      </c>
      <c r="T1" s="12" t="s">
        <v>444</v>
      </c>
      <c r="U1" s="12" t="s">
        <v>445</v>
      </c>
      <c r="V1" s="12" t="s">
        <v>446</v>
      </c>
      <c r="W1" s="13" t="s">
        <v>447</v>
      </c>
      <c r="X1" s="13" t="s">
        <v>448</v>
      </c>
      <c r="Y1" s="13" t="s">
        <v>449</v>
      </c>
      <c r="Z1" s="10" t="s">
        <v>450</v>
      </c>
      <c r="AA1" s="10" t="s">
        <v>451</v>
      </c>
      <c r="AB1" s="10" t="s">
        <v>452</v>
      </c>
      <c r="AC1" s="10" t="s">
        <v>453</v>
      </c>
      <c r="AD1" s="10" t="s">
        <v>454</v>
      </c>
      <c r="AE1" s="10" t="s">
        <v>455</v>
      </c>
      <c r="AF1" s="10" t="s">
        <v>456</v>
      </c>
      <c r="AG1" s="14" t="s">
        <v>457</v>
      </c>
      <c r="AH1" s="14" t="s">
        <v>458</v>
      </c>
      <c r="AI1" s="10" t="s">
        <v>459</v>
      </c>
      <c r="AJ1" s="10" t="s">
        <v>460</v>
      </c>
      <c r="AK1" s="10" t="s">
        <v>461</v>
      </c>
      <c r="AL1" s="10" t="s">
        <v>462</v>
      </c>
    </row>
    <row r="2" spans="1:38" ht="21.4" x14ac:dyDescent="1.1000000000000001">
      <c r="A2" s="10" t="s">
        <v>2</v>
      </c>
      <c r="B2" s="11" t="s">
        <v>3</v>
      </c>
      <c r="C2" s="10" t="str">
        <f>VLOOKUP(B2,'[1]who-regions'!$B$1:$D$206,3,FALSE)</f>
        <v>EMR</v>
      </c>
      <c r="D2" s="12" t="str">
        <f>VLOOKUP(B2,'[2]Metadata - Countries'!$A$1:$B$266,2,FALSE)</f>
        <v>Middle East &amp; North Africa</v>
      </c>
      <c r="E2" s="12" t="str">
        <f>VLOOKUP(B2,'[2]Metadata - Countries'!$A$1:$C$266,3,FALSE)</f>
        <v>Low income</v>
      </c>
      <c r="F2" s="12" t="e">
        <f>VLOOKUP(B2,'[3]data-Ib27t'!$A$1:$C$204,2,FALSE)</f>
        <v>#N/A</v>
      </c>
      <c r="G2" s="10">
        <v>55.951941287811401</v>
      </c>
      <c r="H2" s="12">
        <f>VLOOKUP(B2,[4]tas!$A$2:$H$247,5,FALSE)</f>
        <v>13.1</v>
      </c>
      <c r="I2" s="12">
        <f>VLOOKUP(B2,[4]tas!$A$2:$H$247,6,FALSE)</f>
        <v>13.18</v>
      </c>
      <c r="J2" s="12">
        <f>VLOOKUP(B2,[4]tas!$A$2:$H$247,7,FALSE)</f>
        <v>13.22</v>
      </c>
      <c r="K2" s="10">
        <v>14497243872.133739</v>
      </c>
      <c r="L2" s="10">
        <v>17152234636.871508</v>
      </c>
      <c r="M2" s="10">
        <v>0</v>
      </c>
      <c r="N2" s="10">
        <f>VLOOKUP(B2,[2]Data!$B$1:$G$267,4,FALSE)</f>
        <v>357.26115279814388</v>
      </c>
      <c r="O2" s="10">
        <f>VLOOKUP(B2,[2]Data!$B$1:$G$267,5,FALSE)</f>
        <v>413.75789470530316</v>
      </c>
      <c r="P2" s="10">
        <f>VLOOKUP(B2,[2]Data!$B$1:$G$267,6,FALSE)</f>
        <v>0</v>
      </c>
      <c r="Q2" s="12">
        <f>VLOOKUP(B2,[5]Sheet1!$B$421:$K$628,10,FALSE)</f>
        <v>0</v>
      </c>
      <c r="R2" s="12">
        <f>VLOOKUP(B2,[5]Sheet1!$B$213:$K$420,10,FALSE)</f>
        <v>0</v>
      </c>
      <c r="S2" s="12">
        <f>VLOOKUP(B2,[5]Sheet1!$B$2:$K$207,10,FALSE)</f>
        <v>0</v>
      </c>
      <c r="T2" s="12">
        <f>VLOOKUP(B2,[6]Sheet1!$B$421:$K$628,10,FALSE)</f>
        <v>0</v>
      </c>
      <c r="U2" s="12">
        <f>VLOOKUP(B2,[6]Sheet1!$B$213:$K$420,10,FALSE)</f>
        <v>0</v>
      </c>
      <c r="V2" s="12">
        <f>VLOOKUP(B2,[6]Sheet1!$B$2:$K$212,10,FALSE)</f>
        <v>0</v>
      </c>
      <c r="W2" s="13">
        <v>0</v>
      </c>
      <c r="X2" s="13">
        <v>0</v>
      </c>
      <c r="Y2" s="13">
        <v>0</v>
      </c>
      <c r="Z2" s="10">
        <v>46.087093665970599</v>
      </c>
      <c r="AA2" s="10">
        <v>43.579841435593501</v>
      </c>
      <c r="AB2" s="10">
        <v>43.226203861119799</v>
      </c>
      <c r="AC2" s="10">
        <v>42.887505553667701</v>
      </c>
      <c r="AD2" s="10">
        <v>2.3551423670493099</v>
      </c>
      <c r="AE2" s="10">
        <v>2.3775375281985101</v>
      </c>
      <c r="AF2" s="10">
        <v>2.4009700265610001</v>
      </c>
      <c r="AG2" s="10">
        <v>62.215540530181073</v>
      </c>
      <c r="AH2" s="10">
        <v>63.558500835594806</v>
      </c>
      <c r="AI2" s="12">
        <f>VLOOKUP(B2,[7]all!$A$2:$I$247,6,FALSE)</f>
        <v>46.31</v>
      </c>
      <c r="AJ2" s="12">
        <f>VLOOKUP(B2,[7]all!$A$2:$I$247,7,FALSE)</f>
        <v>46</v>
      </c>
      <c r="AK2" s="12">
        <f>VLOOKUP(B2,[7]all!$A$2:$I$247,8,FALSE)</f>
        <v>46</v>
      </c>
      <c r="AL2" s="12"/>
    </row>
    <row r="3" spans="1:38" ht="21.4" x14ac:dyDescent="1.1000000000000001">
      <c r="A3" s="10" t="s">
        <v>4</v>
      </c>
      <c r="B3" s="11" t="s">
        <v>5</v>
      </c>
      <c r="C3" s="10" t="str">
        <f>VLOOKUP(B3,'[1]who-regions'!$B$1:$D$206,3,FALSE)</f>
        <v>EUR</v>
      </c>
      <c r="D3" s="12" t="str">
        <f>VLOOKUP(B3,'[2]Metadata - Countries'!$A$1:$B$266,2,FALSE)</f>
        <v>Europe &amp; Central Asia</v>
      </c>
      <c r="E3" s="12" t="str">
        <f>VLOOKUP(B3,'[2]Metadata - Countries'!$A$1:$C$266,3,FALSE)</f>
        <v>Upper middle income</v>
      </c>
      <c r="F3" s="12"/>
      <c r="G3" s="10">
        <v>99.299266134818595</v>
      </c>
      <c r="H3" s="12">
        <f>VLOOKUP(B3,[4]tas!$A$2:$H$247,5,FALSE)</f>
        <v>13.35</v>
      </c>
      <c r="I3" s="12">
        <f>VLOOKUP(B3,[4]tas!$A$2:$H$247,6,FALSE)</f>
        <v>13.4</v>
      </c>
      <c r="J3" s="12">
        <f>VLOOKUP(B3,[4]tas!$A$2:$H$247,7,FALSE)</f>
        <v>13.41</v>
      </c>
      <c r="K3" s="10">
        <v>19017244116.720253</v>
      </c>
      <c r="L3" s="10">
        <v>23547180412.340405</v>
      </c>
      <c r="M3" s="10">
        <v>27177735527.566666</v>
      </c>
      <c r="N3" s="10">
        <f>VLOOKUP(B3,[2]Data!$B$1:$G$267,4,FALSE)</f>
        <v>7756.9618874425323</v>
      </c>
      <c r="O3" s="10">
        <f>VLOOKUP(B3,[2]Data!$B$1:$G$267,5,FALSE)</f>
        <v>9730.8692190689344</v>
      </c>
      <c r="P3" s="10">
        <f>VLOOKUP(B3,[2]Data!$B$1:$G$267,6,FALSE)</f>
        <v>11377.775743109876</v>
      </c>
      <c r="Q3" s="12">
        <f>VLOOKUP(B3,[5]Sheet1!$B$421:$K$628,10,FALSE)</f>
        <v>0</v>
      </c>
      <c r="R3" s="12">
        <f>VLOOKUP(B3,[5]Sheet1!$B$213:$K$420,10,FALSE)</f>
        <v>0</v>
      </c>
      <c r="S3" s="12">
        <f>VLOOKUP(B3,[5]Sheet1!$B$2:$K$207,10,FALSE)</f>
        <v>0</v>
      </c>
      <c r="T3" s="12">
        <f>VLOOKUP(B3,[6]Sheet1!$B$421:$K$628,10,FALSE)</f>
        <v>25.08</v>
      </c>
      <c r="U3" s="12">
        <f>VLOOKUP(B3,[6]Sheet1!$B$213:$K$420,10,FALSE)</f>
        <v>25.08</v>
      </c>
      <c r="V3" s="12">
        <f>VLOOKUP(B3,[6]Sheet1!$B$2:$K$212,10,FALSE)</f>
        <v>23.72</v>
      </c>
      <c r="W3" s="13">
        <v>85.972976684570298</v>
      </c>
      <c r="X3" s="13">
        <v>86.650451660156193</v>
      </c>
      <c r="Y3" s="13">
        <v>0</v>
      </c>
      <c r="Z3" s="10">
        <v>15.707003641704199</v>
      </c>
      <c r="AA3" s="10">
        <v>17.222472138995201</v>
      </c>
      <c r="AB3" s="10">
        <v>17.041973499593698</v>
      </c>
      <c r="AC3" s="10">
        <v>16.840782952860099</v>
      </c>
      <c r="AD3" s="10">
        <v>15.776338162857099</v>
      </c>
      <c r="AE3" s="10">
        <v>16.3020000675759</v>
      </c>
      <c r="AF3" s="10">
        <v>16.922756199529001</v>
      </c>
      <c r="AG3" s="10">
        <v>101.37551094890512</v>
      </c>
      <c r="AH3" s="10">
        <v>100.21795620437956</v>
      </c>
      <c r="AI3" s="12">
        <f>VLOOKUP(B3,[7]all!$A$2:$I$247,6,FALSE)</f>
        <v>71.540000000000006</v>
      </c>
      <c r="AJ3" s="12">
        <f>VLOOKUP(B3,[7]all!$A$2:$I$247,7,FALSE)</f>
        <v>71.760000000000005</v>
      </c>
      <c r="AK3" s="12">
        <f>VLOOKUP(B3,[7]all!$A$2:$I$247,8,FALSE)</f>
        <v>71.81</v>
      </c>
      <c r="AL3" s="12"/>
    </row>
    <row r="4" spans="1:38" ht="21.4" x14ac:dyDescent="1.1000000000000001">
      <c r="A4" s="10" t="s">
        <v>6</v>
      </c>
      <c r="B4" s="11" t="s">
        <v>7</v>
      </c>
      <c r="C4" s="10" t="str">
        <f>VLOOKUP(B4,'[1]who-regions'!$B$1:$D$206,3,FALSE)</f>
        <v>AFR</v>
      </c>
      <c r="D4" s="12" t="str">
        <f>VLOOKUP(B4,'[2]Metadata - Countries'!$A$1:$B$266,2,FALSE)</f>
        <v>Middle East &amp; North Africa</v>
      </c>
      <c r="E4" s="12" t="str">
        <f>VLOOKUP(B4,'[2]Metadata - Countries'!$A$1:$C$266,3,FALSE)</f>
        <v>Upper middle income</v>
      </c>
      <c r="F4" s="12"/>
      <c r="G4" s="10">
        <v>85.826289397824596</v>
      </c>
      <c r="H4" s="12">
        <f>VLOOKUP(B4,[4]tas!$A$2:$H$247,5,FALSE)</f>
        <v>24.18</v>
      </c>
      <c r="I4" s="12">
        <f>VLOOKUP(B4,[4]tas!$A$2:$H$247,6,FALSE)</f>
        <v>24.12</v>
      </c>
      <c r="J4" s="12">
        <f>VLOOKUP(B4,[4]tas!$A$2:$H$247,7,FALSE)</f>
        <v>24.2</v>
      </c>
      <c r="K4" s="10">
        <v>225638456572.14276</v>
      </c>
      <c r="L4" s="10">
        <v>247626161016.41446</v>
      </c>
      <c r="M4" s="10">
        <v>263619794506.7229</v>
      </c>
      <c r="N4" s="10">
        <f>VLOOKUP(B4,[2]Data!$B$1:$G$267,4,FALSE)</f>
        <v>4960.3033433288756</v>
      </c>
      <c r="O4" s="10">
        <f>VLOOKUP(B4,[2]Data!$B$1:$G$267,5,FALSE)</f>
        <v>5370.4772350780049</v>
      </c>
      <c r="P4" s="10">
        <f>VLOOKUP(B4,[2]Data!$B$1:$G$267,6,FALSE)</f>
        <v>5752.9907665146548</v>
      </c>
      <c r="Q4" s="12">
        <f>VLOOKUP(B4,[5]Sheet1!$B$421:$K$628,10,FALSE)</f>
        <v>0</v>
      </c>
      <c r="R4" s="12">
        <f>VLOOKUP(B4,[5]Sheet1!$B$213:$K$420,10,FALSE)</f>
        <v>0</v>
      </c>
      <c r="S4" s="12">
        <f>VLOOKUP(B4,[5]Sheet1!$B$2:$K$207,10,FALSE)</f>
        <v>0</v>
      </c>
      <c r="T4" s="12">
        <f>VLOOKUP(B4,[6]Sheet1!$B$421:$K$628,10,FALSE)</f>
        <v>0</v>
      </c>
      <c r="U4" s="12">
        <f>VLOOKUP(B4,[6]Sheet1!$B$213:$K$420,10,FALSE)</f>
        <v>0</v>
      </c>
      <c r="V4" s="12">
        <f>VLOOKUP(B4,[6]Sheet1!$B$2:$K$212,10,FALSE)</f>
        <v>0</v>
      </c>
      <c r="W4" s="13">
        <v>0</v>
      </c>
      <c r="X4" s="13">
        <v>0</v>
      </c>
      <c r="Y4" s="13">
        <v>0</v>
      </c>
      <c r="Z4" s="10">
        <v>25.552655831044699</v>
      </c>
      <c r="AA4" s="10">
        <v>30.8411919729913</v>
      </c>
      <c r="AB4" s="10">
        <v>30.639347543169698</v>
      </c>
      <c r="AC4" s="10">
        <v>30.329004653118101</v>
      </c>
      <c r="AD4" s="10">
        <v>6.1869635239287399</v>
      </c>
      <c r="AE4" s="10">
        <v>6.3768586662323896</v>
      </c>
      <c r="AF4" s="10">
        <v>6.5822120726660298</v>
      </c>
      <c r="AG4" s="10">
        <v>19.094187022932815</v>
      </c>
      <c r="AH4" s="10">
        <v>19.382560229076223</v>
      </c>
      <c r="AI4" s="12">
        <f>VLOOKUP(B4,[7]all!$A$2:$I$247,6,FALSE)</f>
        <v>30.14</v>
      </c>
      <c r="AJ4" s="12">
        <f>VLOOKUP(B4,[7]all!$A$2:$I$247,7,FALSE)</f>
        <v>30.19</v>
      </c>
      <c r="AK4" s="12">
        <f>VLOOKUP(B4,[7]all!$A$2:$I$247,8,FALSE)</f>
        <v>30.4</v>
      </c>
      <c r="AL4" s="12"/>
    </row>
    <row r="5" spans="1:38" ht="21.4" x14ac:dyDescent="1.1000000000000001">
      <c r="A5" s="10" t="s">
        <v>442</v>
      </c>
      <c r="B5" s="11" t="s">
        <v>8</v>
      </c>
      <c r="C5" s="10" t="str">
        <f>VLOOKUP(B5,'[1]who-regions'!$B$1:$D$206,3,FALSE)</f>
        <v>WPR</v>
      </c>
      <c r="D5" s="12" t="str">
        <f>VLOOKUP(B5,'[2]Metadata - Countries'!$A$1:$B$266,2,FALSE)</f>
        <v>East Asia &amp; Pacific</v>
      </c>
      <c r="E5" s="12" t="str">
        <f>VLOOKUP(B5,'[2]Metadata - Countries'!$A$1:$C$266,3,FALSE)</f>
        <v>High income</v>
      </c>
      <c r="F5" s="12"/>
      <c r="G5" s="10">
        <v>54.145298586627902</v>
      </c>
      <c r="H5" s="12">
        <f>VLOOKUP(B5,[4]tas!$A$2:$H$247,5,FALSE)</f>
        <v>27</v>
      </c>
      <c r="I5" s="12">
        <f>VLOOKUP(B5,[4]tas!$A$2:$H$247,6,FALSE)</f>
        <v>27.01</v>
      </c>
      <c r="J5" s="12">
        <f>VLOOKUP(B5,[4]tas!$A$2:$H$247,7,FALSE)</f>
        <v>27.07</v>
      </c>
      <c r="K5" s="10">
        <v>871000000</v>
      </c>
      <c r="L5" s="10">
        <v>0</v>
      </c>
      <c r="M5" s="10">
        <v>0</v>
      </c>
      <c r="N5" s="10">
        <f>VLOOKUP(B5,[2]Data!$B$1:$G$267,4,FALSE)</f>
        <v>18017.458938397252</v>
      </c>
      <c r="O5" s="10">
        <f>VLOOKUP(B5,[2]Data!$B$1:$G$267,5,FALSE)</f>
        <v>0</v>
      </c>
      <c r="P5" s="10">
        <f>VLOOKUP(B5,[2]Data!$B$1:$G$267,6,FALSE)</f>
        <v>0</v>
      </c>
      <c r="Q5" s="12" t="e">
        <f>VLOOKUP(B5,[5]Sheet1!$B$421:$K$628,10,FALSE)</f>
        <v>#N/A</v>
      </c>
      <c r="R5" s="12" t="e">
        <f>VLOOKUP(B5,[5]Sheet1!$B$213:$K$420,10,FALSE)</f>
        <v>#N/A</v>
      </c>
      <c r="S5" s="12" t="e">
        <f>VLOOKUP(B5,[5]Sheet1!$B$2:$K$207,10,FALSE)</f>
        <v>#N/A</v>
      </c>
      <c r="T5" s="12" t="e">
        <f>VLOOKUP(B5,[6]Sheet1!$B$421:$K$628,10,FALSE)</f>
        <v>#N/A</v>
      </c>
      <c r="U5" s="12" t="e">
        <f>VLOOKUP(B5,[6]Sheet1!$B$213:$K$420,10,FALSE)</f>
        <v>#N/A</v>
      </c>
      <c r="V5" s="12" t="e">
        <f>VLOOKUP(B5,[6]Sheet1!$B$2:$K$212,10,FALSE)</f>
        <v>#N/A</v>
      </c>
      <c r="W5" s="13">
        <v>0</v>
      </c>
      <c r="X5" s="13">
        <v>0</v>
      </c>
      <c r="Y5" s="13">
        <v>0</v>
      </c>
      <c r="Z5" s="10">
        <v>6.7151473951266301</v>
      </c>
      <c r="AA5" s="10">
        <v>28.065947477839899</v>
      </c>
      <c r="AB5" s="10">
        <v>27.510995138991198</v>
      </c>
      <c r="AC5" s="10">
        <v>27.008446487757901</v>
      </c>
      <c r="AD5" s="10">
        <v>7.1036273181427996</v>
      </c>
      <c r="AE5" s="10">
        <v>7.5503461627490998</v>
      </c>
      <c r="AF5" s="10">
        <v>8.0444777076873706</v>
      </c>
      <c r="AG5" s="10">
        <v>241.71</v>
      </c>
      <c r="AH5" s="10">
        <v>237.60499999999999</v>
      </c>
      <c r="AI5" s="12">
        <f>VLOOKUP(B5,[7]all!$A$2:$I$247,6,FALSE)</f>
        <v>82.4</v>
      </c>
      <c r="AJ5" s="12">
        <f>VLOOKUP(B5,[7]all!$A$2:$I$247,7,FALSE)</f>
        <v>82.3</v>
      </c>
      <c r="AK5" s="12">
        <f>VLOOKUP(B5,[7]all!$A$2:$I$247,8,FALSE)</f>
        <v>82.44</v>
      </c>
      <c r="AL5" s="12"/>
    </row>
    <row r="6" spans="1:38" ht="21.4" x14ac:dyDescent="1.1000000000000001">
      <c r="A6" s="10" t="s">
        <v>9</v>
      </c>
      <c r="B6" s="11" t="s">
        <v>10</v>
      </c>
      <c r="C6" s="10" t="str">
        <f>VLOOKUP(B6,'[1]who-regions'!$B$1:$D$206,3,FALSE)</f>
        <v>EUR</v>
      </c>
      <c r="D6" s="12" t="str">
        <f>VLOOKUP(B6,'[2]Metadata - Countries'!$A$1:$B$266,2,FALSE)</f>
        <v>Europe &amp; Central Asia</v>
      </c>
      <c r="E6" s="12" t="str">
        <f>VLOOKUP(B6,'[2]Metadata - Countries'!$A$1:$C$266,3,FALSE)</f>
        <v>High income</v>
      </c>
      <c r="F6" s="12"/>
      <c r="G6" s="10">
        <v>100</v>
      </c>
      <c r="H6" s="12">
        <f>VLOOKUP(B6,[4]tas!$A$2:$H$247,5,FALSE)</f>
        <v>6.04</v>
      </c>
      <c r="I6" s="12">
        <f>VLOOKUP(B6,[4]tas!$A$2:$H$247,6,FALSE)</f>
        <v>5.97</v>
      </c>
      <c r="J6" s="12">
        <f>VLOOKUP(B6,[4]tas!$A$2:$H$247,7,FALSE)</f>
        <v>5.96</v>
      </c>
      <c r="K6" s="10">
        <v>3380612573.3292155</v>
      </c>
      <c r="L6" s="10">
        <v>3785067331.762496</v>
      </c>
      <c r="M6" s="10">
        <v>4039844390.2254262</v>
      </c>
      <c r="N6" s="10">
        <f>VLOOKUP(B6,[2]Data!$B$1:$G$267,4,FALSE)</f>
        <v>42414.047986122772</v>
      </c>
      <c r="O6" s="10">
        <f>VLOOKUP(B6,[2]Data!$B$1:$G$267,5,FALSE)</f>
        <v>46812.426101310244</v>
      </c>
      <c r="P6" s="10">
        <f>VLOOKUP(B6,[2]Data!$B$1:$G$267,6,FALSE)</f>
        <v>49303.64916743357</v>
      </c>
      <c r="Q6" s="12">
        <f>VLOOKUP(B6,[5]Sheet1!$B$421:$K$628,10,FALSE)</f>
        <v>0</v>
      </c>
      <c r="R6" s="12">
        <f>VLOOKUP(B6,[5]Sheet1!$B$213:$K$420,10,FALSE)</f>
        <v>0</v>
      </c>
      <c r="S6" s="12">
        <f>VLOOKUP(B6,[5]Sheet1!$B$2:$K$207,10,FALSE)</f>
        <v>0</v>
      </c>
      <c r="T6" s="12">
        <f>VLOOKUP(B6,[6]Sheet1!$B$421:$K$628,10,FALSE)</f>
        <v>41.62</v>
      </c>
      <c r="U6" s="12">
        <f>VLOOKUP(B6,[6]Sheet1!$B$213:$K$420,10,FALSE)</f>
        <v>37.119999999999997</v>
      </c>
      <c r="V6" s="12">
        <f>VLOOKUP(B6,[6]Sheet1!$B$2:$K$212,10,FALSE)</f>
        <v>27.34</v>
      </c>
      <c r="W6" s="13">
        <v>0</v>
      </c>
      <c r="X6" s="13">
        <v>0</v>
      </c>
      <c r="Y6" s="13">
        <v>0</v>
      </c>
      <c r="Z6" s="10">
        <v>9.0802805908690107</v>
      </c>
      <c r="AA6" s="10">
        <v>12.656044162850501</v>
      </c>
      <c r="AB6" s="10">
        <v>12.2476996141288</v>
      </c>
      <c r="AC6" s="10">
        <v>11.885278413424899</v>
      </c>
      <c r="AD6" s="10">
        <v>14.9689479957343</v>
      </c>
      <c r="AE6" s="10">
        <v>15.418150786583601</v>
      </c>
      <c r="AF6" s="10">
        <v>15.9456903127384</v>
      </c>
      <c r="AG6" s="10">
        <v>169.58510638297872</v>
      </c>
      <c r="AH6" s="10">
        <v>172.03404255319148</v>
      </c>
      <c r="AI6" s="12">
        <f>VLOOKUP(B6,[7]all!$A$2:$I$247,6,FALSE)</f>
        <v>73.989999999999995</v>
      </c>
      <c r="AJ6" s="12">
        <f>VLOOKUP(B6,[7]all!$A$2:$I$247,7,FALSE)</f>
        <v>74.739999999999995</v>
      </c>
      <c r="AK6" s="12">
        <f>VLOOKUP(B6,[7]all!$A$2:$I$247,8,FALSE)</f>
        <v>74.02</v>
      </c>
      <c r="AL6" s="12"/>
    </row>
    <row r="7" spans="1:38" ht="21.4" x14ac:dyDescent="1.1000000000000001">
      <c r="A7" s="10" t="s">
        <v>11</v>
      </c>
      <c r="B7" s="11" t="s">
        <v>12</v>
      </c>
      <c r="C7" s="10" t="str">
        <f>VLOOKUP(B7,'[1]who-regions'!$B$1:$D$206,3,FALSE)</f>
        <v>AFR</v>
      </c>
      <c r="D7" s="12" t="str">
        <f>VLOOKUP(B7,'[2]Metadata - Countries'!$A$1:$B$266,2,FALSE)</f>
        <v>Sub-Saharan Africa</v>
      </c>
      <c r="E7" s="12" t="str">
        <f>VLOOKUP(B7,'[2]Metadata - Countries'!$A$1:$C$266,3,FALSE)</f>
        <v>Lower middle income</v>
      </c>
      <c r="F7" s="12"/>
      <c r="G7" s="10">
        <v>52.177275761693302</v>
      </c>
      <c r="H7" s="12">
        <f>VLOOKUP(B7,[4]tas!$A$2:$H$247,5,FALSE)</f>
        <v>23.2</v>
      </c>
      <c r="I7" s="12">
        <f>VLOOKUP(B7,[4]tas!$A$2:$H$247,6,FALSE)</f>
        <v>23.23</v>
      </c>
      <c r="J7" s="12">
        <f>VLOOKUP(B7,[4]tas!$A$2:$H$247,7,FALSE)</f>
        <v>23.29</v>
      </c>
      <c r="K7" s="10">
        <v>104399746853.40141</v>
      </c>
      <c r="L7" s="10">
        <v>84875162197.010712</v>
      </c>
      <c r="M7" s="10">
        <v>80396942241.62326</v>
      </c>
      <c r="N7" s="10">
        <f>VLOOKUP(B7,[2]Data!$B$1:$G$267,4,FALSE)</f>
        <v>3682.1131513697969</v>
      </c>
      <c r="O7" s="10">
        <f>VLOOKUP(B7,[2]Data!$B$1:$G$267,5,FALSE)</f>
        <v>2916.1366328427462</v>
      </c>
      <c r="P7" s="10">
        <f>VLOOKUP(B7,[2]Data!$B$1:$G$267,6,FALSE)</f>
        <v>2665.8744477675268</v>
      </c>
      <c r="Q7" s="12">
        <f>VLOOKUP(B7,[5]Sheet1!$B$421:$K$628,10,FALSE)</f>
        <v>0</v>
      </c>
      <c r="R7" s="12">
        <f>VLOOKUP(B7,[5]Sheet1!$B$213:$K$420,10,FALSE)</f>
        <v>0</v>
      </c>
      <c r="S7" s="12">
        <f>VLOOKUP(B7,[5]Sheet1!$B$2:$K$207,10,FALSE)</f>
        <v>0</v>
      </c>
      <c r="T7" s="12">
        <f>VLOOKUP(B7,[6]Sheet1!$B$421:$K$628,10,FALSE)</f>
        <v>0</v>
      </c>
      <c r="U7" s="12">
        <f>VLOOKUP(B7,[6]Sheet1!$B$213:$K$420,10,FALSE)</f>
        <v>0</v>
      </c>
      <c r="V7" s="12">
        <f>VLOOKUP(B7,[6]Sheet1!$B$2:$K$212,10,FALSE)</f>
        <v>0</v>
      </c>
      <c r="W7" s="13">
        <v>0</v>
      </c>
      <c r="X7" s="13">
        <v>0</v>
      </c>
      <c r="Y7" s="13">
        <v>0</v>
      </c>
      <c r="Z7" s="10">
        <v>25.1452381976267</v>
      </c>
      <c r="AA7" s="10">
        <v>44.757877143863098</v>
      </c>
      <c r="AB7" s="10">
        <v>44.572265028378602</v>
      </c>
      <c r="AC7" s="10">
        <v>44.350962751937203</v>
      </c>
      <c r="AD7" s="10">
        <v>2.7733385596515201</v>
      </c>
      <c r="AE7" s="10">
        <v>2.8114493680609698</v>
      </c>
      <c r="AF7" s="10">
        <v>2.8524211922448801</v>
      </c>
      <c r="AG7" s="10">
        <v>28.583483596695274</v>
      </c>
      <c r="AH7" s="10">
        <v>29.477746049570868</v>
      </c>
      <c r="AI7" s="12">
        <f>VLOOKUP(B7,[7]all!$A$2:$I$247,6,FALSE)</f>
        <v>60.14</v>
      </c>
      <c r="AJ7" s="12">
        <f>VLOOKUP(B7,[7]all!$A$2:$I$247,7,FALSE)</f>
        <v>59.78</v>
      </c>
      <c r="AK7" s="12">
        <f>VLOOKUP(B7,[7]all!$A$2:$I$247,8,FALSE)</f>
        <v>59.98</v>
      </c>
      <c r="AL7" s="12"/>
    </row>
    <row r="8" spans="1:38" ht="21.4" x14ac:dyDescent="1.1000000000000001">
      <c r="A8" s="10" t="s">
        <v>13</v>
      </c>
      <c r="B8" s="11" t="s">
        <v>14</v>
      </c>
      <c r="C8" s="10" t="str">
        <f>VLOOKUP(B8,'[1]who-regions'!$B$1:$D$206,3,FALSE)</f>
        <v>AMR</v>
      </c>
      <c r="D8" s="12" t="str">
        <f>VLOOKUP(B8,'[2]Metadata - Countries'!$A$1:$B$266,2,FALSE)</f>
        <v>Latin America &amp; Caribbean</v>
      </c>
      <c r="E8" s="12" t="str">
        <f>VLOOKUP(B8,'[2]Metadata - Countries'!$A$1:$C$266,3,FALSE)</f>
        <v>High income</v>
      </c>
      <c r="F8" s="12"/>
      <c r="G8" s="10">
        <v>97.403718511033006</v>
      </c>
      <c r="H8" s="12">
        <f>VLOOKUP(B8,[4]tas!$A$2:$H$247,5,FALSE)</f>
        <v>26.52</v>
      </c>
      <c r="I8" s="12">
        <f>VLOOKUP(B8,[4]tas!$A$2:$H$247,6,FALSE)</f>
        <v>26.56</v>
      </c>
      <c r="J8" s="12">
        <f>VLOOKUP(B8,[4]tas!$A$2:$H$247,7,FALSE)</f>
        <v>26.61</v>
      </c>
      <c r="K8" s="10">
        <v>1866566666.6666665</v>
      </c>
      <c r="L8" s="10">
        <v>2005785185.185185</v>
      </c>
      <c r="M8" s="10">
        <v>2224814814.8148146</v>
      </c>
      <c r="N8" s="10">
        <f>VLOOKUP(B8,[2]Data!$B$1:$G$267,4,FALSE)</f>
        <v>20105.198908516442</v>
      </c>
      <c r="O8" s="10">
        <f>VLOOKUP(B8,[2]Data!$B$1:$G$267,5,FALSE)</f>
        <v>21494.547400072708</v>
      </c>
      <c r="P8" s="10">
        <f>VLOOKUP(B8,[2]Data!$B$1:$G$267,6,FALSE)</f>
        <v>23542.452694557796</v>
      </c>
      <c r="Q8" s="12">
        <f>VLOOKUP(B8,[5]Sheet1!$B$421:$K$628,10,FALSE)</f>
        <v>0</v>
      </c>
      <c r="R8" s="12">
        <f>VLOOKUP(B8,[5]Sheet1!$B$213:$K$420,10,FALSE)</f>
        <v>0</v>
      </c>
      <c r="S8" s="12">
        <f>VLOOKUP(B8,[5]Sheet1!$B$2:$K$207,10,FALSE)</f>
        <v>0</v>
      </c>
      <c r="T8" s="12">
        <f>VLOOKUP(B8,[6]Sheet1!$B$421:$K$628,10,FALSE)</f>
        <v>0</v>
      </c>
      <c r="U8" s="12">
        <f>VLOOKUP(B8,[6]Sheet1!$B$213:$K$420,10,FALSE)</f>
        <v>0</v>
      </c>
      <c r="V8" s="12">
        <f>VLOOKUP(B8,[6]Sheet1!$B$2:$K$212,10,FALSE)</f>
        <v>0</v>
      </c>
      <c r="W8" s="13">
        <v>0</v>
      </c>
      <c r="X8" s="13">
        <v>0</v>
      </c>
      <c r="Y8" s="13">
        <v>0</v>
      </c>
      <c r="Z8" s="10">
        <v>19.6982695582914</v>
      </c>
      <c r="AA8" s="10">
        <v>18.5733520034468</v>
      </c>
      <c r="AB8" s="10">
        <v>18.217230792312101</v>
      </c>
      <c r="AC8" s="10">
        <v>17.799651279973101</v>
      </c>
      <c r="AD8" s="10">
        <v>10.728672985782</v>
      </c>
      <c r="AE8" s="10">
        <v>11.2387545477439</v>
      </c>
      <c r="AF8" s="10">
        <v>11.7844974219246</v>
      </c>
      <c r="AG8" s="10">
        <v>211</v>
      </c>
      <c r="AH8" s="10">
        <v>212.08181818181819</v>
      </c>
      <c r="AI8" s="12">
        <f>VLOOKUP(B8,[7]all!$A$2:$I$247,6,FALSE)</f>
        <v>80.040000000000006</v>
      </c>
      <c r="AJ8" s="12">
        <f>VLOOKUP(B8,[7]all!$A$2:$I$247,7,FALSE)</f>
        <v>80.09</v>
      </c>
      <c r="AK8" s="12">
        <f>VLOOKUP(B8,[7]all!$A$2:$I$247,8,FALSE)</f>
        <v>79.98</v>
      </c>
      <c r="AL8" s="12"/>
    </row>
    <row r="9" spans="1:38" ht="21.4" x14ac:dyDescent="1.1000000000000001">
      <c r="A9" s="10" t="s">
        <v>15</v>
      </c>
      <c r="B9" s="11" t="s">
        <v>16</v>
      </c>
      <c r="C9" s="10" t="str">
        <f>VLOOKUP(B9,'[1]who-regions'!$B$1:$D$206,3,FALSE)</f>
        <v>AMR</v>
      </c>
      <c r="D9" s="12" t="str">
        <f>VLOOKUP(B9,'[2]Metadata - Countries'!$A$1:$B$266,2,FALSE)</f>
        <v>Latin America &amp; Caribbean</v>
      </c>
      <c r="E9" s="12" t="str">
        <f>VLOOKUP(B9,'[2]Metadata - Countries'!$A$1:$C$266,3,FALSE)</f>
        <v>Upper middle income</v>
      </c>
      <c r="F9" s="12"/>
      <c r="G9" s="10">
        <v>0</v>
      </c>
      <c r="H9" s="12">
        <f>VLOOKUP(B9,[4]tas!$A$2:$H$247,5,FALSE)</f>
        <v>15.52</v>
      </c>
      <c r="I9" s="12">
        <f>VLOOKUP(B9,[4]tas!$A$2:$H$247,6,FALSE)</f>
        <v>15.52</v>
      </c>
      <c r="J9" s="12">
        <f>VLOOKUP(B9,[4]tas!$A$2:$H$247,7,FALSE)</f>
        <v>15.65</v>
      </c>
      <c r="K9" s="10">
        <v>632790070063.12366</v>
      </c>
      <c r="L9" s="10">
        <v>646075277525.12451</v>
      </c>
      <c r="M9" s="10">
        <v>633266692533.68945</v>
      </c>
      <c r="N9" s="10">
        <f>VLOOKUP(B9,[2]Data!$B$1:$G$267,4,FALSE)</f>
        <v>13962.189408722319</v>
      </c>
      <c r="O9" s="10">
        <f>VLOOKUP(B9,[2]Data!$B$1:$G$267,5,FALSE)</f>
        <v>14261.846566794789</v>
      </c>
      <c r="P9" s="10">
        <f>VLOOKUP(B9,[2]Data!$B$1:$G$267,6,FALSE)</f>
        <v>13969.78366037374</v>
      </c>
      <c r="Q9" s="12">
        <f>VLOOKUP(B9,[5]Sheet1!$B$421:$K$628,10,FALSE)</f>
        <v>0</v>
      </c>
      <c r="R9" s="12">
        <f>VLOOKUP(B9,[5]Sheet1!$B$213:$K$420,10,FALSE)</f>
        <v>0</v>
      </c>
      <c r="S9" s="12">
        <f>VLOOKUP(B9,[5]Sheet1!$B$2:$K$207,10,FALSE)</f>
        <v>0</v>
      </c>
      <c r="T9" s="12">
        <f>VLOOKUP(B9,[6]Sheet1!$B$421:$K$628,10,FALSE)</f>
        <v>75.849999999999994</v>
      </c>
      <c r="U9" s="12">
        <f>VLOOKUP(B9,[6]Sheet1!$B$213:$K$420,10,FALSE)</f>
        <v>12.19</v>
      </c>
      <c r="V9" s="12">
        <f>VLOOKUP(B9,[6]Sheet1!$B$2:$K$212,10,FALSE)</f>
        <v>0</v>
      </c>
      <c r="W9" s="13">
        <v>0</v>
      </c>
      <c r="X9" s="13">
        <v>0</v>
      </c>
      <c r="Y9" s="13">
        <v>0</v>
      </c>
      <c r="Z9" s="10">
        <v>14.9081737974407</v>
      </c>
      <c r="AA9" s="10">
        <v>22.7507462136988</v>
      </c>
      <c r="AB9" s="10">
        <v>22.190657287242001</v>
      </c>
      <c r="AC9" s="10">
        <v>21.603942685861199</v>
      </c>
      <c r="AD9" s="10">
        <v>12.034080013911201</v>
      </c>
      <c r="AE9" s="10">
        <v>12.2030217969226</v>
      </c>
      <c r="AF9" s="10">
        <v>12.4160041547474</v>
      </c>
      <c r="AG9" s="10">
        <v>16.592271685868695</v>
      </c>
      <c r="AH9" s="10">
        <v>16.639955932166231</v>
      </c>
      <c r="AI9" s="12">
        <f>VLOOKUP(B9,[7]all!$A$2:$I$247,6,FALSE)</f>
        <v>58.82</v>
      </c>
      <c r="AJ9" s="12">
        <f>VLOOKUP(B9,[7]all!$A$2:$I$247,7,FALSE)</f>
        <v>58.82</v>
      </c>
      <c r="AK9" s="12">
        <f>VLOOKUP(B9,[7]all!$A$2:$I$247,8,FALSE)</f>
        <v>58.14</v>
      </c>
      <c r="AL9" s="12">
        <v>113132.4</v>
      </c>
    </row>
    <row r="10" spans="1:38" ht="21.4" x14ac:dyDescent="1.1000000000000001">
      <c r="A10" s="10" t="s">
        <v>17</v>
      </c>
      <c r="B10" s="11" t="s">
        <v>18</v>
      </c>
      <c r="C10" s="10" t="str">
        <f>VLOOKUP(B10,'[1]who-regions'!$B$1:$D$206,3,FALSE)</f>
        <v>EUR</v>
      </c>
      <c r="D10" s="12" t="str">
        <f>VLOOKUP(B10,'[2]Metadata - Countries'!$A$1:$B$266,2,FALSE)</f>
        <v>Europe &amp; Central Asia</v>
      </c>
      <c r="E10" s="12" t="str">
        <f>VLOOKUP(B10,'[2]Metadata - Countries'!$A$1:$C$266,3,FALSE)</f>
        <v>Upper middle income</v>
      </c>
      <c r="F10" s="12"/>
      <c r="G10" s="10">
        <v>93.979714156554707</v>
      </c>
      <c r="H10" s="12">
        <f>VLOOKUP(B10,[4]tas!$A$2:$H$247,5,FALSE)</f>
        <v>7.59</v>
      </c>
      <c r="I10" s="12">
        <f>VLOOKUP(B10,[4]tas!$A$2:$H$247,6,FALSE)</f>
        <v>7.58</v>
      </c>
      <c r="J10" s="12">
        <f>VLOOKUP(B10,[4]tas!$A$2:$H$247,7,FALSE)</f>
        <v>7.75</v>
      </c>
      <c r="K10" s="10">
        <v>19513506553.125072</v>
      </c>
      <c r="L10" s="10">
        <v>24085749592.335915</v>
      </c>
      <c r="M10" s="10">
        <v>25786585949.634609</v>
      </c>
      <c r="N10" s="10">
        <f>VLOOKUP(B10,[2]Data!$B$1:$G$267,4,FALSE)</f>
        <v>6571.974455450988</v>
      </c>
      <c r="O10" s="10">
        <f>VLOOKUP(B10,[2]Data!$B$1:$G$267,5,FALSE)</f>
        <v>8159.0872096799585</v>
      </c>
      <c r="P10" s="10">
        <f>VLOOKUP(B10,[2]Data!$B$1:$G$267,6,FALSE)</f>
        <v>8556.2140695671933</v>
      </c>
      <c r="Q10" s="12">
        <f>VLOOKUP(B10,[5]Sheet1!$B$421:$K$628,10,FALSE)</f>
        <v>0</v>
      </c>
      <c r="R10" s="12">
        <f>VLOOKUP(B10,[5]Sheet1!$B$213:$K$420,10,FALSE)</f>
        <v>0</v>
      </c>
      <c r="S10" s="12">
        <f>VLOOKUP(B10,[5]Sheet1!$B$2:$K$207,10,FALSE)</f>
        <v>0</v>
      </c>
      <c r="T10" s="12">
        <f>VLOOKUP(B10,[6]Sheet1!$B$421:$K$628,10,FALSE)</f>
        <v>17.3</v>
      </c>
      <c r="U10" s="12">
        <f>VLOOKUP(B10,[6]Sheet1!$B$213:$K$420,10,FALSE)</f>
        <v>18.100000000000001</v>
      </c>
      <c r="V10" s="12">
        <f>VLOOKUP(B10,[6]Sheet1!$B$2:$K$212,10,FALSE)</f>
        <v>20.13</v>
      </c>
      <c r="W10" s="13">
        <v>98.477920532226605</v>
      </c>
      <c r="X10" s="13">
        <v>0</v>
      </c>
      <c r="Y10" s="13">
        <v>0</v>
      </c>
      <c r="Z10" s="10">
        <v>30.5796334750125</v>
      </c>
      <c r="AA10" s="10">
        <v>19.862562565637599</v>
      </c>
      <c r="AB10" s="10">
        <v>19.545334245206099</v>
      </c>
      <c r="AC10" s="10">
        <v>19.237077442451898</v>
      </c>
      <c r="AD10" s="10">
        <v>12.9151582271286</v>
      </c>
      <c r="AE10" s="10">
        <v>13.2110458915952</v>
      </c>
      <c r="AF10" s="10">
        <v>13.7027691969357</v>
      </c>
      <c r="AG10" s="10">
        <v>105.29705315777677</v>
      </c>
      <c r="AH10" s="10">
        <v>105.11910874825884</v>
      </c>
      <c r="AI10" s="12">
        <f>VLOOKUP(B10,[7]all!$A$2:$I$247,6,FALSE)</f>
        <v>69.540000000000006</v>
      </c>
      <c r="AJ10" s="12">
        <f>VLOOKUP(B10,[7]all!$A$2:$I$247,7,FALSE)</f>
        <v>69.400000000000006</v>
      </c>
      <c r="AK10" s="12">
        <f>VLOOKUP(B10,[7]all!$A$2:$I$247,8,FALSE)</f>
        <v>69.62</v>
      </c>
      <c r="AL10" s="12"/>
    </row>
    <row r="11" spans="1:38" ht="21.4" x14ac:dyDescent="1.1000000000000001">
      <c r="A11" s="10" t="s">
        <v>19</v>
      </c>
      <c r="B11" s="11" t="s">
        <v>20</v>
      </c>
      <c r="C11" s="10" t="s">
        <v>487</v>
      </c>
      <c r="D11" s="12" t="str">
        <f>VLOOKUP(B11,'[2]Metadata - Countries'!$A$1:$B$266,2,FALSE)</f>
        <v>Latin America &amp; Caribbean</v>
      </c>
      <c r="E11" s="12" t="str">
        <f>VLOOKUP(B11,'[2]Metadata - Countries'!$A$1:$C$266,3,FALSE)</f>
        <v>High income</v>
      </c>
      <c r="F11" s="12"/>
      <c r="G11" s="10">
        <v>98.840001715131095</v>
      </c>
      <c r="H11" s="12">
        <f>VLOOKUP(B11,[4]tas!$A$2:$H$247,5,FALSE)</f>
        <v>27.11</v>
      </c>
      <c r="I11" s="12">
        <f>VLOOKUP(B11,[4]tas!$A$2:$H$247,6,FALSE)</f>
        <v>27.07</v>
      </c>
      <c r="J11" s="12">
        <f>VLOOKUP(B11,[4]tas!$A$2:$H$247,7,FALSE)</f>
        <v>27.13</v>
      </c>
      <c r="K11" s="10">
        <v>3279343543.604156</v>
      </c>
      <c r="L11" s="10">
        <v>3648573136.1515474</v>
      </c>
      <c r="M11" s="10">
        <v>0</v>
      </c>
      <c r="N11" s="10">
        <f>VLOOKUP(B11,[2]Data!$B$1:$G$267,4,FALSE)</f>
        <v>30975.9989121779</v>
      </c>
      <c r="O11" s="10">
        <f>VLOOKUP(B11,[2]Data!$B$1:$G$267,5,FALSE)</f>
        <v>35718.753119163441</v>
      </c>
      <c r="P11" s="10">
        <f>VLOOKUP(B11,[2]Data!$B$1:$G$267,6,FALSE)</f>
        <v>39498.594129379671</v>
      </c>
      <c r="Q11" s="12">
        <f>VLOOKUP(B11,[5]Sheet1!$B$421:$K$628,10,FALSE)</f>
        <v>0</v>
      </c>
      <c r="R11" s="12">
        <f>VLOOKUP(B11,[5]Sheet1!$B$213:$K$420,10,FALSE)</f>
        <v>0</v>
      </c>
      <c r="S11" s="12">
        <f>VLOOKUP(B11,[5]Sheet1!$B$2:$K$207,10,FALSE)</f>
        <v>0</v>
      </c>
      <c r="T11" s="12">
        <f>VLOOKUP(B11,[6]Sheet1!$B$421:$K$628,10,FALSE)</f>
        <v>0</v>
      </c>
      <c r="U11" s="12">
        <f>VLOOKUP(B11,[6]Sheet1!$B$213:$K$420,10,FALSE)</f>
        <v>0</v>
      </c>
      <c r="V11" s="12">
        <f>VLOOKUP(B11,[6]Sheet1!$B$2:$K$212,10,FALSE)</f>
        <v>0</v>
      </c>
      <c r="W11" s="13">
        <v>0</v>
      </c>
      <c r="X11" s="13">
        <v>0</v>
      </c>
      <c r="Y11" s="13">
        <v>0</v>
      </c>
      <c r="Z11" s="10">
        <v>0</v>
      </c>
      <c r="AA11" s="10">
        <v>17.5446735076358</v>
      </c>
      <c r="AB11" s="10">
        <v>17.185249007536701</v>
      </c>
      <c r="AC11" s="10">
        <v>16.844876486945399</v>
      </c>
      <c r="AD11" s="10">
        <v>15.7002096825073</v>
      </c>
      <c r="AE11" s="10">
        <v>16.369043483094501</v>
      </c>
      <c r="AF11" s="10">
        <v>17.056322323035602</v>
      </c>
      <c r="AG11" s="10">
        <v>596.16666666666663</v>
      </c>
      <c r="AH11" s="10">
        <v>596.43888888888887</v>
      </c>
      <c r="AI11" s="12">
        <f>VLOOKUP(B11,[7]all!$A$2:$I$247,6,FALSE)</f>
        <v>84.21</v>
      </c>
      <c r="AJ11" s="12">
        <f>VLOOKUP(B11,[7]all!$A$2:$I$247,7,FALSE)</f>
        <v>84.23</v>
      </c>
      <c r="AK11" s="12">
        <f>VLOOKUP(B11,[7]all!$A$2:$I$247,8,FALSE)</f>
        <v>84.25</v>
      </c>
      <c r="AL11" s="12"/>
    </row>
    <row r="12" spans="1:38" ht="21.4" x14ac:dyDescent="1.1000000000000001">
      <c r="A12" s="10" t="s">
        <v>21</v>
      </c>
      <c r="B12" s="11" t="s">
        <v>22</v>
      </c>
      <c r="C12" s="10" t="str">
        <f>VLOOKUP(B12,'[1]who-regions'!$B$1:$D$206,3,FALSE)</f>
        <v>WPR</v>
      </c>
      <c r="D12" s="12" t="str">
        <f>VLOOKUP(B12,'[2]Metadata - Countries'!$A$1:$B$266,2,FALSE)</f>
        <v>East Asia &amp; Pacific</v>
      </c>
      <c r="E12" s="12" t="str">
        <f>VLOOKUP(B12,'[2]Metadata - Countries'!$A$1:$C$266,3,FALSE)</f>
        <v>High income</v>
      </c>
      <c r="F12" s="12"/>
      <c r="G12" s="10">
        <v>100</v>
      </c>
      <c r="H12" s="12">
        <f>VLOOKUP(B12,[4]tas!$A$2:$H$247,5,FALSE)</f>
        <v>22.83</v>
      </c>
      <c r="I12" s="12">
        <f>VLOOKUP(B12,[4]tas!$A$2:$H$247,6,FALSE)</f>
        <v>22.86</v>
      </c>
      <c r="J12" s="12">
        <f>VLOOKUP(B12,[4]tas!$A$2:$H$247,7,FALSE)</f>
        <v>22.94</v>
      </c>
      <c r="K12" s="10">
        <v>1690858246994.4341</v>
      </c>
      <c r="L12" s="10">
        <v>1728057316695.6077</v>
      </c>
      <c r="M12" s="10">
        <v>1752193307380.3433</v>
      </c>
      <c r="N12" s="10">
        <f>VLOOKUP(B12,[2]Data!$B$1:$G$267,4,FALSE)</f>
        <v>65169.519111865666</v>
      </c>
      <c r="O12" s="10">
        <f>VLOOKUP(B12,[2]Data!$B$1:$G$267,5,FALSE)</f>
        <v>65058.37731466737</v>
      </c>
      <c r="P12" s="10">
        <f>VLOOKUP(B12,[2]Data!$B$1:$G$267,6,FALSE)</f>
        <v>64603.985630846415</v>
      </c>
      <c r="Q12" s="12">
        <f>VLOOKUP(B12,[5]Sheet1!$B$421:$K$628,10,FALSE)</f>
        <v>0</v>
      </c>
      <c r="R12" s="12">
        <f>VLOOKUP(B12,[5]Sheet1!$B$213:$K$420,10,FALSE)</f>
        <v>0</v>
      </c>
      <c r="S12" s="12">
        <f>VLOOKUP(B12,[5]Sheet1!$B$2:$K$207,10,FALSE)</f>
        <v>0</v>
      </c>
      <c r="T12" s="12">
        <f>VLOOKUP(B12,[6]Sheet1!$B$421:$K$628,10,FALSE)</f>
        <v>0</v>
      </c>
      <c r="U12" s="12">
        <f>VLOOKUP(B12,[6]Sheet1!$B$213:$K$420,10,FALSE)</f>
        <v>0</v>
      </c>
      <c r="V12" s="12">
        <f>VLOOKUP(B12,[6]Sheet1!$B$2:$K$212,10,FALSE)</f>
        <v>61.1</v>
      </c>
      <c r="W12" s="13">
        <v>0</v>
      </c>
      <c r="X12" s="13">
        <v>0</v>
      </c>
      <c r="Y12" s="13">
        <v>0</v>
      </c>
      <c r="Z12" s="10">
        <v>8.2517174607081092</v>
      </c>
      <c r="AA12" s="10">
        <v>18.2355418743903</v>
      </c>
      <c r="AB12" s="10">
        <v>18.030282947522402</v>
      </c>
      <c r="AC12" s="10">
        <v>17.841848254449399</v>
      </c>
      <c r="AD12" s="10">
        <v>17.075032046982798</v>
      </c>
      <c r="AE12" s="10">
        <v>17.384024966198002</v>
      </c>
      <c r="AF12" s="10">
        <v>17.730015922836699</v>
      </c>
      <c r="AG12" s="10">
        <v>3.3819983567385421</v>
      </c>
      <c r="AH12" s="10">
        <v>3.4649906006484641</v>
      </c>
      <c r="AI12" s="12">
        <f>VLOOKUP(B12,[7]all!$A$2:$I$247,6,FALSE)</f>
        <v>47.17</v>
      </c>
      <c r="AJ12" s="12">
        <f>VLOOKUP(B12,[7]all!$A$2:$I$247,7,FALSE)</f>
        <v>47.01</v>
      </c>
      <c r="AK12" s="12">
        <f>VLOOKUP(B12,[7]all!$A$2:$I$247,8,FALSE)</f>
        <v>46.84</v>
      </c>
      <c r="AL12" s="15">
        <v>309626</v>
      </c>
    </row>
    <row r="13" spans="1:38" ht="21.4" x14ac:dyDescent="1.1000000000000001">
      <c r="A13" s="10" t="s">
        <v>23</v>
      </c>
      <c r="B13" s="11" t="s">
        <v>24</v>
      </c>
      <c r="C13" s="10" t="str">
        <f>VLOOKUP(B13,'[1]who-regions'!$B$1:$D$206,3,FALSE)</f>
        <v>EUR</v>
      </c>
      <c r="D13" s="12" t="str">
        <f>VLOOKUP(B13,'[2]Metadata - Countries'!$A$1:$B$266,2,FALSE)</f>
        <v>Europe &amp; Central Asia</v>
      </c>
      <c r="E13" s="12" t="str">
        <f>VLOOKUP(B13,'[2]Metadata - Countries'!$A$1:$C$266,3,FALSE)</f>
        <v>High income</v>
      </c>
      <c r="F13" s="12"/>
      <c r="G13" s="10">
        <v>99.972367117422095</v>
      </c>
      <c r="H13" s="12">
        <f>VLOOKUP(B13,[4]tas!$A$2:$H$247,5,FALSE)</f>
        <v>7.62</v>
      </c>
      <c r="I13" s="12">
        <f>VLOOKUP(B13,[4]tas!$A$2:$H$247,6,FALSE)</f>
        <v>7.53</v>
      </c>
      <c r="J13" s="12">
        <f>VLOOKUP(B13,[4]tas!$A$2:$H$247,7,FALSE)</f>
        <v>7.47</v>
      </c>
      <c r="K13" s="10">
        <v>471773629830.38123</v>
      </c>
      <c r="L13" s="10">
        <v>511685203845.00122</v>
      </c>
      <c r="M13" s="10">
        <v>521642466921.74524</v>
      </c>
      <c r="N13" s="10">
        <f>VLOOKUP(B13,[2]Data!$B$1:$G$267,4,FALSE)</f>
        <v>52336.772522375766</v>
      </c>
      <c r="O13" s="10">
        <f>VLOOKUP(B13,[2]Data!$B$1:$G$267,5,FALSE)</f>
        <v>56579.504175467991</v>
      </c>
      <c r="P13" s="10">
        <f>VLOOKUP(B13,[2]Data!$B$1:$G$267,6,FALSE)</f>
        <v>58268.878765160116</v>
      </c>
      <c r="Q13" s="12">
        <f>VLOOKUP(B13,[5]Sheet1!$B$421:$K$628,10,FALSE)</f>
        <v>0</v>
      </c>
      <c r="R13" s="12">
        <f>VLOOKUP(B13,[5]Sheet1!$B$213:$K$420,10,FALSE)</f>
        <v>0</v>
      </c>
      <c r="S13" s="12">
        <f>VLOOKUP(B13,[5]Sheet1!$B$2:$K$207,10,FALSE)</f>
        <v>0</v>
      </c>
      <c r="T13" s="12">
        <f>VLOOKUP(B13,[6]Sheet1!$B$421:$K$628,10,FALSE)</f>
        <v>0</v>
      </c>
      <c r="U13" s="12">
        <f>VLOOKUP(B13,[6]Sheet1!$B$213:$K$420,10,FALSE)</f>
        <v>23.46</v>
      </c>
      <c r="V13" s="12">
        <f>VLOOKUP(B13,[6]Sheet1!$B$2:$K$212,10,FALSE)</f>
        <v>0</v>
      </c>
      <c r="W13" s="13">
        <v>0</v>
      </c>
      <c r="X13" s="13">
        <v>0</v>
      </c>
      <c r="Y13" s="13">
        <v>0</v>
      </c>
      <c r="Z13" s="10">
        <v>10.933513681514601</v>
      </c>
      <c r="AA13" s="10">
        <v>14.346153757050599</v>
      </c>
      <c r="AB13" s="10">
        <v>14.302635725002601</v>
      </c>
      <c r="AC13" s="10">
        <v>14.228002481796301</v>
      </c>
      <c r="AD13" s="10">
        <v>19.7897509199721</v>
      </c>
      <c r="AE13" s="10">
        <v>20.164019675307699</v>
      </c>
      <c r="AF13" s="10">
        <v>20.606403179190298</v>
      </c>
      <c r="AG13" s="10">
        <v>109.57163111972855</v>
      </c>
      <c r="AH13" s="10">
        <v>110.66118516723219</v>
      </c>
      <c r="AI13" s="12">
        <f>VLOOKUP(B13,[7]all!$A$2:$I$247,6,FALSE)</f>
        <v>77.150000000000006</v>
      </c>
      <c r="AJ13" s="12">
        <f>VLOOKUP(B13,[7]all!$A$2:$I$247,7,FALSE)</f>
        <v>77.28</v>
      </c>
      <c r="AK13" s="12">
        <f>VLOOKUP(B13,[7]all!$A$2:$I$247,8,FALSE)</f>
        <v>77.08</v>
      </c>
      <c r="AL13" s="12"/>
    </row>
    <row r="14" spans="1:38" ht="21.4" x14ac:dyDescent="1.1000000000000001">
      <c r="A14" s="10" t="s">
        <v>25</v>
      </c>
      <c r="B14" s="11" t="s">
        <v>26</v>
      </c>
      <c r="C14" s="10" t="str">
        <f>VLOOKUP(B14,'[1]who-regions'!$B$1:$D$206,3,FALSE)</f>
        <v>EUR</v>
      </c>
      <c r="D14" s="12" t="str">
        <f>VLOOKUP(B14,'[2]Metadata - Countries'!$A$1:$B$266,2,FALSE)</f>
        <v>Europe &amp; Central Asia</v>
      </c>
      <c r="E14" s="12" t="str">
        <f>VLOOKUP(B14,'[2]Metadata - Countries'!$A$1:$C$266,3,FALSE)</f>
        <v>Upper middle income</v>
      </c>
      <c r="F14" s="12"/>
      <c r="G14" s="10">
        <v>0</v>
      </c>
      <c r="H14" s="12">
        <f>VLOOKUP(B14,[4]tas!$A$2:$H$247,5,FALSE)</f>
        <v>13.13</v>
      </c>
      <c r="I14" s="12">
        <f>VLOOKUP(B14,[4]tas!$A$2:$H$247,6,FALSE)</f>
        <v>13.09</v>
      </c>
      <c r="J14" s="12">
        <f>VLOOKUP(B14,[4]tas!$A$2:$H$247,7,FALSE)</f>
        <v>13.24</v>
      </c>
      <c r="K14" s="10">
        <v>78807470588.235306</v>
      </c>
      <c r="L14" s="10">
        <v>72428470588.235291</v>
      </c>
      <c r="M14" s="10">
        <v>74315882352.941177</v>
      </c>
      <c r="N14" s="10">
        <f>VLOOKUP(B14,[2]Data!$B$1:$G$267,4,FALSE)</f>
        <v>7770.5942233509959</v>
      </c>
      <c r="O14" s="10">
        <f>VLOOKUP(B14,[2]Data!$B$1:$G$267,5,FALSE)</f>
        <v>7133.0283804832843</v>
      </c>
      <c r="P14" s="10">
        <f>VLOOKUP(B14,[2]Data!$B$1:$G$267,6,FALSE)</f>
        <v>7283.8499076179041</v>
      </c>
      <c r="Q14" s="12">
        <f>VLOOKUP(B14,[5]Sheet1!$B$421:$K$628,10,FALSE)</f>
        <v>0</v>
      </c>
      <c r="R14" s="12">
        <f>VLOOKUP(B14,[5]Sheet1!$B$213:$K$420,10,FALSE)</f>
        <v>0</v>
      </c>
      <c r="S14" s="12">
        <f>VLOOKUP(B14,[5]Sheet1!$B$2:$K$207,10,FALSE)</f>
        <v>0</v>
      </c>
      <c r="T14" s="12">
        <f>VLOOKUP(B14,[6]Sheet1!$B$421:$K$628,10,FALSE)</f>
        <v>0.52</v>
      </c>
      <c r="U14" s="12">
        <f>VLOOKUP(B14,[6]Sheet1!$B$213:$K$420,10,FALSE)</f>
        <v>0.44</v>
      </c>
      <c r="V14" s="12">
        <f>VLOOKUP(B14,[6]Sheet1!$B$2:$K$212,10,FALSE)</f>
        <v>0.36</v>
      </c>
      <c r="W14" s="13">
        <v>99.041633605957003</v>
      </c>
      <c r="X14" s="13">
        <v>99.337730407714801</v>
      </c>
      <c r="Y14" s="13">
        <v>0</v>
      </c>
      <c r="Z14" s="10">
        <v>21.726999975659901</v>
      </c>
      <c r="AA14" s="10">
        <v>22.797602673995801</v>
      </c>
      <c r="AB14" s="10">
        <v>22.344439300355202</v>
      </c>
      <c r="AC14" s="10">
        <v>21.811634460245699</v>
      </c>
      <c r="AD14" s="10">
        <v>7.5265140300859503</v>
      </c>
      <c r="AE14" s="10">
        <v>8.0105487319647697</v>
      </c>
      <c r="AF14" s="10">
        <v>8.5557671289167008</v>
      </c>
      <c r="AG14" s="10">
        <v>122.70727162734423</v>
      </c>
      <c r="AH14" s="10">
        <v>122.85490623109497</v>
      </c>
      <c r="AI14" s="12">
        <f>VLOOKUP(B14,[7]all!$A$2:$I$247,6,FALSE)</f>
        <v>68.599999999999994</v>
      </c>
      <c r="AJ14" s="12">
        <f>VLOOKUP(B14,[7]all!$A$2:$I$247,7,FALSE)</f>
        <v>68.430000000000007</v>
      </c>
      <c r="AK14" s="12">
        <f>VLOOKUP(B14,[7]all!$A$2:$I$247,8,FALSE)</f>
        <v>68.73</v>
      </c>
      <c r="AL14" s="15">
        <v>17778</v>
      </c>
    </row>
    <row r="15" spans="1:38" ht="21.4" x14ac:dyDescent="1.1000000000000001">
      <c r="A15" s="10" t="s">
        <v>27</v>
      </c>
      <c r="B15" s="11" t="s">
        <v>28</v>
      </c>
      <c r="C15" s="10" t="str">
        <f>VLOOKUP(B15,'[1]who-regions'!$B$1:$D$206,3,FALSE)</f>
        <v>AMR</v>
      </c>
      <c r="D15" s="12" t="str">
        <f>VLOOKUP(B15,'[2]Metadata - Countries'!$A$1:$B$266,2,FALSE)</f>
        <v>Latin America &amp; Caribbean</v>
      </c>
      <c r="E15" s="12" t="str">
        <f>VLOOKUP(B15,'[2]Metadata - Countries'!$A$1:$C$266,3,FALSE)</f>
        <v>High income</v>
      </c>
      <c r="F15" s="12"/>
      <c r="G15" s="10">
        <v>0</v>
      </c>
      <c r="H15" s="12">
        <f>VLOOKUP(B15,[4]tas!$A$2:$H$247,5,FALSE)</f>
        <v>25.84</v>
      </c>
      <c r="I15" s="12">
        <f>VLOOKUP(B15,[4]tas!$A$2:$H$247,6,FALSE)</f>
        <v>25.88</v>
      </c>
      <c r="J15" s="12">
        <f>VLOOKUP(B15,[4]tas!$A$2:$H$247,7,FALSE)</f>
        <v>25.89</v>
      </c>
      <c r="K15" s="10">
        <v>13896800000</v>
      </c>
      <c r="L15" s="10">
        <v>15271300000</v>
      </c>
      <c r="M15" s="10">
        <v>15832800000</v>
      </c>
      <c r="N15" s="10">
        <f>VLOOKUP(B15,[2]Data!$B$1:$G$267,4,FALSE)</f>
        <v>34957.161327973678</v>
      </c>
      <c r="O15" s="10">
        <f>VLOOKUP(B15,[2]Data!$B$1:$G$267,5,FALSE)</f>
        <v>38231.774484277987</v>
      </c>
      <c r="P15" s="10">
        <f>VLOOKUP(B15,[2]Data!$B$1:$G$267,6,FALSE)</f>
        <v>39455.446654854553</v>
      </c>
      <c r="Q15" s="12">
        <f>VLOOKUP(B15,[5]Sheet1!$B$421:$K$628,10,FALSE)</f>
        <v>0</v>
      </c>
      <c r="R15" s="12">
        <f>VLOOKUP(B15,[5]Sheet1!$B$213:$K$420,10,FALSE)</f>
        <v>0</v>
      </c>
      <c r="S15" s="12">
        <f>VLOOKUP(B15,[5]Sheet1!$B$2:$K$207,10,FALSE)</f>
        <v>0</v>
      </c>
      <c r="T15" s="12">
        <f>VLOOKUP(B15,[6]Sheet1!$B$421:$K$628,10,FALSE)</f>
        <v>0</v>
      </c>
      <c r="U15" s="12">
        <f>VLOOKUP(B15,[6]Sheet1!$B$213:$K$420,10,FALSE)</f>
        <v>0</v>
      </c>
      <c r="V15" s="12">
        <f>VLOOKUP(B15,[6]Sheet1!$B$2:$K$212,10,FALSE)</f>
        <v>0</v>
      </c>
      <c r="W15" s="13">
        <v>0</v>
      </c>
      <c r="X15" s="13">
        <v>0</v>
      </c>
      <c r="Y15" s="13">
        <v>0</v>
      </c>
      <c r="Z15" s="10">
        <v>18.939391872868701</v>
      </c>
      <c r="AA15" s="10">
        <v>18.7512656006902</v>
      </c>
      <c r="AB15" s="10">
        <v>18.328261655991302</v>
      </c>
      <c r="AC15" s="10">
        <v>17.912794710964601</v>
      </c>
      <c r="AD15" s="10">
        <v>11.252117719415899</v>
      </c>
      <c r="AE15" s="10">
        <v>11.4979577684286</v>
      </c>
      <c r="AF15" s="10">
        <v>11.7758539484603</v>
      </c>
      <c r="AG15" s="10">
        <v>39.714085914085913</v>
      </c>
      <c r="AH15" s="10">
        <v>39.904095904095904</v>
      </c>
      <c r="AI15" s="12">
        <f>VLOOKUP(B15,[7]all!$A$2:$I$247,6,FALSE)</f>
        <v>76.760000000000005</v>
      </c>
      <c r="AJ15" s="12">
        <f>VLOOKUP(B15,[7]all!$A$2:$I$247,7,FALSE)</f>
        <v>76.78</v>
      </c>
      <c r="AK15" s="12">
        <f>VLOOKUP(B15,[7]all!$A$2:$I$247,8,FALSE)</f>
        <v>76.760000000000005</v>
      </c>
      <c r="AL15" s="12"/>
    </row>
    <row r="16" spans="1:38" ht="21.4" x14ac:dyDescent="1.1000000000000001">
      <c r="A16" s="10" t="s">
        <v>29</v>
      </c>
      <c r="B16" s="11" t="s">
        <v>30</v>
      </c>
      <c r="C16" s="10" t="str">
        <f>VLOOKUP(B16,'[1]who-regions'!$B$1:$D$206,3,FALSE)</f>
        <v>EMR</v>
      </c>
      <c r="D16" s="12" t="str">
        <f>VLOOKUP(B16,'[2]Metadata - Countries'!$A$1:$B$266,2,FALSE)</f>
        <v>Middle East &amp; North Africa</v>
      </c>
      <c r="E16" s="12" t="str">
        <f>VLOOKUP(B16,'[2]Metadata - Countries'!$A$1:$C$266,3,FALSE)</f>
        <v>High income</v>
      </c>
      <c r="F16" s="12"/>
      <c r="G16" s="10">
        <v>100</v>
      </c>
      <c r="H16" s="12">
        <f>VLOOKUP(B16,[4]tas!$A$2:$H$247,5,FALSE)</f>
        <v>26.92</v>
      </c>
      <c r="I16" s="12">
        <f>VLOOKUP(B16,[4]tas!$A$2:$H$247,6,FALSE)</f>
        <v>26.95</v>
      </c>
      <c r="J16" s="12">
        <f>VLOOKUP(B16,[4]tas!$A$2:$H$247,7,FALSE)</f>
        <v>27.03</v>
      </c>
      <c r="K16" s="10">
        <v>46458191489.361702</v>
      </c>
      <c r="L16" s="10">
        <v>46192260638.297874</v>
      </c>
      <c r="M16" s="10">
        <v>47736702127.659576</v>
      </c>
      <c r="N16" s="10">
        <f>VLOOKUP(B16,[2]Data!$B$1:$G$267,4,FALSE)</f>
        <v>30470.52192760228</v>
      </c>
      <c r="O16" s="10">
        <f>VLOOKUP(B16,[2]Data!$B$1:$G$267,5,FALSE)</f>
        <v>29290.128421509831</v>
      </c>
      <c r="P16" s="10">
        <f>VLOOKUP(B16,[2]Data!$B$1:$G$267,6,FALSE)</f>
        <v>29653.568273153414</v>
      </c>
      <c r="Q16" s="12">
        <f>VLOOKUP(B16,[5]Sheet1!$B$421:$K$628,10,FALSE)</f>
        <v>0</v>
      </c>
      <c r="R16" s="12">
        <f>VLOOKUP(B16,[5]Sheet1!$B$213:$K$420,10,FALSE)</f>
        <v>0</v>
      </c>
      <c r="S16" s="12">
        <f>VLOOKUP(B16,[5]Sheet1!$B$2:$K$207,10,FALSE)</f>
        <v>0</v>
      </c>
      <c r="T16" s="12">
        <f>VLOOKUP(B16,[6]Sheet1!$B$421:$K$628,10,FALSE)</f>
        <v>0</v>
      </c>
      <c r="U16" s="12">
        <f>VLOOKUP(B16,[6]Sheet1!$B$213:$K$420,10,FALSE)</f>
        <v>6.4</v>
      </c>
      <c r="V16" s="12">
        <f>VLOOKUP(B16,[6]Sheet1!$B$2:$K$212,10,FALSE)</f>
        <v>0</v>
      </c>
      <c r="W16" s="13">
        <v>99.751716613769503</v>
      </c>
      <c r="X16" s="13">
        <v>96.419982910156193</v>
      </c>
      <c r="Y16" s="13">
        <v>0</v>
      </c>
      <c r="Z16" s="10">
        <v>58.4950629834781</v>
      </c>
      <c r="AA16" s="10">
        <v>19.078958094086602</v>
      </c>
      <c r="AB16" s="10">
        <v>18.9918807542116</v>
      </c>
      <c r="AC16" s="10">
        <v>18.7167655487684</v>
      </c>
      <c r="AD16" s="10">
        <v>3.4989523684689301</v>
      </c>
      <c r="AE16" s="10">
        <v>3.6380044028488898</v>
      </c>
      <c r="AF16" s="10">
        <v>3.8533995707036799</v>
      </c>
      <c r="AG16" s="10">
        <v>1929.9911392405063</v>
      </c>
      <c r="AH16" s="10">
        <v>1971.32375</v>
      </c>
      <c r="AI16" s="12">
        <f>VLOOKUP(B16,[7]all!$A$2:$I$247,6,FALSE)</f>
        <v>68.430000000000007</v>
      </c>
      <c r="AJ16" s="12">
        <f>VLOOKUP(B16,[7]all!$A$2:$I$247,7,FALSE)</f>
        <v>68.02</v>
      </c>
      <c r="AK16" s="12">
        <f>VLOOKUP(B16,[7]all!$A$2:$I$247,8,FALSE)</f>
        <v>67.88</v>
      </c>
      <c r="AL16" s="12"/>
    </row>
    <row r="17" spans="1:38" ht="21.4" x14ac:dyDescent="1.1000000000000001">
      <c r="A17" s="10" t="s">
        <v>31</v>
      </c>
      <c r="B17" s="11" t="s">
        <v>32</v>
      </c>
      <c r="C17" s="10" t="str">
        <f>VLOOKUP(B17,'[1]who-regions'!$B$1:$D$206,3,FALSE)</f>
        <v>SEAR</v>
      </c>
      <c r="D17" s="12" t="str">
        <f>VLOOKUP(B17,'[2]Metadata - Countries'!$A$1:$B$266,2,FALSE)</f>
        <v>South Asia</v>
      </c>
      <c r="E17" s="12" t="str">
        <f>VLOOKUP(B17,'[2]Metadata - Countries'!$A$1:$C$266,3,FALSE)</f>
        <v>Lower middle income</v>
      </c>
      <c r="F17" s="12"/>
      <c r="G17" s="10">
        <v>59.295191469204802</v>
      </c>
      <c r="H17" s="12">
        <f>VLOOKUP(B17,[4]tas!$A$2:$H$247,5,FALSE)</f>
        <v>25.82</v>
      </c>
      <c r="I17" s="12">
        <f>VLOOKUP(B17,[4]tas!$A$2:$H$247,6,FALSE)</f>
        <v>25.91</v>
      </c>
      <c r="J17" s="12">
        <f>VLOOKUP(B17,[4]tas!$A$2:$H$247,7,FALSE)</f>
        <v>25.93</v>
      </c>
      <c r="K17" s="10">
        <v>460131689083.0827</v>
      </c>
      <c r="L17" s="10">
        <v>437415333018.29095</v>
      </c>
      <c r="M17" s="10">
        <v>450119424622.38922</v>
      </c>
      <c r="N17" s="10">
        <f>VLOOKUP(B17,[2]Data!$B$1:$G$267,4,FALSE)</f>
        <v>2716.4859278043114</v>
      </c>
      <c r="O17" s="10">
        <f>VLOOKUP(B17,[2]Data!$B$1:$G$267,5,FALSE)</f>
        <v>2551.017738273069</v>
      </c>
      <c r="P17" s="10">
        <f>VLOOKUP(B17,[2]Data!$B$1:$G$267,6,FALSE)</f>
        <v>2593.4161168077444</v>
      </c>
      <c r="Q17" s="12">
        <f>VLOOKUP(B17,[5]Sheet1!$B$421:$K$628,10,FALSE)</f>
        <v>0</v>
      </c>
      <c r="R17" s="12">
        <f>VLOOKUP(B17,[5]Sheet1!$B$213:$K$420,10,FALSE)</f>
        <v>0</v>
      </c>
      <c r="S17" s="12">
        <f>VLOOKUP(B17,[5]Sheet1!$B$2:$K$207,10,FALSE)</f>
        <v>0</v>
      </c>
      <c r="T17" s="12">
        <f>VLOOKUP(B17,[6]Sheet1!$B$421:$K$628,10,FALSE)</f>
        <v>0</v>
      </c>
      <c r="U17" s="12">
        <f>VLOOKUP(B17,[6]Sheet1!$B$213:$K$420,10,FALSE)</f>
        <v>0</v>
      </c>
      <c r="V17" s="12">
        <f>VLOOKUP(B17,[6]Sheet1!$B$2:$K$212,10,FALSE)</f>
        <v>0</v>
      </c>
      <c r="W17" s="13">
        <v>0</v>
      </c>
      <c r="X17" s="13">
        <v>0</v>
      </c>
      <c r="Y17" s="13">
        <v>0</v>
      </c>
      <c r="Z17" s="10">
        <v>42.381376235996498</v>
      </c>
      <c r="AA17" s="10">
        <v>28.770090025292799</v>
      </c>
      <c r="AB17" s="10">
        <v>28.3608821732976</v>
      </c>
      <c r="AC17" s="10">
        <v>27.988930537959298</v>
      </c>
      <c r="AD17" s="10">
        <v>6.1351576518207596</v>
      </c>
      <c r="AE17" s="10">
        <v>6.3205480541764896</v>
      </c>
      <c r="AF17" s="10">
        <v>6.4984629962749301</v>
      </c>
      <c r="AG17" s="10">
        <v>1300.3600261016429</v>
      </c>
      <c r="AH17" s="10">
        <v>1319.1797968918295</v>
      </c>
      <c r="AI17" s="12">
        <f>VLOOKUP(B17,[7]all!$A$2:$I$247,6,FALSE)</f>
        <v>76.459999999999994</v>
      </c>
      <c r="AJ17" s="12">
        <f>VLOOKUP(B17,[7]all!$A$2:$I$247,7,FALSE)</f>
        <v>76.290000000000006</v>
      </c>
      <c r="AK17" s="12">
        <f>VLOOKUP(B17,[7]all!$A$2:$I$247,8,FALSE)</f>
        <v>76.37</v>
      </c>
      <c r="AL17" s="12"/>
    </row>
    <row r="18" spans="1:38" ht="21.4" x14ac:dyDescent="1.1000000000000001">
      <c r="A18" s="10" t="s">
        <v>33</v>
      </c>
      <c r="B18" s="11" t="s">
        <v>34</v>
      </c>
      <c r="C18" s="10" t="str">
        <f>VLOOKUP(B18,'[1]who-regions'!$B$1:$D$206,3,FALSE)</f>
        <v>AMR</v>
      </c>
      <c r="D18" s="12" t="str">
        <f>VLOOKUP(B18,'[2]Metadata - Countries'!$A$1:$B$266,2,FALSE)</f>
        <v>Latin America &amp; Caribbean</v>
      </c>
      <c r="E18" s="12" t="str">
        <f>VLOOKUP(B18,'[2]Metadata - Countries'!$A$1:$C$266,3,FALSE)</f>
        <v>High income</v>
      </c>
      <c r="F18" s="12"/>
      <c r="G18" s="10">
        <v>98.092462311557796</v>
      </c>
      <c r="H18" s="12">
        <f>VLOOKUP(B18,[4]tas!$A$2:$H$247,5,FALSE)</f>
        <v>26.73</v>
      </c>
      <c r="I18" s="12">
        <f>VLOOKUP(B18,[4]tas!$A$2:$H$247,6,FALSE)</f>
        <v>26.77</v>
      </c>
      <c r="J18" s="12">
        <f>VLOOKUP(B18,[4]tas!$A$2:$H$247,7,FALSE)</f>
        <v>26.78</v>
      </c>
      <c r="K18" s="10">
        <v>6257303500</v>
      </c>
      <c r="L18" s="10">
        <v>6720733200</v>
      </c>
      <c r="M18" s="10">
        <v>7165000000</v>
      </c>
      <c r="N18" s="10">
        <f>VLOOKUP(B18,[2]Data!$B$1:$G$267,4,FALSE)</f>
        <v>24387.038729376094</v>
      </c>
      <c r="O18" s="10">
        <f>VLOOKUP(B18,[2]Data!$B$1:$G$267,5,FALSE)</f>
        <v>25583.878782726963</v>
      </c>
      <c r="P18" s="10">
        <f>VLOOKUP(B18,[2]Data!$B$1:$G$267,6,FALSE)</f>
        <v>26544.870728262063</v>
      </c>
      <c r="Q18" s="12">
        <f>VLOOKUP(B18,[5]Sheet1!$B$421:$K$628,10,FALSE)</f>
        <v>0</v>
      </c>
      <c r="R18" s="12">
        <f>VLOOKUP(B18,[5]Sheet1!$B$213:$K$420,10,FALSE)</f>
        <v>0</v>
      </c>
      <c r="S18" s="12">
        <f>VLOOKUP(B18,[5]Sheet1!$B$2:$K$207,10,FALSE)</f>
        <v>0</v>
      </c>
      <c r="T18" s="12">
        <f>VLOOKUP(B18,[6]Sheet1!$B$421:$K$628,10,FALSE)</f>
        <v>0</v>
      </c>
      <c r="U18" s="12">
        <f>VLOOKUP(B18,[6]Sheet1!$B$213:$K$420,10,FALSE)</f>
        <v>0</v>
      </c>
      <c r="V18" s="12">
        <f>VLOOKUP(B18,[6]Sheet1!$B$2:$K$212,10,FALSE)</f>
        <v>0</v>
      </c>
      <c r="W18" s="13">
        <v>94.687049865722699</v>
      </c>
      <c r="X18" s="13">
        <v>0</v>
      </c>
      <c r="Y18" s="13">
        <v>0</v>
      </c>
      <c r="Z18" s="10">
        <v>23.730965784299599</v>
      </c>
      <c r="AA18" s="10">
        <v>17.725401851812499</v>
      </c>
      <c r="AB18" s="10">
        <v>17.4867887906608</v>
      </c>
      <c r="AC18" s="10">
        <v>17.241275544974201</v>
      </c>
      <c r="AD18" s="10">
        <v>15.698786474826299</v>
      </c>
      <c r="AE18" s="10">
        <v>16.093413521477999</v>
      </c>
      <c r="AF18" s="10">
        <v>16.550222591979601</v>
      </c>
      <c r="AG18" s="10">
        <v>656.55348837209306</v>
      </c>
      <c r="AH18" s="10">
        <v>656.59534883720926</v>
      </c>
      <c r="AI18" s="12">
        <f>VLOOKUP(B18,[7]all!$A$2:$I$247,6,FALSE)</f>
        <v>80.89</v>
      </c>
      <c r="AJ18" s="12">
        <f>VLOOKUP(B18,[7]all!$A$2:$I$247,7,FALSE)</f>
        <v>80.900000000000006</v>
      </c>
      <c r="AK18" s="12">
        <f>VLOOKUP(B18,[7]all!$A$2:$I$247,8,FALSE)</f>
        <v>80.849999999999994</v>
      </c>
      <c r="AL18" s="12"/>
    </row>
    <row r="19" spans="1:38" ht="21.4" x14ac:dyDescent="1.1000000000000001">
      <c r="A19" s="10" t="s">
        <v>35</v>
      </c>
      <c r="B19" s="11" t="s">
        <v>36</v>
      </c>
      <c r="C19" s="10" t="str">
        <f>VLOOKUP(B19,'[1]who-regions'!$B$1:$D$206,3,FALSE)</f>
        <v>EUR</v>
      </c>
      <c r="D19" s="12" t="str">
        <f>VLOOKUP(B19,'[2]Metadata - Countries'!$A$1:$B$266,2,FALSE)</f>
        <v>Europe &amp; Central Asia</v>
      </c>
      <c r="E19" s="12" t="str">
        <f>VLOOKUP(B19,'[2]Metadata - Countries'!$A$1:$C$266,3,FALSE)</f>
        <v>Upper middle income</v>
      </c>
      <c r="F19" s="12"/>
      <c r="G19" s="10">
        <v>99.558663919601898</v>
      </c>
      <c r="H19" s="12">
        <f>VLOOKUP(B19,[4]tas!$A$2:$H$247,5,FALSE)</f>
        <v>8.1</v>
      </c>
      <c r="I19" s="12">
        <f>VLOOKUP(B19,[4]tas!$A$2:$H$247,6,FALSE)</f>
        <v>7.84</v>
      </c>
      <c r="J19" s="12">
        <f>VLOOKUP(B19,[4]tas!$A$2:$H$247,7,FALSE)</f>
        <v>7.76</v>
      </c>
      <c r="K19" s="10">
        <v>73775179924.603027</v>
      </c>
      <c r="L19" s="10">
        <v>72478760370.425781</v>
      </c>
      <c r="M19" s="10">
        <v>75961865471.912933</v>
      </c>
      <c r="N19" s="10">
        <f>VLOOKUP(B19,[2]Data!$B$1:$G$267,4,FALSE)</f>
        <v>7994.6480607488857</v>
      </c>
      <c r="O19" s="10">
        <f>VLOOKUP(B19,[2]Data!$B$1:$G$267,5,FALSE)</f>
        <v>7896.7538829558362</v>
      </c>
      <c r="P19" s="10">
        <f>VLOOKUP(B19,[2]Data!$B$1:$G$267,6,FALSE)</f>
        <v>8317.6339991379209</v>
      </c>
      <c r="Q19" s="12">
        <f>VLOOKUP(B19,[5]Sheet1!$B$421:$K$628,10,FALSE)</f>
        <v>8.75</v>
      </c>
      <c r="R19" s="12">
        <f>VLOOKUP(B19,[5]Sheet1!$B$213:$K$420,10,FALSE)</f>
        <v>9.82</v>
      </c>
      <c r="S19" s="12">
        <f>VLOOKUP(B19,[5]Sheet1!$B$2:$K$207,10,FALSE)</f>
        <v>5.77</v>
      </c>
      <c r="T19" s="12">
        <f>VLOOKUP(B19,[6]Sheet1!$B$421:$K$628,10,FALSE)</f>
        <v>75.97</v>
      </c>
      <c r="U19" s="12">
        <f>VLOOKUP(B19,[6]Sheet1!$B$213:$K$420,10,FALSE)</f>
        <v>76.13</v>
      </c>
      <c r="V19" s="12">
        <f>VLOOKUP(B19,[6]Sheet1!$B$2:$K$212,10,FALSE)</f>
        <v>39.93</v>
      </c>
      <c r="W19" s="13">
        <v>95.092247009277301</v>
      </c>
      <c r="X19" s="13">
        <v>97.862228393554702</v>
      </c>
      <c r="Y19" s="13">
        <v>0</v>
      </c>
      <c r="Z19" s="10">
        <v>14.608990384138099</v>
      </c>
      <c r="AA19" s="10">
        <v>16.959852885082999</v>
      </c>
      <c r="AB19" s="10">
        <v>16.6752836870096</v>
      </c>
      <c r="AC19" s="10">
        <v>16.297229144049901</v>
      </c>
      <c r="AD19" s="10">
        <v>16.5067849004664</v>
      </c>
      <c r="AE19" s="10">
        <v>17.061974531795801</v>
      </c>
      <c r="AF19" s="10">
        <v>17.6665640538227</v>
      </c>
      <c r="AG19" s="10">
        <v>45.46071727671314</v>
      </c>
      <c r="AH19" s="10">
        <v>45.217077292187028</v>
      </c>
      <c r="AI19" s="12">
        <f>VLOOKUP(B19,[7]all!$A$2:$I$247,6,FALSE)</f>
        <v>78</v>
      </c>
      <c r="AJ19" s="12">
        <f>VLOOKUP(B19,[7]all!$A$2:$I$247,7,FALSE)</f>
        <v>78.06</v>
      </c>
      <c r="AK19" s="12">
        <f>VLOOKUP(B19,[7]all!$A$2:$I$247,8,FALSE)</f>
        <v>78.23</v>
      </c>
      <c r="AL19" s="15">
        <v>4290</v>
      </c>
    </row>
    <row r="20" spans="1:38" ht="21.4" x14ac:dyDescent="1.1000000000000001">
      <c r="A20" s="10" t="s">
        <v>37</v>
      </c>
      <c r="B20" s="11" t="s">
        <v>38</v>
      </c>
      <c r="C20" s="10" t="str">
        <f>VLOOKUP(B20,'[1]who-regions'!$B$1:$D$206,3,FALSE)</f>
        <v>EUR</v>
      </c>
      <c r="D20" s="12" t="str">
        <f>VLOOKUP(B20,'[2]Metadata - Countries'!$A$1:$B$266,2,FALSE)</f>
        <v>Europe &amp; Central Asia</v>
      </c>
      <c r="E20" s="12" t="str">
        <f>VLOOKUP(B20,'[2]Metadata - Countries'!$A$1:$C$266,3,FALSE)</f>
        <v>High income</v>
      </c>
      <c r="F20" s="12"/>
      <c r="G20" s="10">
        <v>99.486217054284893</v>
      </c>
      <c r="H20" s="12">
        <f>VLOOKUP(B20,[4]tas!$A$2:$H$247,5,FALSE)</f>
        <v>10.78</v>
      </c>
      <c r="I20" s="12">
        <f>VLOOKUP(B20,[4]tas!$A$2:$H$247,6,FALSE)</f>
        <v>10.6</v>
      </c>
      <c r="J20" s="12">
        <f>VLOOKUP(B20,[4]tas!$A$2:$H$247,7,FALSE)</f>
        <v>10.65</v>
      </c>
      <c r="K20" s="10">
        <v>593614574325.87781</v>
      </c>
      <c r="L20" s="10">
        <v>644655275111.57996</v>
      </c>
      <c r="M20" s="10">
        <v>664564181486.953</v>
      </c>
      <c r="N20" s="10">
        <f>VLOOKUP(B20,[2]Data!$B$1:$G$267,4,FALSE)</f>
        <v>50605.749667708616</v>
      </c>
      <c r="O20" s="10">
        <f>VLOOKUP(B20,[2]Data!$B$1:$G$267,5,FALSE)</f>
        <v>55291.475454132938</v>
      </c>
      <c r="P20" s="10">
        <f>VLOOKUP(B20,[2]Data!$B$1:$G$267,6,FALSE)</f>
        <v>56614.567949903583</v>
      </c>
      <c r="Q20" s="12">
        <f>VLOOKUP(B20,[5]Sheet1!$B$421:$K$628,10,FALSE)</f>
        <v>0</v>
      </c>
      <c r="R20" s="12">
        <f>VLOOKUP(B20,[5]Sheet1!$B$213:$K$420,10,FALSE)</f>
        <v>0</v>
      </c>
      <c r="S20" s="12">
        <f>VLOOKUP(B20,[5]Sheet1!$B$2:$K$207,10,FALSE)</f>
        <v>0</v>
      </c>
      <c r="T20" s="12">
        <f>VLOOKUP(B20,[6]Sheet1!$B$421:$K$628,10,FALSE)</f>
        <v>57.3</v>
      </c>
      <c r="U20" s="12">
        <f>VLOOKUP(B20,[6]Sheet1!$B$213:$K$420,10,FALSE)</f>
        <v>0</v>
      </c>
      <c r="V20" s="12">
        <f>VLOOKUP(B20,[6]Sheet1!$B$2:$K$212,10,FALSE)</f>
        <v>0</v>
      </c>
      <c r="W20" s="13">
        <v>0</v>
      </c>
      <c r="X20" s="13">
        <v>0</v>
      </c>
      <c r="Y20" s="13">
        <v>0</v>
      </c>
      <c r="Z20" s="10">
        <v>11.2160664677018</v>
      </c>
      <c r="AA20" s="10">
        <v>16.529679208233802</v>
      </c>
      <c r="AB20" s="10">
        <v>16.290744737444498</v>
      </c>
      <c r="AC20" s="10">
        <v>15.9961268493057</v>
      </c>
      <c r="AD20" s="10">
        <v>19.767192758520601</v>
      </c>
      <c r="AE20" s="10">
        <v>20.145274954701598</v>
      </c>
      <c r="AF20" s="10">
        <v>20.558080925644301</v>
      </c>
      <c r="AG20" s="10">
        <v>383.03305568308519</v>
      </c>
      <c r="AH20" s="10">
        <v>386.54892765789992</v>
      </c>
      <c r="AI20" s="12">
        <f>VLOOKUP(B20,[7]all!$A$2:$I$247,6,FALSE)</f>
        <v>80.150000000000006</v>
      </c>
      <c r="AJ20" s="12">
        <f>VLOOKUP(B20,[7]all!$A$2:$I$247,7,FALSE)</f>
        <v>80.3</v>
      </c>
      <c r="AK20" s="12">
        <f>VLOOKUP(B20,[7]all!$A$2:$I$247,8,FALSE)</f>
        <v>80.08</v>
      </c>
      <c r="AL20" s="12"/>
    </row>
    <row r="21" spans="1:38" ht="21.4" x14ac:dyDescent="1.1000000000000001">
      <c r="A21" s="10" t="s">
        <v>39</v>
      </c>
      <c r="B21" s="11" t="s">
        <v>40</v>
      </c>
      <c r="C21" s="10" t="str">
        <f>VLOOKUP(B21,'[1]who-regions'!$B$1:$D$206,3,FALSE)</f>
        <v>AMR</v>
      </c>
      <c r="D21" s="12" t="str">
        <f>VLOOKUP(B21,'[2]Metadata - Countries'!$A$1:$B$266,2,FALSE)</f>
        <v>Latin America &amp; Caribbean</v>
      </c>
      <c r="E21" s="12" t="str">
        <f>VLOOKUP(B21,'[2]Metadata - Countries'!$A$1:$C$266,3,FALSE)</f>
        <v>Upper middle income</v>
      </c>
      <c r="F21" s="12"/>
      <c r="G21" s="10">
        <v>88.251077933148693</v>
      </c>
      <c r="H21" s="12">
        <f>VLOOKUP(B21,[4]tas!$A$2:$H$247,5,FALSE)</f>
        <v>26.2</v>
      </c>
      <c r="I21" s="12">
        <f>VLOOKUP(B21,[4]tas!$A$2:$H$247,6,FALSE)</f>
        <v>26.29</v>
      </c>
      <c r="J21" s="12">
        <f>VLOOKUP(B21,[4]tas!$A$2:$H$247,7,FALSE)</f>
        <v>26.29</v>
      </c>
      <c r="K21" s="10">
        <v>2846700000</v>
      </c>
      <c r="L21" s="10">
        <v>3066850000</v>
      </c>
      <c r="M21" s="10">
        <v>3515783328.9107947</v>
      </c>
      <c r="N21" s="10">
        <f>VLOOKUP(B21,[2]Data!$B$1:$G$267,4,FALSE)</f>
        <v>7068.2172804314523</v>
      </c>
      <c r="O21" s="10">
        <f>VLOOKUP(B21,[2]Data!$B$1:$G$267,5,FALSE)</f>
        <v>7424.7582132102179</v>
      </c>
      <c r="P21" s="10">
        <f>VLOOKUP(B21,[2]Data!$B$1:$G$267,6,FALSE)</f>
        <v>7681.2440058311277</v>
      </c>
      <c r="Q21" s="12">
        <f>VLOOKUP(B21,[5]Sheet1!$B$421:$K$628,10,FALSE)</f>
        <v>0</v>
      </c>
      <c r="R21" s="12">
        <f>VLOOKUP(B21,[5]Sheet1!$B$213:$K$420,10,FALSE)</f>
        <v>0</v>
      </c>
      <c r="S21" s="12">
        <f>VLOOKUP(B21,[5]Sheet1!$B$2:$K$207,10,FALSE)</f>
        <v>0</v>
      </c>
      <c r="T21" s="12">
        <f>VLOOKUP(B21,[6]Sheet1!$B$421:$K$628,10,FALSE)</f>
        <v>0.8</v>
      </c>
      <c r="U21" s="12">
        <f>VLOOKUP(B21,[6]Sheet1!$B$213:$K$420,10,FALSE)</f>
        <v>2.96</v>
      </c>
      <c r="V21" s="12">
        <f>VLOOKUP(B21,[6]Sheet1!$B$2:$K$212,10,FALSE)</f>
        <v>1.62</v>
      </c>
      <c r="W21" s="13">
        <v>86.889328002929702</v>
      </c>
      <c r="X21" s="13">
        <v>96.053169250488295</v>
      </c>
      <c r="Y21" s="13">
        <v>0</v>
      </c>
      <c r="Z21" s="10">
        <v>28.651807019551601</v>
      </c>
      <c r="AA21" s="10">
        <v>27.610848875061102</v>
      </c>
      <c r="AB21" s="10">
        <v>26.9925846285199</v>
      </c>
      <c r="AC21" s="10">
        <v>26.5784164106154</v>
      </c>
      <c r="AD21" s="10">
        <v>4.7083303329997799</v>
      </c>
      <c r="AE21" s="10">
        <v>4.8413363479690696</v>
      </c>
      <c r="AF21" s="10">
        <v>5.0238388381848198</v>
      </c>
      <c r="AG21" s="10">
        <v>17.655984217448488</v>
      </c>
      <c r="AH21" s="10">
        <v>18.02306006137659</v>
      </c>
      <c r="AI21" s="12">
        <f>VLOOKUP(B21,[7]all!$A$2:$I$247,6,FALSE)</f>
        <v>80.78</v>
      </c>
      <c r="AJ21" s="12">
        <f>VLOOKUP(B21,[7]all!$A$2:$I$247,7,FALSE)</f>
        <v>80.569999999999993</v>
      </c>
      <c r="AK21" s="12">
        <f>VLOOKUP(B21,[7]all!$A$2:$I$247,8,FALSE)</f>
        <v>80.8</v>
      </c>
      <c r="AL21" s="12"/>
    </row>
    <row r="22" spans="1:38" ht="21.4" x14ac:dyDescent="1.1000000000000001">
      <c r="A22" s="10" t="s">
        <v>41</v>
      </c>
      <c r="B22" s="11" t="s">
        <v>42</v>
      </c>
      <c r="C22" s="10" t="str">
        <f>VLOOKUP(B22,'[1]who-regions'!$B$1:$D$206,3,FALSE)</f>
        <v>AFR</v>
      </c>
      <c r="D22" s="12" t="str">
        <f>VLOOKUP(B22,'[2]Metadata - Countries'!$A$1:$B$266,2,FALSE)</f>
        <v>Sub-Saharan Africa</v>
      </c>
      <c r="E22" s="12" t="str">
        <f>VLOOKUP(B22,'[2]Metadata - Countries'!$A$1:$C$266,3,FALSE)</f>
        <v>Lower middle income</v>
      </c>
      <c r="F22" s="12"/>
      <c r="G22" s="10">
        <v>19.493501710426699</v>
      </c>
      <c r="H22" s="12">
        <f>VLOOKUP(B22,[4]tas!$A$2:$H$247,5,FALSE)</f>
        <v>28.2</v>
      </c>
      <c r="I22" s="12">
        <f>VLOOKUP(B22,[4]tas!$A$2:$H$247,6,FALSE)</f>
        <v>28.22</v>
      </c>
      <c r="J22" s="12">
        <f>VLOOKUP(B22,[4]tas!$A$2:$H$247,7,FALSE)</f>
        <v>28.35</v>
      </c>
      <c r="K22" s="10">
        <v>17425405083.879665</v>
      </c>
      <c r="L22" s="10">
        <v>19673290995.84906</v>
      </c>
      <c r="M22" s="10">
        <v>21482643720.274326</v>
      </c>
      <c r="N22" s="10">
        <f>VLOOKUP(B22,[2]Data!$B$1:$G$267,4,FALSE)</f>
        <v>1266.4271103190442</v>
      </c>
      <c r="O22" s="10">
        <f>VLOOKUP(B22,[2]Data!$B$1:$G$267,5,FALSE)</f>
        <v>1394.1778472183137</v>
      </c>
      <c r="P22" s="10">
        <f>VLOOKUP(B22,[2]Data!$B$1:$G$267,6,FALSE)</f>
        <v>1485.3801888513431</v>
      </c>
      <c r="Q22" s="12">
        <f>VLOOKUP(B22,[5]Sheet1!$B$421:$K$628,10,FALSE)</f>
        <v>0</v>
      </c>
      <c r="R22" s="12">
        <f>VLOOKUP(B22,[5]Sheet1!$B$213:$K$420,10,FALSE)</f>
        <v>0</v>
      </c>
      <c r="S22" s="12">
        <f>VLOOKUP(B22,[5]Sheet1!$B$2:$K$207,10,FALSE)</f>
        <v>0</v>
      </c>
      <c r="T22" s="12">
        <f>VLOOKUP(B22,[6]Sheet1!$B$421:$K$628,10,FALSE)</f>
        <v>0</v>
      </c>
      <c r="U22" s="12">
        <f>VLOOKUP(B22,[6]Sheet1!$B$213:$K$420,10,FALSE)</f>
        <v>0</v>
      </c>
      <c r="V22" s="12">
        <f>VLOOKUP(B22,[6]Sheet1!$B$2:$K$212,10,FALSE)</f>
        <v>0</v>
      </c>
      <c r="W22" s="13">
        <v>0</v>
      </c>
      <c r="X22" s="13">
        <v>0</v>
      </c>
      <c r="Y22" s="13">
        <v>0</v>
      </c>
      <c r="Z22" s="10">
        <v>51.0478241974862</v>
      </c>
      <c r="AA22" s="10">
        <v>42.120631486586298</v>
      </c>
      <c r="AB22" s="10">
        <v>41.836266504769704</v>
      </c>
      <c r="AC22" s="10">
        <v>41.552490388394297</v>
      </c>
      <c r="AD22" s="10">
        <v>3.0625312306940198</v>
      </c>
      <c r="AE22" s="10">
        <v>3.08788133145022</v>
      </c>
      <c r="AF22" s="10">
        <v>3.1181470378609202</v>
      </c>
      <c r="AG22" s="10">
        <v>122.02466300106421</v>
      </c>
      <c r="AH22" s="10">
        <v>125.14219581411848</v>
      </c>
      <c r="AI22" s="12">
        <f>VLOOKUP(B22,[7]all!$A$2:$I$247,6,FALSE)</f>
        <v>61.06</v>
      </c>
      <c r="AJ22" s="12">
        <f>VLOOKUP(B22,[7]all!$A$2:$I$247,7,FALSE)</f>
        <v>61.23</v>
      </c>
      <c r="AK22" s="12">
        <f>VLOOKUP(B22,[7]all!$A$2:$I$247,8,FALSE)</f>
        <v>61.22</v>
      </c>
      <c r="AL22" s="12"/>
    </row>
    <row r="23" spans="1:38" ht="21.4" x14ac:dyDescent="1.1000000000000001">
      <c r="A23" s="10" t="s">
        <v>43</v>
      </c>
      <c r="B23" s="11" t="s">
        <v>44</v>
      </c>
      <c r="C23" s="10" t="s">
        <v>487</v>
      </c>
      <c r="D23" s="12" t="str">
        <f>VLOOKUP(B23,'[2]Metadata - Countries'!$A$1:$B$266,2,FALSE)</f>
        <v>North America</v>
      </c>
      <c r="E23" s="12" t="str">
        <f>VLOOKUP(B23,'[2]Metadata - Countries'!$A$1:$C$266,3,FALSE)</f>
        <v>High income</v>
      </c>
      <c r="F23" s="12"/>
      <c r="G23" s="10">
        <v>99.941652601597099</v>
      </c>
      <c r="H23" s="12">
        <f>VLOOKUP(B23,[4]tas!$A$2:$H$247,5,FALSE)</f>
        <v>22.26</v>
      </c>
      <c r="I23" s="12">
        <f>VLOOKUP(B23,[4]tas!$A$2:$H$247,6,FALSE)</f>
        <v>22.31</v>
      </c>
      <c r="J23" s="12">
        <f>VLOOKUP(B23,[4]tas!$A$2:$H$247,7,FALSE)</f>
        <v>22.31</v>
      </c>
      <c r="K23" s="10">
        <v>7874381000</v>
      </c>
      <c r="L23" s="10">
        <v>8579242000</v>
      </c>
      <c r="M23" s="10">
        <v>8980200000</v>
      </c>
      <c r="N23" s="10">
        <f>VLOOKUP(B23,[2]Data!$B$1:$G$267,4,FALSE)</f>
        <v>121613.9399836291</v>
      </c>
      <c r="O23" s="10">
        <f>VLOOKUP(B23,[2]Data!$B$1:$G$267,5,FALSE)</f>
        <v>132604.43908621595</v>
      </c>
      <c r="P23" s="10">
        <f>VLOOKUP(B23,[2]Data!$B$1:$G$267,6,FALSE)</f>
        <v>142855.37471378178</v>
      </c>
      <c r="Q23" s="12">
        <f>VLOOKUP(B23,[5]Sheet1!$B$421:$K$628,10,FALSE)</f>
        <v>7.24</v>
      </c>
      <c r="R23" s="12">
        <f>VLOOKUP(B23,[5]Sheet1!$B$213:$K$420,10,FALSE)</f>
        <v>0</v>
      </c>
      <c r="S23" s="12">
        <f>VLOOKUP(B23,[5]Sheet1!$B$2:$K$207,10,FALSE)</f>
        <v>0</v>
      </c>
      <c r="T23" s="12">
        <f>VLOOKUP(B23,[6]Sheet1!$B$421:$K$628,10,FALSE)</f>
        <v>0</v>
      </c>
      <c r="U23" s="12">
        <f>VLOOKUP(B23,[6]Sheet1!$B$213:$K$420,10,FALSE)</f>
        <v>6.09</v>
      </c>
      <c r="V23" s="12">
        <f>VLOOKUP(B23,[6]Sheet1!$B$2:$K$212,10,FALSE)</f>
        <v>7.06</v>
      </c>
      <c r="W23" s="13">
        <v>0</v>
      </c>
      <c r="X23" s="13">
        <v>0</v>
      </c>
      <c r="Y23" s="13">
        <v>0</v>
      </c>
      <c r="Z23" s="10">
        <v>7.3360005250081102</v>
      </c>
      <c r="AA23" s="10">
        <v>14.126968192313299</v>
      </c>
      <c r="AB23" s="10">
        <v>13.8783269961977</v>
      </c>
      <c r="AC23" s="10">
        <v>13.6068629953664</v>
      </c>
      <c r="AD23" s="10">
        <v>20.141779346239701</v>
      </c>
      <c r="AE23" s="10">
        <v>20.911774707100701</v>
      </c>
      <c r="AF23" s="10">
        <v>21.7439063068081</v>
      </c>
      <c r="AG23" s="10">
        <v>1199.0555555555557</v>
      </c>
      <c r="AH23" s="10">
        <v>1198.1111111111111</v>
      </c>
      <c r="AI23" s="12">
        <f>VLOOKUP(B23,[7]all!$A$2:$I$247,6,FALSE)</f>
        <v>75.89</v>
      </c>
      <c r="AJ23" s="12">
        <f>VLOOKUP(B23,[7]all!$A$2:$I$247,7,FALSE)</f>
        <v>75.760000000000005</v>
      </c>
      <c r="AK23" s="12">
        <f>VLOOKUP(B23,[7]all!$A$2:$I$247,8,FALSE)</f>
        <v>75.900000000000006</v>
      </c>
      <c r="AL23" s="12"/>
    </row>
    <row r="24" spans="1:38" ht="21.4" x14ac:dyDescent="1.1000000000000001">
      <c r="A24" s="10" t="s">
        <v>45</v>
      </c>
      <c r="B24" s="11" t="s">
        <v>46</v>
      </c>
      <c r="C24" s="10" t="str">
        <f>VLOOKUP(B24,'[1]who-regions'!$B$1:$D$206,3,FALSE)</f>
        <v>SEAR</v>
      </c>
      <c r="D24" s="12" t="str">
        <f>VLOOKUP(B24,'[2]Metadata - Countries'!$A$1:$B$266,2,FALSE)</f>
        <v>South Asia</v>
      </c>
      <c r="E24" s="12" t="str">
        <f>VLOOKUP(B24,'[2]Metadata - Countries'!$A$1:$C$266,3,FALSE)</f>
        <v>Lower middle income</v>
      </c>
      <c r="F24" s="12"/>
      <c r="G24" s="10">
        <v>77.940074238293604</v>
      </c>
      <c r="H24" s="12">
        <f>VLOOKUP(B24,[4]tas!$A$2:$H$247,5,FALSE)</f>
        <v>10.07</v>
      </c>
      <c r="I24" s="12">
        <f>VLOOKUP(B24,[4]tas!$A$2:$H$247,6,FALSE)</f>
        <v>10.130000000000001</v>
      </c>
      <c r="J24" s="12">
        <f>VLOOKUP(B24,[4]tas!$A$2:$H$247,7,FALSE)</f>
        <v>10.220000000000001</v>
      </c>
      <c r="K24" s="10">
        <v>2898227743.7557607</v>
      </c>
      <c r="L24" s="10">
        <v>3019253885.469892</v>
      </c>
      <c r="M24" s="10">
        <v>0</v>
      </c>
      <c r="N24" s="10">
        <f>VLOOKUP(B24,[2]Data!$B$1:$G$267,4,FALSE)</f>
        <v>3711.3276798159091</v>
      </c>
      <c r="O24" s="10">
        <f>VLOOKUP(B24,[2]Data!$B$1:$G$267,5,FALSE)</f>
        <v>3831.3253549460869</v>
      </c>
      <c r="P24" s="10">
        <f>VLOOKUP(B24,[2]Data!$B$1:$G$267,6,FALSE)</f>
        <v>0</v>
      </c>
      <c r="Q24" s="12">
        <f>VLOOKUP(B24,[5]Sheet1!$B$421:$K$628,10,FALSE)</f>
        <v>0</v>
      </c>
      <c r="R24" s="12">
        <f>VLOOKUP(B24,[5]Sheet1!$B$213:$K$420,10,FALSE)</f>
        <v>0</v>
      </c>
      <c r="S24" s="12">
        <f>VLOOKUP(B24,[5]Sheet1!$B$2:$K$207,10,FALSE)</f>
        <v>0</v>
      </c>
      <c r="T24" s="12">
        <f>VLOOKUP(B24,[6]Sheet1!$B$421:$K$628,10,FALSE)</f>
        <v>70.849999999999994</v>
      </c>
      <c r="U24" s="12">
        <f>VLOOKUP(B24,[6]Sheet1!$B$213:$K$420,10,FALSE)</f>
        <v>78.709999999999994</v>
      </c>
      <c r="V24" s="12">
        <f>VLOOKUP(B24,[6]Sheet1!$B$2:$K$212,10,FALSE)</f>
        <v>80.150000000000006</v>
      </c>
      <c r="W24" s="13">
        <v>0</v>
      </c>
      <c r="X24" s="13">
        <v>0</v>
      </c>
      <c r="Y24" s="13">
        <v>0</v>
      </c>
      <c r="Z24" s="10">
        <v>23.945657636922299</v>
      </c>
      <c r="AA24" s="10">
        <v>22.038904387100001</v>
      </c>
      <c r="AB24" s="10">
        <v>21.461497866820999</v>
      </c>
      <c r="AC24" s="10">
        <v>20.909396992765199</v>
      </c>
      <c r="AD24" s="10">
        <v>6.2457541766736302</v>
      </c>
      <c r="AE24" s="10">
        <v>6.3686998098895602</v>
      </c>
      <c r="AF24" s="10">
        <v>6.4942399129780597</v>
      </c>
      <c r="AG24" s="10">
        <v>20.474934452018879</v>
      </c>
      <c r="AH24" s="10">
        <v>20.618379653906661</v>
      </c>
      <c r="AI24" s="12">
        <f>VLOOKUP(B24,[7]all!$A$2:$I$247,6,FALSE)</f>
        <v>81.56</v>
      </c>
      <c r="AJ24" s="12">
        <f>VLOOKUP(B24,[7]all!$A$2:$I$247,7,FALSE)</f>
        <v>81.56</v>
      </c>
      <c r="AK24" s="12">
        <f>VLOOKUP(B24,[7]all!$A$2:$I$247,8,FALSE)</f>
        <v>81.66</v>
      </c>
      <c r="AL24" s="12"/>
    </row>
    <row r="25" spans="1:38" ht="21.4" x14ac:dyDescent="1.1000000000000001">
      <c r="A25" s="10" t="s">
        <v>47</v>
      </c>
      <c r="B25" s="11" t="s">
        <v>48</v>
      </c>
      <c r="C25" s="10" t="str">
        <f>VLOOKUP(B25,'[1]who-regions'!$B$1:$D$206,3,FALSE)</f>
        <v>AMR</v>
      </c>
      <c r="D25" s="12" t="str">
        <f>VLOOKUP(B25,'[2]Metadata - Countries'!$A$1:$B$266,2,FALSE)</f>
        <v>Latin America &amp; Caribbean</v>
      </c>
      <c r="E25" s="12" t="str">
        <f>VLOOKUP(B25,'[2]Metadata - Countries'!$A$1:$C$266,3,FALSE)</f>
        <v>Lower middle income</v>
      </c>
      <c r="F25" s="12"/>
      <c r="G25" s="10">
        <v>68.612563095457006</v>
      </c>
      <c r="H25" s="12">
        <f>VLOOKUP(B25,[4]tas!$A$2:$H$247,5,FALSE)</f>
        <v>21.41</v>
      </c>
      <c r="I25" s="12">
        <f>VLOOKUP(B25,[4]tas!$A$2:$H$247,6,FALSE)</f>
        <v>21.44</v>
      </c>
      <c r="J25" s="12">
        <f>VLOOKUP(B25,[4]tas!$A$2:$H$247,7,FALSE)</f>
        <v>21.52</v>
      </c>
      <c r="K25" s="10">
        <v>44008282879.884224</v>
      </c>
      <c r="L25" s="10">
        <v>45135398002.894356</v>
      </c>
      <c r="M25" s="10">
        <v>49668296743.849495</v>
      </c>
      <c r="N25" s="10">
        <f>VLOOKUP(B25,[2]Data!$B$1:$G$267,4,FALSE)</f>
        <v>4219.4611374244541</v>
      </c>
      <c r="O25" s="10">
        <f>VLOOKUP(B25,[2]Data!$B$1:$G$267,5,FALSE)</f>
        <v>4274.7082054761304</v>
      </c>
      <c r="P25" s="10">
        <f>VLOOKUP(B25,[2]Data!$B$1:$G$267,6,FALSE)</f>
        <v>4421.1660988999884</v>
      </c>
      <c r="Q25" s="12">
        <f>VLOOKUP(B25,[5]Sheet1!$B$421:$K$628,10,FALSE)</f>
        <v>0</v>
      </c>
      <c r="R25" s="12">
        <f>VLOOKUP(B25,[5]Sheet1!$B$213:$K$420,10,FALSE)</f>
        <v>0</v>
      </c>
      <c r="S25" s="12">
        <f>VLOOKUP(B25,[5]Sheet1!$B$2:$K$207,10,FALSE)</f>
        <v>0</v>
      </c>
      <c r="T25" s="12">
        <f>VLOOKUP(B25,[6]Sheet1!$B$421:$K$628,10,FALSE)</f>
        <v>50.66</v>
      </c>
      <c r="U25" s="12">
        <f>VLOOKUP(B25,[6]Sheet1!$B$213:$K$420,10,FALSE)</f>
        <v>55.15</v>
      </c>
      <c r="V25" s="12">
        <f>VLOOKUP(B25,[6]Sheet1!$B$2:$K$212,10,FALSE)</f>
        <v>52.14</v>
      </c>
      <c r="W25" s="13">
        <v>96.872268676757798</v>
      </c>
      <c r="X25" s="13">
        <v>0</v>
      </c>
      <c r="Y25" s="13">
        <v>0</v>
      </c>
      <c r="Z25" s="10">
        <v>22.879459074231001</v>
      </c>
      <c r="AA25" s="10">
        <v>30.498526391234201</v>
      </c>
      <c r="AB25" s="10">
        <v>30.142399729438399</v>
      </c>
      <c r="AC25" s="10">
        <v>29.786563863077699</v>
      </c>
      <c r="AD25" s="10">
        <v>5.4790805847139099</v>
      </c>
      <c r="AE25" s="10">
        <v>5.55046673477261</v>
      </c>
      <c r="AF25" s="10">
        <v>5.6414744973441797</v>
      </c>
      <c r="AG25" s="10">
        <v>11.148485184159513</v>
      </c>
      <c r="AH25" s="10">
        <v>11.302648389181206</v>
      </c>
      <c r="AI25" s="12">
        <f>VLOOKUP(B25,[7]all!$A$2:$I$247,6,FALSE)</f>
        <v>66.03</v>
      </c>
      <c r="AJ25" s="12">
        <f>VLOOKUP(B25,[7]all!$A$2:$I$247,7,FALSE)</f>
        <v>65.98</v>
      </c>
      <c r="AK25" s="12">
        <f>VLOOKUP(B25,[7]all!$A$2:$I$247,8,FALSE)</f>
        <v>65.599999999999994</v>
      </c>
      <c r="AL25" s="12"/>
    </row>
    <row r="26" spans="1:38" ht="21.4" x14ac:dyDescent="1.1000000000000001">
      <c r="A26" s="10" t="s">
        <v>49</v>
      </c>
      <c r="B26" s="11" t="s">
        <v>50</v>
      </c>
      <c r="C26" s="10" t="str">
        <f>VLOOKUP(B26,'[1]who-regions'!$B$1:$D$206,3,FALSE)</f>
        <v>EUR</v>
      </c>
      <c r="D26" s="12" t="str">
        <f>VLOOKUP(B26,'[2]Metadata - Countries'!$A$1:$B$266,2,FALSE)</f>
        <v>Europe &amp; Central Asia</v>
      </c>
      <c r="E26" s="12" t="str">
        <f>VLOOKUP(B26,'[2]Metadata - Countries'!$A$1:$C$266,3,FALSE)</f>
        <v>Upper middle income</v>
      </c>
      <c r="F26" s="12"/>
      <c r="G26" s="10">
        <v>0</v>
      </c>
      <c r="H26" s="12">
        <f>VLOOKUP(B26,[4]tas!$A$2:$H$247,5,FALSE)</f>
        <v>11</v>
      </c>
      <c r="I26" s="12">
        <f>VLOOKUP(B26,[4]tas!$A$2:$H$247,6,FALSE)</f>
        <v>11.02</v>
      </c>
      <c r="J26" s="12">
        <f>VLOOKUP(B26,[4]tas!$A$2:$H$247,7,FALSE)</f>
        <v>11.03</v>
      </c>
      <c r="K26" s="10">
        <v>24534663636.177841</v>
      </c>
      <c r="L26" s="10">
        <v>27592361387.859737</v>
      </c>
      <c r="M26" s="10">
        <v>28343394203.469421</v>
      </c>
      <c r="N26" s="10">
        <f>VLOOKUP(B26,[2]Data!$B$1:$G$267,4,FALSE)</f>
        <v>7655.5942102438285</v>
      </c>
      <c r="O26" s="10">
        <f>VLOOKUP(B26,[2]Data!$B$1:$G$267,5,FALSE)</f>
        <v>8663.0232645862925</v>
      </c>
      <c r="P26" s="10">
        <f>VLOOKUP(B26,[2]Data!$B$1:$G$267,6,FALSE)</f>
        <v>9358.7876895113404</v>
      </c>
      <c r="Q26" s="12">
        <f>VLOOKUP(B26,[5]Sheet1!$B$421:$K$628,10,FALSE)</f>
        <v>0</v>
      </c>
      <c r="R26" s="12">
        <f>VLOOKUP(B26,[5]Sheet1!$B$213:$K$420,10,FALSE)</f>
        <v>0</v>
      </c>
      <c r="S26" s="12">
        <f>VLOOKUP(B26,[5]Sheet1!$B$2:$K$207,10,FALSE)</f>
        <v>0</v>
      </c>
      <c r="T26" s="12">
        <f>VLOOKUP(B26,[6]Sheet1!$B$421:$K$628,10,FALSE)</f>
        <v>4.8</v>
      </c>
      <c r="U26" s="12">
        <f>VLOOKUP(B26,[6]Sheet1!$B$213:$K$420,10,FALSE)</f>
        <v>6.5</v>
      </c>
      <c r="V26" s="12">
        <f>VLOOKUP(B26,[6]Sheet1!$B$2:$K$212,10,FALSE)</f>
        <v>0</v>
      </c>
      <c r="W26" s="13">
        <v>95.724906921386705</v>
      </c>
      <c r="X26" s="13">
        <v>0</v>
      </c>
      <c r="Y26" s="13">
        <v>0</v>
      </c>
      <c r="Z26" s="10">
        <v>26.601953271355399</v>
      </c>
      <c r="AA26" s="10">
        <v>13.3765050071736</v>
      </c>
      <c r="AB26" s="10">
        <v>13.2199167805573</v>
      </c>
      <c r="AC26" s="10">
        <v>13.0378165083513</v>
      </c>
      <c r="AD26" s="10">
        <v>21.103269406347099</v>
      </c>
      <c r="AE26" s="10">
        <v>21.642423894208999</v>
      </c>
      <c r="AF26" s="10">
        <v>22.230238858902901</v>
      </c>
      <c r="AG26" s="10">
        <v>62.593789062500001</v>
      </c>
      <c r="AH26" s="10">
        <v>62.208457031249999</v>
      </c>
      <c r="AI26" s="12">
        <f>VLOOKUP(B26,[7]all!$A$2:$I$247,6,FALSE)</f>
        <v>74.62</v>
      </c>
      <c r="AJ26" s="12">
        <f>VLOOKUP(B26,[7]all!$A$2:$I$247,7,FALSE)</f>
        <v>74.69</v>
      </c>
      <c r="AK26" s="12">
        <f>VLOOKUP(B26,[7]all!$A$2:$I$247,8,FALSE)</f>
        <v>74.81</v>
      </c>
      <c r="AL26" s="12"/>
    </row>
    <row r="27" spans="1:38" ht="21.4" x14ac:dyDescent="1.1000000000000001">
      <c r="A27" s="10" t="s">
        <v>51</v>
      </c>
      <c r="B27" s="11" t="s">
        <v>52</v>
      </c>
      <c r="C27" s="10" t="str">
        <f>VLOOKUP(B27,'[1]who-regions'!$B$1:$D$206,3,FALSE)</f>
        <v>AFR</v>
      </c>
      <c r="D27" s="12" t="str">
        <f>VLOOKUP(B27,'[2]Metadata - Countries'!$A$1:$B$266,2,FALSE)</f>
        <v>Sub-Saharan Africa</v>
      </c>
      <c r="E27" s="12" t="str">
        <f>VLOOKUP(B27,'[2]Metadata - Countries'!$A$1:$C$266,3,FALSE)</f>
        <v>Upper middle income</v>
      </c>
      <c r="F27" s="12"/>
      <c r="G27" s="10">
        <v>80.550816819643202</v>
      </c>
      <c r="H27" s="12">
        <f>VLOOKUP(B27,[4]tas!$A$2:$H$247,5,FALSE)</f>
        <v>23.05</v>
      </c>
      <c r="I27" s="12">
        <f>VLOOKUP(B27,[4]tas!$A$2:$H$247,6,FALSE)</f>
        <v>23.08</v>
      </c>
      <c r="J27" s="12">
        <f>VLOOKUP(B27,[4]tas!$A$2:$H$247,7,FALSE)</f>
        <v>23.02</v>
      </c>
      <c r="K27" s="10">
        <v>20321150598.067173</v>
      </c>
      <c r="L27" s="10">
        <v>19411266967.104416</v>
      </c>
      <c r="M27" s="10">
        <v>19400774882.449486</v>
      </c>
      <c r="N27" s="10">
        <f>VLOOKUP(B27,[2]Data!$B$1:$G$267,4,FALSE)</f>
        <v>8328.7090572666002</v>
      </c>
      <c r="O27" s="10">
        <f>VLOOKUP(B27,[2]Data!$B$1:$G$267,5,FALSE)</f>
        <v>7826.353764832983</v>
      </c>
      <c r="P27" s="10">
        <f>VLOOKUP(B27,[2]Data!$B$1:$G$267,6,FALSE)</f>
        <v>7695.7531944516504</v>
      </c>
      <c r="Q27" s="12">
        <f>VLOOKUP(B27,[5]Sheet1!$B$421:$K$628,10,FALSE)</f>
        <v>0</v>
      </c>
      <c r="R27" s="12">
        <f>VLOOKUP(B27,[5]Sheet1!$B$213:$K$420,10,FALSE)</f>
        <v>0</v>
      </c>
      <c r="S27" s="12">
        <f>VLOOKUP(B27,[5]Sheet1!$B$2:$K$207,10,FALSE)</f>
        <v>0</v>
      </c>
      <c r="T27" s="12">
        <f>VLOOKUP(B27,[6]Sheet1!$B$421:$K$628,10,FALSE)</f>
        <v>0</v>
      </c>
      <c r="U27" s="12">
        <f>VLOOKUP(B27,[6]Sheet1!$B$213:$K$420,10,FALSE)</f>
        <v>0</v>
      </c>
      <c r="V27" s="12">
        <f>VLOOKUP(B27,[6]Sheet1!$B$2:$K$212,10,FALSE)</f>
        <v>0</v>
      </c>
      <c r="W27" s="13">
        <v>0</v>
      </c>
      <c r="X27" s="13">
        <v>0</v>
      </c>
      <c r="Y27" s="13">
        <v>0</v>
      </c>
      <c r="Z27" s="10">
        <v>18.9057549925814</v>
      </c>
      <c r="AA27" s="10">
        <v>32.423224557321497</v>
      </c>
      <c r="AB27" s="10">
        <v>32.281252916799097</v>
      </c>
      <c r="AC27" s="10">
        <v>32.129644577312099</v>
      </c>
      <c r="AD27" s="10">
        <v>3.8801520477447502</v>
      </c>
      <c r="AE27" s="10">
        <v>3.9696691193146498</v>
      </c>
      <c r="AF27" s="10">
        <v>4.0358940938996204</v>
      </c>
      <c r="AG27" s="10">
        <v>4.3052105941100702</v>
      </c>
      <c r="AH27" s="10">
        <v>4.376412048065216</v>
      </c>
      <c r="AI27" s="12">
        <f>VLOOKUP(B27,[7]all!$A$2:$I$247,6,FALSE)</f>
        <v>44.33</v>
      </c>
      <c r="AJ27" s="12">
        <f>VLOOKUP(B27,[7]all!$A$2:$I$247,7,FALSE)</f>
        <v>44.16</v>
      </c>
      <c r="AK27" s="12">
        <f>VLOOKUP(B27,[7]all!$A$2:$I$247,8,FALSE)</f>
        <v>44.71</v>
      </c>
      <c r="AL27" s="12"/>
    </row>
    <row r="28" spans="1:38" ht="21.4" x14ac:dyDescent="1.1000000000000001">
      <c r="A28" s="10" t="s">
        <v>476</v>
      </c>
      <c r="B28" s="11" t="s">
        <v>53</v>
      </c>
      <c r="C28" s="10" t="str">
        <f>VLOOKUP(B28,'[1]who-regions'!$B$1:$D$206,3,FALSE)</f>
        <v>AMR</v>
      </c>
      <c r="D28" s="12" t="str">
        <f>VLOOKUP(B28,'[2]Metadata - Countries'!$A$1:$B$266,2,FALSE)</f>
        <v>Latin America &amp; Caribbean</v>
      </c>
      <c r="E28" s="12" t="str">
        <f>VLOOKUP(B28,'[2]Metadata - Countries'!$A$1:$C$266,3,FALSE)</f>
        <v>Upper middle income</v>
      </c>
      <c r="F28" s="12"/>
      <c r="G28" s="10">
        <v>90.883499368782296</v>
      </c>
      <c r="H28" s="12">
        <f>VLOOKUP(B28,[4]tas!$A$2:$H$247,5,FALSE)</f>
        <v>26.04</v>
      </c>
      <c r="I28" s="12">
        <f>VLOOKUP(B28,[4]tas!$A$2:$H$247,6,FALSE)</f>
        <v>26.06</v>
      </c>
      <c r="J28" s="12">
        <f>VLOOKUP(B28,[4]tas!$A$2:$H$247,7,FALSE)</f>
        <v>26.1</v>
      </c>
      <c r="K28" s="10">
        <v>1951923942083.3196</v>
      </c>
      <c r="L28" s="10">
        <v>2191131765684.6296</v>
      </c>
      <c r="M28" s="10">
        <v>2179412080828.5867</v>
      </c>
      <c r="N28" s="10">
        <f>VLOOKUP(B28,[2]Data!$B$1:$G$267,4,FALSE)</f>
        <v>9281.3328213686418</v>
      </c>
      <c r="O28" s="10">
        <f>VLOOKUP(B28,[2]Data!$B$1:$G$267,5,FALSE)</f>
        <v>10377.58977191948</v>
      </c>
      <c r="P28" s="10">
        <f>VLOOKUP(B28,[2]Data!$B$1:$G$267,6,FALSE)</f>
        <v>10310.548877816553</v>
      </c>
      <c r="Q28" s="12">
        <f>VLOOKUP(B28,[5]Sheet1!$B$421:$K$628,10,FALSE)</f>
        <v>0</v>
      </c>
      <c r="R28" s="12">
        <f>VLOOKUP(B28,[5]Sheet1!$B$213:$K$420,10,FALSE)</f>
        <v>0</v>
      </c>
      <c r="S28" s="12">
        <f>VLOOKUP(B28,[5]Sheet1!$B$2:$K$207,10,FALSE)</f>
        <v>0</v>
      </c>
      <c r="T28" s="12">
        <f>VLOOKUP(B28,[6]Sheet1!$B$421:$K$628,10,FALSE)</f>
        <v>70.239999999999995</v>
      </c>
      <c r="U28" s="12">
        <f>VLOOKUP(B28,[6]Sheet1!$B$213:$K$420,10,FALSE)</f>
        <v>63.3</v>
      </c>
      <c r="V28" s="12">
        <f>VLOOKUP(B28,[6]Sheet1!$B$2:$K$212,10,FALSE)</f>
        <v>45.4</v>
      </c>
      <c r="W28" s="13">
        <v>0</v>
      </c>
      <c r="X28" s="13">
        <v>0</v>
      </c>
      <c r="Y28" s="13">
        <v>0</v>
      </c>
      <c r="Z28" s="10">
        <v>12.1793252040724</v>
      </c>
      <c r="AA28" s="10">
        <v>20.2024769910192</v>
      </c>
      <c r="AB28" s="10">
        <v>19.935952054044499</v>
      </c>
      <c r="AC28" s="10">
        <v>19.665139633592901</v>
      </c>
      <c r="AD28" s="10">
        <v>10.251784783292999</v>
      </c>
      <c r="AE28" s="10">
        <v>10.633631467664401</v>
      </c>
      <c r="AF28" s="10">
        <v>11.0491844889702</v>
      </c>
      <c r="AG28" s="10">
        <v>25.16186795148203</v>
      </c>
      <c r="AH28" s="10">
        <v>25.261688485715723</v>
      </c>
      <c r="AI28" s="12">
        <f>VLOOKUP(B28,[7]all!$A$2:$I$247,6,FALSE)</f>
        <v>72.819999999999993</v>
      </c>
      <c r="AJ28" s="12">
        <f>VLOOKUP(B28,[7]all!$A$2:$I$247,7,FALSE)</f>
        <v>72.67</v>
      </c>
      <c r="AK28" s="12">
        <f>VLOOKUP(B28,[7]all!$A$2:$I$247,8,FALSE)</f>
        <v>72.760000000000005</v>
      </c>
      <c r="AL28" s="12"/>
    </row>
    <row r="29" spans="1:38" ht="21.4" x14ac:dyDescent="1.1000000000000001">
      <c r="A29" s="10" t="s">
        <v>54</v>
      </c>
      <c r="B29" s="11" t="s">
        <v>55</v>
      </c>
      <c r="C29" s="10" t="s">
        <v>487</v>
      </c>
      <c r="D29" s="12" t="str">
        <f>VLOOKUP(B29,'[2]Metadata - Countries'!$A$1:$B$266,2,FALSE)</f>
        <v>Latin America &amp; Caribbean</v>
      </c>
      <c r="E29" s="12" t="str">
        <f>VLOOKUP(B29,'[2]Metadata - Countries'!$A$1:$C$266,3,FALSE)</f>
        <v>High income</v>
      </c>
      <c r="F29" s="12"/>
      <c r="G29" s="10">
        <v>0</v>
      </c>
      <c r="H29" s="12">
        <f>VLOOKUP(B29,[4]tas!$A$2:$H$247,5,FALSE)</f>
        <v>26.57</v>
      </c>
      <c r="I29" s="12">
        <f>VLOOKUP(B29,[4]tas!$A$2:$H$247,6,FALSE)</f>
        <v>26.58</v>
      </c>
      <c r="J29" s="12">
        <f>VLOOKUP(B29,[4]tas!$A$2:$H$247,7,FALSE)</f>
        <v>26.61</v>
      </c>
      <c r="K29" s="10">
        <v>0</v>
      </c>
      <c r="L29" s="10">
        <v>0</v>
      </c>
      <c r="M29" s="10">
        <v>0</v>
      </c>
      <c r="N29" s="10">
        <f>VLOOKUP(B29,[2]Data!$B$1:$G$267,4,FALSE)</f>
        <v>0</v>
      </c>
      <c r="O29" s="10">
        <f>VLOOKUP(B29,[2]Data!$B$1:$G$267,5,FALSE)</f>
        <v>0</v>
      </c>
      <c r="P29" s="10">
        <f>VLOOKUP(B29,[2]Data!$B$1:$G$267,6,FALSE)</f>
        <v>0</v>
      </c>
      <c r="Q29" s="12">
        <f>VLOOKUP(B29,[5]Sheet1!$B$421:$K$628,10,FALSE)</f>
        <v>0</v>
      </c>
      <c r="R29" s="12">
        <f>VLOOKUP(B29,[5]Sheet1!$B$213:$K$420,10,FALSE)</f>
        <v>0</v>
      </c>
      <c r="S29" s="12">
        <f>VLOOKUP(B29,[5]Sheet1!$B$2:$K$207,10,FALSE)</f>
        <v>0</v>
      </c>
      <c r="T29" s="12">
        <f>VLOOKUP(B29,[6]Sheet1!$B$421:$K$628,10,FALSE)</f>
        <v>0</v>
      </c>
      <c r="U29" s="12">
        <f>VLOOKUP(B29,[6]Sheet1!$B$213:$K$420,10,FALSE)</f>
        <v>0</v>
      </c>
      <c r="V29" s="12">
        <f>VLOOKUP(B29,[6]Sheet1!$B$2:$K$212,10,FALSE)</f>
        <v>0</v>
      </c>
      <c r="W29" s="13">
        <v>0</v>
      </c>
      <c r="X29" s="13">
        <v>6.9237499237060502</v>
      </c>
      <c r="Y29" s="13">
        <v>0</v>
      </c>
      <c r="Z29" s="10">
        <v>0</v>
      </c>
      <c r="AA29" s="10">
        <v>15.8889845768418</v>
      </c>
      <c r="AB29" s="10">
        <v>15.139156085673999</v>
      </c>
      <c r="AC29" s="10">
        <v>14.4916520990094</v>
      </c>
      <c r="AD29" s="10">
        <v>8.8572248753881908</v>
      </c>
      <c r="AE29" s="10">
        <v>9.2022572784404293</v>
      </c>
      <c r="AF29" s="10">
        <v>9.6235210660991601</v>
      </c>
      <c r="AG29" s="10">
        <v>255.46</v>
      </c>
      <c r="AH29" s="10">
        <v>259.89999999999998</v>
      </c>
      <c r="AI29" s="12">
        <f>VLOOKUP(B29,[7]all!$A$2:$I$247,6,FALSE)</f>
        <v>80.09</v>
      </c>
      <c r="AJ29" s="12">
        <f>VLOOKUP(B29,[7]all!$A$2:$I$247,7,FALSE)</f>
        <v>79.989999999999995</v>
      </c>
      <c r="AK29" s="12">
        <f>VLOOKUP(B29,[7]all!$A$2:$I$247,8,FALSE)</f>
        <v>79.98</v>
      </c>
      <c r="AL29" s="12"/>
    </row>
    <row r="30" spans="1:38" ht="21.4" x14ac:dyDescent="1.1000000000000001">
      <c r="A30" s="10" t="s">
        <v>56</v>
      </c>
      <c r="B30" s="11" t="s">
        <v>57</v>
      </c>
      <c r="C30" s="10" t="str">
        <f>VLOOKUP(B30,'[1]who-regions'!$B$1:$D$206,3,FALSE)</f>
        <v>WPR</v>
      </c>
      <c r="D30" s="12" t="str">
        <f>VLOOKUP(B30,'[2]Metadata - Countries'!$A$1:$B$266,2,FALSE)</f>
        <v>East Asia &amp; Pacific</v>
      </c>
      <c r="E30" s="12" t="str">
        <f>VLOOKUP(B30,'[2]Metadata - Countries'!$A$1:$C$266,3,FALSE)</f>
        <v>High income</v>
      </c>
      <c r="F30" s="12"/>
      <c r="G30" s="10">
        <v>99.480825405894393</v>
      </c>
      <c r="H30" s="12">
        <f>VLOOKUP(B30,[4]tas!$A$2:$H$247,5,FALSE)</f>
        <v>27.07</v>
      </c>
      <c r="I30" s="12">
        <f>VLOOKUP(B30,[4]tas!$A$2:$H$247,6,FALSE)</f>
        <v>27.11</v>
      </c>
      <c r="J30" s="12">
        <f>VLOOKUP(B30,[4]tas!$A$2:$H$247,7,FALSE)</f>
        <v>27.14</v>
      </c>
      <c r="K30" s="10">
        <v>16681536442.549797</v>
      </c>
      <c r="L30" s="10">
        <v>15095084686.165083</v>
      </c>
      <c r="M30" s="10">
        <v>15463134387.20129</v>
      </c>
      <c r="N30" s="10">
        <f>VLOOKUP(B30,[2]Data!$B$1:$G$267,4,FALSE)</f>
        <v>36632.928095215539</v>
      </c>
      <c r="O30" s="10">
        <f>VLOOKUP(B30,[2]Data!$B$1:$G$267,5,FALSE)</f>
        <v>32890.549181201932</v>
      </c>
      <c r="P30" s="10">
        <f>VLOOKUP(B30,[2]Data!$B$1:$G$267,6,FALSE)</f>
        <v>33153.473891351328</v>
      </c>
      <c r="Q30" s="12">
        <f>VLOOKUP(B30,[5]Sheet1!$B$421:$K$628,10,FALSE)</f>
        <v>0</v>
      </c>
      <c r="R30" s="12">
        <f>VLOOKUP(B30,[5]Sheet1!$B$213:$K$420,10,FALSE)</f>
        <v>0</v>
      </c>
      <c r="S30" s="12">
        <f>VLOOKUP(B30,[5]Sheet1!$B$2:$K$207,10,FALSE)</f>
        <v>0</v>
      </c>
      <c r="T30" s="12">
        <f>VLOOKUP(B30,[6]Sheet1!$B$421:$K$628,10,FALSE)</f>
        <v>0</v>
      </c>
      <c r="U30" s="12">
        <f>VLOOKUP(B30,[6]Sheet1!$B$213:$K$420,10,FALSE)</f>
        <v>0</v>
      </c>
      <c r="V30" s="12">
        <f>VLOOKUP(B30,[6]Sheet1!$B$2:$K$212,10,FALSE)</f>
        <v>0</v>
      </c>
      <c r="W30" s="13">
        <v>0</v>
      </c>
      <c r="X30" s="13">
        <v>0</v>
      </c>
      <c r="Y30" s="13">
        <v>0</v>
      </c>
      <c r="Z30" s="10">
        <v>7.5972650343213504</v>
      </c>
      <c r="AA30" s="10">
        <v>21.1818094975619</v>
      </c>
      <c r="AB30" s="10">
        <v>21.024363300021701</v>
      </c>
      <c r="AC30" s="10">
        <v>20.825269627627002</v>
      </c>
      <c r="AD30" s="10">
        <v>6.2017767988413803</v>
      </c>
      <c r="AE30" s="10">
        <v>6.5110791297934298</v>
      </c>
      <c r="AF30" s="10">
        <v>6.8678459937565002</v>
      </c>
      <c r="AG30" s="10">
        <v>86.407969639468689</v>
      </c>
      <c r="AH30" s="10">
        <v>87.087096774193554</v>
      </c>
      <c r="AI30" s="12">
        <f>VLOOKUP(B30,[7]all!$A$2:$I$247,6,FALSE)</f>
        <v>83.43</v>
      </c>
      <c r="AJ30" s="12">
        <f>VLOOKUP(B30,[7]all!$A$2:$I$247,7,FALSE)</f>
        <v>83.42</v>
      </c>
      <c r="AK30" s="12">
        <f>VLOOKUP(B30,[7]all!$A$2:$I$247,8,FALSE)</f>
        <v>83.34</v>
      </c>
      <c r="AL30" s="12"/>
    </row>
    <row r="31" spans="1:38" ht="21.4" x14ac:dyDescent="1.1000000000000001">
      <c r="A31" s="10" t="s">
        <v>58</v>
      </c>
      <c r="B31" s="11" t="s">
        <v>59</v>
      </c>
      <c r="C31" s="10" t="str">
        <f>VLOOKUP(B31,'[1]who-regions'!$B$1:$D$206,3,FALSE)</f>
        <v>EUR</v>
      </c>
      <c r="D31" s="12" t="str">
        <f>VLOOKUP(B31,'[2]Metadata - Countries'!$A$1:$B$266,2,FALSE)</f>
        <v>Europe &amp; Central Asia</v>
      </c>
      <c r="E31" s="12" t="str">
        <f>VLOOKUP(B31,'[2]Metadata - Countries'!$A$1:$C$266,3,FALSE)</f>
        <v>High income</v>
      </c>
      <c r="F31" s="12"/>
      <c r="G31" s="10">
        <v>86.055862883729802</v>
      </c>
      <c r="H31" s="12">
        <f>VLOOKUP(B31,[4]tas!$A$2:$H$247,5,FALSE)</f>
        <v>12.38</v>
      </c>
      <c r="I31" s="12">
        <f>VLOOKUP(B31,[4]tas!$A$2:$H$247,6,FALSE)</f>
        <v>12.38</v>
      </c>
      <c r="J31" s="12">
        <f>VLOOKUP(B31,[4]tas!$A$2:$H$247,7,FALSE)</f>
        <v>12.41</v>
      </c>
      <c r="K31" s="10">
        <v>90509236929.223679</v>
      </c>
      <c r="L31" s="10">
        <v>102396840296.14691</v>
      </c>
      <c r="M31" s="10">
        <v>112211952703.83142</v>
      </c>
      <c r="N31" s="10">
        <f>VLOOKUP(B31,[2]Data!$B$1:$G$267,4,FALSE)</f>
        <v>13999.194953095564</v>
      </c>
      <c r="O31" s="10">
        <f>VLOOKUP(B31,[2]Data!$B$1:$G$267,5,FALSE)</f>
        <v>15853.208636704016</v>
      </c>
      <c r="P31" s="10">
        <f>VLOOKUP(B31,[2]Data!$B$1:$G$267,6,FALSE)</f>
        <v>17596.017366352113</v>
      </c>
      <c r="Q31" s="12">
        <f>VLOOKUP(B31,[5]Sheet1!$B$421:$K$628,10,FALSE)</f>
        <v>0</v>
      </c>
      <c r="R31" s="12">
        <f>VLOOKUP(B31,[5]Sheet1!$B$213:$K$420,10,FALSE)</f>
        <v>0</v>
      </c>
      <c r="S31" s="12">
        <f>VLOOKUP(B31,[5]Sheet1!$B$2:$K$207,10,FALSE)</f>
        <v>0</v>
      </c>
      <c r="T31" s="12">
        <f>VLOOKUP(B31,[6]Sheet1!$B$421:$K$628,10,FALSE)</f>
        <v>0</v>
      </c>
      <c r="U31" s="12">
        <f>VLOOKUP(B31,[6]Sheet1!$B$213:$K$420,10,FALSE)</f>
        <v>18.940000000000001</v>
      </c>
      <c r="V31" s="12">
        <f>VLOOKUP(B31,[6]Sheet1!$B$2:$K$212,10,FALSE)</f>
        <v>21.5</v>
      </c>
      <c r="W31" s="13">
        <v>98.967498779296903</v>
      </c>
      <c r="X31" s="13">
        <v>0</v>
      </c>
      <c r="Y31" s="13">
        <v>0</v>
      </c>
      <c r="Z31" s="10">
        <v>17.1474236131426</v>
      </c>
      <c r="AA31" s="10">
        <v>14.5392290265379</v>
      </c>
      <c r="AB31" s="10">
        <v>14.5382010043552</v>
      </c>
      <c r="AC31" s="10">
        <v>14.4744612007493</v>
      </c>
      <c r="AD31" s="10">
        <v>21.697297221274798</v>
      </c>
      <c r="AE31" s="10">
        <v>21.832438344666599</v>
      </c>
      <c r="AF31" s="10">
        <v>22.030336260690301</v>
      </c>
      <c r="AG31" s="10">
        <v>59.553214812085486</v>
      </c>
      <c r="AH31" s="10">
        <v>59.38279292557111</v>
      </c>
      <c r="AI31" s="12">
        <f>VLOOKUP(B31,[7]all!$A$2:$I$247,6,FALSE)</f>
        <v>72.19</v>
      </c>
      <c r="AJ31" s="12">
        <f>VLOOKUP(B31,[7]all!$A$2:$I$247,7,FALSE)</f>
        <v>72.489999999999995</v>
      </c>
      <c r="AK31" s="12">
        <f>VLOOKUP(B31,[7]all!$A$2:$I$247,8,FALSE)</f>
        <v>72.8</v>
      </c>
      <c r="AL31" s="15">
        <v>6397</v>
      </c>
    </row>
    <row r="32" spans="1:38" ht="21.4" x14ac:dyDescent="1.1000000000000001">
      <c r="A32" s="10" t="s">
        <v>60</v>
      </c>
      <c r="B32" s="11" t="s">
        <v>61</v>
      </c>
      <c r="C32" s="10" t="str">
        <f>VLOOKUP(B32,'[1]who-regions'!$B$1:$D$206,3,FALSE)</f>
        <v>AFR</v>
      </c>
      <c r="D32" s="12" t="str">
        <f>VLOOKUP(B32,'[2]Metadata - Countries'!$A$1:$B$266,2,FALSE)</f>
        <v>Sub-Saharan Africa</v>
      </c>
      <c r="E32" s="12" t="str">
        <f>VLOOKUP(B32,'[2]Metadata - Countries'!$A$1:$C$266,3,FALSE)</f>
        <v>Low income</v>
      </c>
      <c r="F32" s="12"/>
      <c r="G32" s="10">
        <v>24.756493554042599</v>
      </c>
      <c r="H32" s="12">
        <f>VLOOKUP(B32,[4]tas!$A$2:$H$247,5,FALSE)</f>
        <v>29.17</v>
      </c>
      <c r="I32" s="12">
        <f>VLOOKUP(B32,[4]tas!$A$2:$H$247,6,FALSE)</f>
        <v>29.13</v>
      </c>
      <c r="J32" s="12">
        <f>VLOOKUP(B32,[4]tas!$A$2:$H$247,7,FALSE)</f>
        <v>29.31</v>
      </c>
      <c r="K32" s="10">
        <v>18820218690.594765</v>
      </c>
      <c r="L32" s="10">
        <v>20324617844.526535</v>
      </c>
      <c r="M32" s="10">
        <v>23250214909.539066</v>
      </c>
      <c r="N32" s="10">
        <f>VLOOKUP(B32,[2]Data!$B$1:$G$267,4,FALSE)</f>
        <v>827.33084348666114</v>
      </c>
      <c r="O32" s="10">
        <f>VLOOKUP(B32,[2]Data!$B$1:$G$267,5,FALSE)</f>
        <v>873.48258965100251</v>
      </c>
      <c r="P32" s="10">
        <f>VLOOKUP(B32,[2]Data!$B$1:$G$267,6,FALSE)</f>
        <v>981.99264976908148</v>
      </c>
      <c r="Q32" s="12">
        <f>VLOOKUP(B32,[5]Sheet1!$B$421:$K$628,10,FALSE)</f>
        <v>0</v>
      </c>
      <c r="R32" s="12">
        <f>VLOOKUP(B32,[5]Sheet1!$B$213:$K$420,10,FALSE)</f>
        <v>0</v>
      </c>
      <c r="S32" s="12">
        <f>VLOOKUP(B32,[5]Sheet1!$B$2:$K$207,10,FALSE)</f>
        <v>0</v>
      </c>
      <c r="T32" s="12">
        <f>VLOOKUP(B32,[6]Sheet1!$B$421:$K$628,10,FALSE)</f>
        <v>0</v>
      </c>
      <c r="U32" s="12">
        <f>VLOOKUP(B32,[6]Sheet1!$B$213:$K$420,10,FALSE)</f>
        <v>0</v>
      </c>
      <c r="V32" s="12">
        <f>VLOOKUP(B32,[6]Sheet1!$B$2:$K$212,10,FALSE)</f>
        <v>0</v>
      </c>
      <c r="W32" s="13">
        <v>31.0289707183838</v>
      </c>
      <c r="X32" s="13">
        <v>0</v>
      </c>
      <c r="Y32" s="13">
        <v>0</v>
      </c>
      <c r="Z32" s="10">
        <v>58.470676202505501</v>
      </c>
      <c r="AA32" s="10">
        <v>42.968316927442302</v>
      </c>
      <c r="AB32" s="10">
        <v>42.401250667947103</v>
      </c>
      <c r="AC32" s="10">
        <v>41.802030007413101</v>
      </c>
      <c r="AD32" s="10">
        <v>2.5946554758436302</v>
      </c>
      <c r="AE32" s="10">
        <v>2.6207129783595602</v>
      </c>
      <c r="AF32" s="10">
        <v>2.6517720811111198</v>
      </c>
      <c r="AG32" s="10">
        <v>82.269875730994158</v>
      </c>
      <c r="AH32" s="10">
        <v>84.15853801169591</v>
      </c>
      <c r="AI32" s="12">
        <f>VLOOKUP(B32,[7]all!$A$2:$I$247,6,FALSE)</f>
        <v>47.58</v>
      </c>
      <c r="AJ32" s="12">
        <f>VLOOKUP(B32,[7]all!$A$2:$I$247,7,FALSE)</f>
        <v>47.64</v>
      </c>
      <c r="AK32" s="12">
        <f>VLOOKUP(B32,[7]all!$A$2:$I$247,8,FALSE)</f>
        <v>47.65</v>
      </c>
      <c r="AL32" s="12"/>
    </row>
    <row r="33" spans="1:38" ht="21.4" x14ac:dyDescent="1.1000000000000001">
      <c r="A33" s="10" t="s">
        <v>62</v>
      </c>
      <c r="B33" s="11" t="s">
        <v>63</v>
      </c>
      <c r="C33" s="10" t="str">
        <f>VLOOKUP(B33,'[1]who-regions'!$B$1:$D$206,3,FALSE)</f>
        <v>AFR</v>
      </c>
      <c r="D33" s="12" t="str">
        <f>VLOOKUP(B33,'[2]Metadata - Countries'!$A$1:$B$266,2,FALSE)</f>
        <v>Sub-Saharan Africa</v>
      </c>
      <c r="E33" s="12" t="str">
        <f>VLOOKUP(B33,'[2]Metadata - Countries'!$A$1:$C$266,3,FALSE)</f>
        <v>Low income</v>
      </c>
      <c r="F33" s="12"/>
      <c r="G33" s="10">
        <v>45.690684641176603</v>
      </c>
      <c r="H33" s="12">
        <f>VLOOKUP(B33,[4]tas!$A$2:$H$247,5,FALSE)</f>
        <v>21.1</v>
      </c>
      <c r="I33" s="12">
        <f>VLOOKUP(B33,[4]tas!$A$2:$H$247,6,FALSE)</f>
        <v>21.11</v>
      </c>
      <c r="J33" s="12">
        <f>VLOOKUP(B33,[4]tas!$A$2:$H$247,7,FALSE)</f>
        <v>21.21</v>
      </c>
      <c r="K33" s="10">
        <v>3338722827.6569052</v>
      </c>
      <c r="L33" s="10">
        <v>2629391599.5015693</v>
      </c>
      <c r="M33" s="10">
        <v>2162378759.3466973</v>
      </c>
      <c r="N33" s="10">
        <f>VLOOKUP(B33,[2]Data!$B$1:$G$267,4,FALSE)</f>
        <v>302.99250526355235</v>
      </c>
      <c r="O33" s="10">
        <f>VLOOKUP(B33,[2]Data!$B$1:$G$267,5,FALSE)</f>
        <v>250.62725309725457</v>
      </c>
      <c r="P33" s="10">
        <f>VLOOKUP(B33,[2]Data!$B$1:$G$267,6,FALSE)</f>
        <v>219.42483088269827</v>
      </c>
      <c r="Q33" s="12">
        <f>VLOOKUP(B33,[5]Sheet1!$B$421:$K$628,10,FALSE)</f>
        <v>0</v>
      </c>
      <c r="R33" s="12">
        <f>VLOOKUP(B33,[5]Sheet1!$B$213:$K$420,10,FALSE)</f>
        <v>0</v>
      </c>
      <c r="S33" s="12">
        <f>VLOOKUP(B33,[5]Sheet1!$B$2:$K$207,10,FALSE)</f>
        <v>0</v>
      </c>
      <c r="T33" s="12">
        <f>VLOOKUP(B33,[6]Sheet1!$B$421:$K$628,10,FALSE)</f>
        <v>0</v>
      </c>
      <c r="U33" s="12">
        <f>VLOOKUP(B33,[6]Sheet1!$B$213:$K$420,10,FALSE)</f>
        <v>0</v>
      </c>
      <c r="V33" s="12">
        <f>VLOOKUP(B33,[6]Sheet1!$B$2:$K$212,10,FALSE)</f>
        <v>0</v>
      </c>
      <c r="W33" s="13">
        <v>0</v>
      </c>
      <c r="X33" s="13">
        <v>0</v>
      </c>
      <c r="Y33" s="13">
        <v>0</v>
      </c>
      <c r="Z33" s="10">
        <v>29.654134508465901</v>
      </c>
      <c r="AA33" s="10">
        <v>45.988890930345597</v>
      </c>
      <c r="AB33" s="10">
        <v>45.364742387924402</v>
      </c>
      <c r="AC33" s="10">
        <v>44.698901307295003</v>
      </c>
      <c r="AD33" s="10">
        <v>2.4858499834566898</v>
      </c>
      <c r="AE33" s="10">
        <v>2.51029451549531</v>
      </c>
      <c r="AF33" s="10">
        <v>2.53180465590806</v>
      </c>
      <c r="AG33" s="10">
        <v>518.73430685358255</v>
      </c>
      <c r="AH33" s="10">
        <v>533.07827102803742</v>
      </c>
      <c r="AI33" s="12">
        <f>VLOOKUP(B33,[7]all!$A$2:$I$247,6,FALSE)</f>
        <v>69.13</v>
      </c>
      <c r="AJ33" s="12">
        <f>VLOOKUP(B33,[7]all!$A$2:$I$247,7,FALSE)</f>
        <v>69.08</v>
      </c>
      <c r="AK33" s="12">
        <f>VLOOKUP(B33,[7]all!$A$2:$I$247,8,FALSE)</f>
        <v>68.84</v>
      </c>
      <c r="AL33" s="12"/>
    </row>
    <row r="34" spans="1:38" ht="21.4" x14ac:dyDescent="1.1000000000000001">
      <c r="A34" s="10" t="s">
        <v>64</v>
      </c>
      <c r="B34" s="11" t="s">
        <v>65</v>
      </c>
      <c r="C34" s="10" t="str">
        <f>VLOOKUP(B34,'[1]who-regions'!$B$1:$D$206,3,FALSE)</f>
        <v>AFR</v>
      </c>
      <c r="D34" s="12" t="str">
        <f>VLOOKUP(B34,'[2]Metadata - Countries'!$A$1:$B$266,2,FALSE)</f>
        <v>Sub-Saharan Africa</v>
      </c>
      <c r="E34" s="12" t="str">
        <f>VLOOKUP(B34,'[2]Metadata - Countries'!$A$1:$C$266,3,FALSE)</f>
        <v>Upper middle income</v>
      </c>
      <c r="F34" s="12"/>
      <c r="G34" s="10">
        <v>83.045303267667407</v>
      </c>
      <c r="H34" s="12">
        <f>VLOOKUP(B34,[4]tas!$A$2:$H$247,5,FALSE)</f>
        <v>23.71</v>
      </c>
      <c r="I34" s="12">
        <f>VLOOKUP(B34,[4]tas!$A$2:$H$247,6,FALSE)</f>
        <v>23.64</v>
      </c>
      <c r="J34" s="12">
        <f>VLOOKUP(B34,[4]tas!$A$2:$H$247,7,FALSE)</f>
        <v>23.68</v>
      </c>
      <c r="K34" s="10">
        <v>2247003344.3424206</v>
      </c>
      <c r="L34" s="10">
        <v>2539203428.7383742</v>
      </c>
      <c r="M34" s="10">
        <v>2767599017.4487433</v>
      </c>
      <c r="N34" s="10">
        <f>VLOOKUP(B34,[2]Data!$B$1:$G$267,4,FALSE)</f>
        <v>4323.3136203270869</v>
      </c>
      <c r="O34" s="10">
        <f>VLOOKUP(B34,[2]Data!$B$1:$G$267,5,FALSE)</f>
        <v>4794.901219172586</v>
      </c>
      <c r="P34" s="10">
        <f>VLOOKUP(B34,[2]Data!$B$1:$G$267,6,FALSE)</f>
        <v>5192.4815732587813</v>
      </c>
      <c r="Q34" s="12">
        <f>VLOOKUP(B34,[5]Sheet1!$B$421:$K$628,10,FALSE)</f>
        <v>0</v>
      </c>
      <c r="R34" s="12">
        <f>VLOOKUP(B34,[5]Sheet1!$B$213:$K$420,10,FALSE)</f>
        <v>0</v>
      </c>
      <c r="S34" s="12">
        <f>VLOOKUP(B34,[5]Sheet1!$B$2:$K$207,10,FALSE)</f>
        <v>0</v>
      </c>
      <c r="T34" s="12">
        <f>VLOOKUP(B34,[6]Sheet1!$B$421:$K$628,10,FALSE)</f>
        <v>0</v>
      </c>
      <c r="U34" s="12">
        <f>VLOOKUP(B34,[6]Sheet1!$B$213:$K$420,10,FALSE)</f>
        <v>0</v>
      </c>
      <c r="V34" s="12">
        <f>VLOOKUP(B34,[6]Sheet1!$B$2:$K$212,10,FALSE)</f>
        <v>0</v>
      </c>
      <c r="W34" s="13">
        <v>0</v>
      </c>
      <c r="X34" s="13">
        <v>0</v>
      </c>
      <c r="Y34" s="13">
        <v>0</v>
      </c>
      <c r="Z34" s="10">
        <v>42.3225220905558</v>
      </c>
      <c r="AA34" s="10">
        <v>27.174592729840398</v>
      </c>
      <c r="AB34" s="10">
        <v>26.370851405384101</v>
      </c>
      <c r="AC34" s="10">
        <v>25.547318705144299</v>
      </c>
      <c r="AD34" s="10">
        <v>6.32872911700251</v>
      </c>
      <c r="AE34" s="10">
        <v>6.5794549619445899</v>
      </c>
      <c r="AF34" s="10">
        <v>6.8581782017501203</v>
      </c>
      <c r="AG34" s="10">
        <v>128.9679900744417</v>
      </c>
      <c r="AH34" s="10">
        <v>129.61066997518611</v>
      </c>
      <c r="AI34" s="12">
        <f>VLOOKUP(B34,[7]all!$A$2:$I$247,6,FALSE)</f>
        <v>78.58</v>
      </c>
      <c r="AJ34" s="12">
        <f>VLOOKUP(B34,[7]all!$A$2:$I$247,7,FALSE)</f>
        <v>78.66</v>
      </c>
      <c r="AK34" s="12">
        <f>VLOOKUP(B34,[7]all!$A$2:$I$247,8,FALSE)</f>
        <v>78.59</v>
      </c>
      <c r="AL34" s="12"/>
    </row>
    <row r="35" spans="1:38" ht="21.4" x14ac:dyDescent="1.1000000000000001">
      <c r="A35" s="10" t="s">
        <v>66</v>
      </c>
      <c r="B35" s="11" t="s">
        <v>67</v>
      </c>
      <c r="C35" s="10" t="str">
        <f>VLOOKUP(B35,'[1]who-regions'!$B$1:$D$206,3,FALSE)</f>
        <v>WPR</v>
      </c>
      <c r="D35" s="12" t="str">
        <f>VLOOKUP(B35,'[2]Metadata - Countries'!$A$1:$B$266,2,FALSE)</f>
        <v>East Asia &amp; Pacific</v>
      </c>
      <c r="E35" s="12" t="str">
        <f>VLOOKUP(B35,'[2]Metadata - Countries'!$A$1:$C$266,3,FALSE)</f>
        <v>Lower middle income</v>
      </c>
      <c r="F35" s="12"/>
      <c r="G35" s="10">
        <v>76.719418336461999</v>
      </c>
      <c r="H35" s="12">
        <f>VLOOKUP(B35,[4]tas!$A$2:$H$247,5,FALSE)</f>
        <v>28.19</v>
      </c>
      <c r="I35" s="12">
        <f>VLOOKUP(B35,[4]tas!$A$2:$H$247,6,FALSE)</f>
        <v>28.22</v>
      </c>
      <c r="J35" s="12">
        <f>VLOOKUP(B35,[4]tas!$A$2:$H$247,7,FALSE)</f>
        <v>28.21</v>
      </c>
      <c r="K35" s="10">
        <v>39994532959.607384</v>
      </c>
      <c r="L35" s="10">
        <v>42335646895.798386</v>
      </c>
      <c r="M35" s="10">
        <v>46352647034.777466</v>
      </c>
      <c r="N35" s="10">
        <f>VLOOKUP(B35,[2]Data!$B$1:$G$267,4,FALSE)</f>
        <v>2325.0305004084116</v>
      </c>
      <c r="O35" s="10">
        <f>VLOOKUP(B35,[2]Data!$B$1:$G$267,5,FALSE)</f>
        <v>2429.7485345283822</v>
      </c>
      <c r="P35" s="10">
        <f>VLOOKUP(B35,[2]Data!$B$1:$G$267,6,FALSE)</f>
        <v>2627.8796975622413</v>
      </c>
      <c r="Q35" s="12">
        <f>VLOOKUP(B35,[5]Sheet1!$B$421:$K$628,10,FALSE)</f>
        <v>0</v>
      </c>
      <c r="R35" s="12">
        <f>VLOOKUP(B35,[5]Sheet1!$B$213:$K$420,10,FALSE)</f>
        <v>0</v>
      </c>
      <c r="S35" s="12">
        <f>VLOOKUP(B35,[5]Sheet1!$B$2:$K$207,10,FALSE)</f>
        <v>0</v>
      </c>
      <c r="T35" s="12">
        <f>VLOOKUP(B35,[6]Sheet1!$B$421:$K$628,10,FALSE)</f>
        <v>0</v>
      </c>
      <c r="U35" s="12">
        <f>VLOOKUP(B35,[6]Sheet1!$B$213:$K$420,10,FALSE)</f>
        <v>0</v>
      </c>
      <c r="V35" s="12">
        <f>VLOOKUP(B35,[6]Sheet1!$B$2:$K$212,10,FALSE)</f>
        <v>0</v>
      </c>
      <c r="W35" s="13">
        <v>0</v>
      </c>
      <c r="X35" s="13">
        <v>0</v>
      </c>
      <c r="Y35" s="13">
        <v>0</v>
      </c>
      <c r="Z35" s="10">
        <v>24.143602280345199</v>
      </c>
      <c r="AA35" s="10">
        <v>30.454416384497801</v>
      </c>
      <c r="AB35" s="10">
        <v>30.110557174677599</v>
      </c>
      <c r="AC35" s="10">
        <v>29.793145514628399</v>
      </c>
      <c r="AD35" s="10">
        <v>5.7669541078252999</v>
      </c>
      <c r="AE35" s="10">
        <v>5.96118643031327</v>
      </c>
      <c r="AF35" s="10">
        <v>6.1637042722944804</v>
      </c>
      <c r="AG35" s="10">
        <v>97.449150237933381</v>
      </c>
      <c r="AH35" s="10">
        <v>98.707681849082263</v>
      </c>
      <c r="AI35" s="12">
        <f>VLOOKUP(B35,[7]all!$A$2:$I$247,6,FALSE)</f>
        <v>72.33</v>
      </c>
      <c r="AJ35" s="12">
        <f>VLOOKUP(B35,[7]all!$A$2:$I$247,7,FALSE)</f>
        <v>72.38</v>
      </c>
      <c r="AK35" s="12">
        <f>VLOOKUP(B35,[7]all!$A$2:$I$247,8,FALSE)</f>
        <v>72.430000000000007</v>
      </c>
      <c r="AL35" s="15">
        <v>13934</v>
      </c>
    </row>
    <row r="36" spans="1:38" ht="21.4" x14ac:dyDescent="1.1000000000000001">
      <c r="A36" s="10" t="s">
        <v>68</v>
      </c>
      <c r="B36" s="11" t="s">
        <v>69</v>
      </c>
      <c r="C36" s="10" t="str">
        <f>VLOOKUP(B36,'[1]who-regions'!$B$1:$D$206,3,FALSE)</f>
        <v>AFR</v>
      </c>
      <c r="D36" s="12" t="str">
        <f>VLOOKUP(B36,'[2]Metadata - Countries'!$A$1:$B$266,2,FALSE)</f>
        <v>Sub-Saharan Africa</v>
      </c>
      <c r="E36" s="12" t="str">
        <f>VLOOKUP(B36,'[2]Metadata - Countries'!$A$1:$C$266,3,FALSE)</f>
        <v>Lower middle income</v>
      </c>
      <c r="F36" s="12"/>
      <c r="G36" s="10">
        <v>43.119165338496003</v>
      </c>
      <c r="H36" s="12">
        <f>VLOOKUP(B36,[4]tas!$A$2:$H$247,5,FALSE)</f>
        <v>25.43</v>
      </c>
      <c r="I36" s="12">
        <f>VLOOKUP(B36,[4]tas!$A$2:$H$247,6,FALSE)</f>
        <v>25.44</v>
      </c>
      <c r="J36" s="12">
        <f>VLOOKUP(B36,[4]tas!$A$2:$H$247,7,FALSE)</f>
        <v>25.51</v>
      </c>
      <c r="K36" s="10">
        <v>44347206072.551331</v>
      </c>
      <c r="L36" s="10">
        <v>49279410982.825966</v>
      </c>
      <c r="M36" s="10">
        <v>51326764684.859528</v>
      </c>
      <c r="N36" s="10">
        <f>VLOOKUP(B36,[2]Data!$B$1:$G$267,4,FALSE)</f>
        <v>1604.8772695489472</v>
      </c>
      <c r="O36" s="10">
        <f>VLOOKUP(B36,[2]Data!$B$1:$G$267,5,FALSE)</f>
        <v>1720.4751015450624</v>
      </c>
      <c r="P36" s="10">
        <f>VLOOKUP(B36,[2]Data!$B$1:$G$267,6,FALSE)</f>
        <v>1830.0083368472697</v>
      </c>
      <c r="Q36" s="12">
        <f>VLOOKUP(B36,[5]Sheet1!$B$421:$K$628,10,FALSE)</f>
        <v>0</v>
      </c>
      <c r="R36" s="12">
        <f>VLOOKUP(B36,[5]Sheet1!$B$213:$K$420,10,FALSE)</f>
        <v>0</v>
      </c>
      <c r="S36" s="12">
        <f>VLOOKUP(B36,[5]Sheet1!$B$2:$K$207,10,FALSE)</f>
        <v>0</v>
      </c>
      <c r="T36" s="12">
        <f>VLOOKUP(B36,[6]Sheet1!$B$421:$K$628,10,FALSE)</f>
        <v>0</v>
      </c>
      <c r="U36" s="12">
        <f>VLOOKUP(B36,[6]Sheet1!$B$213:$K$420,10,FALSE)</f>
        <v>0</v>
      </c>
      <c r="V36" s="12">
        <f>VLOOKUP(B36,[6]Sheet1!$B$2:$K$212,10,FALSE)</f>
        <v>0</v>
      </c>
      <c r="W36" s="13">
        <v>65.963401794433594</v>
      </c>
      <c r="X36" s="13">
        <v>61.849498748779297</v>
      </c>
      <c r="Y36" s="13">
        <v>0</v>
      </c>
      <c r="Z36" s="10">
        <v>39.812625100451903</v>
      </c>
      <c r="AA36" s="10">
        <v>42.058200712874601</v>
      </c>
      <c r="AB36" s="10">
        <v>41.760554789893497</v>
      </c>
      <c r="AC36" s="10">
        <v>41.442227370255502</v>
      </c>
      <c r="AD36" s="10">
        <v>2.7631719822240801</v>
      </c>
      <c r="AE36" s="10">
        <v>2.7748394080546599</v>
      </c>
      <c r="AF36" s="10">
        <v>2.7947986837612402</v>
      </c>
      <c r="AG36" s="10">
        <v>58.456074548877744</v>
      </c>
      <c r="AH36" s="10">
        <v>60.021338664297346</v>
      </c>
      <c r="AI36" s="12">
        <f>VLOOKUP(B36,[7]all!$A$2:$I$247,6,FALSE)</f>
        <v>69.94</v>
      </c>
      <c r="AJ36" s="12">
        <f>VLOOKUP(B36,[7]all!$A$2:$I$247,7,FALSE)</f>
        <v>69.87</v>
      </c>
      <c r="AK36" s="12">
        <f>VLOOKUP(B36,[7]all!$A$2:$I$247,8,FALSE)</f>
        <v>69.94</v>
      </c>
      <c r="AL36" s="12"/>
    </row>
    <row r="37" spans="1:38" ht="21.4" x14ac:dyDescent="1.1000000000000001">
      <c r="A37" s="10" t="s">
        <v>70</v>
      </c>
      <c r="B37" s="11" t="s">
        <v>71</v>
      </c>
      <c r="C37" s="10" t="str">
        <f>VLOOKUP(B37,'[1]who-regions'!$B$1:$D$206,3,FALSE)</f>
        <v>AMR</v>
      </c>
      <c r="D37" s="12" t="str">
        <f>VLOOKUP(B37,'[2]Metadata - Countries'!$A$1:$B$266,2,FALSE)</f>
        <v>North America</v>
      </c>
      <c r="E37" s="12" t="str">
        <f>VLOOKUP(B37,'[2]Metadata - Countries'!$A$1:$C$266,3,FALSE)</f>
        <v>High income</v>
      </c>
      <c r="F37" s="12"/>
      <c r="G37" s="10">
        <v>98.588358196861407</v>
      </c>
      <c r="H37" s="12">
        <f>VLOOKUP(B37,[4]tas!$A$2:$H$247,5,FALSE)</f>
        <v>-2.41</v>
      </c>
      <c r="I37" s="12">
        <f>VLOOKUP(B37,[4]tas!$A$2:$H$247,6,FALSE)</f>
        <v>-2.3199999999999998</v>
      </c>
      <c r="J37" s="12">
        <f>VLOOKUP(B37,[4]tas!$A$2:$H$247,7,FALSE)</f>
        <v>-2.19</v>
      </c>
      <c r="K37" s="10">
        <v>2190411080134.3191</v>
      </c>
      <c r="L37" s="10">
        <v>2173339670064.3279</v>
      </c>
      <c r="M37" s="10">
        <v>2241253230970.3394</v>
      </c>
      <c r="N37" s="10">
        <f>VLOOKUP(B37,[2]Data!$B$1:$G$267,4,FALSE)</f>
        <v>56256.800726401452</v>
      </c>
      <c r="O37" s="10">
        <f>VLOOKUP(B37,[2]Data!$B$1:$G$267,5,FALSE)</f>
        <v>54220.328503987526</v>
      </c>
      <c r="P37" s="10">
        <f>VLOOKUP(B37,[2]Data!$B$1:$G$267,6,FALSE)</f>
        <v>54340.347722473263</v>
      </c>
      <c r="Q37" s="12">
        <f>VLOOKUP(B37,[5]Sheet1!$B$421:$K$628,10,FALSE)</f>
        <v>0</v>
      </c>
      <c r="R37" s="12">
        <f>VLOOKUP(B37,[5]Sheet1!$B$213:$K$420,10,FALSE)</f>
        <v>0</v>
      </c>
      <c r="S37" s="12">
        <f>VLOOKUP(B37,[5]Sheet1!$B$2:$K$207,10,FALSE)</f>
        <v>0</v>
      </c>
      <c r="T37" s="12">
        <f>VLOOKUP(B37,[6]Sheet1!$B$421:$K$628,10,FALSE)</f>
        <v>71</v>
      </c>
      <c r="U37" s="12">
        <f>VLOOKUP(B37,[6]Sheet1!$B$213:$K$420,10,FALSE)</f>
        <v>73.7</v>
      </c>
      <c r="V37" s="12">
        <f>VLOOKUP(B37,[6]Sheet1!$B$2:$K$212,10,FALSE)</f>
        <v>73.7</v>
      </c>
      <c r="W37" s="13">
        <v>0</v>
      </c>
      <c r="X37" s="13">
        <v>0</v>
      </c>
      <c r="Y37" s="13">
        <v>0</v>
      </c>
      <c r="Z37" s="10">
        <v>6.5656699437526296</v>
      </c>
      <c r="AA37" s="10">
        <v>15.547907655442099</v>
      </c>
      <c r="AB37" s="10">
        <v>15.304543389786399</v>
      </c>
      <c r="AC37" s="10">
        <v>15.111320570986701</v>
      </c>
      <c r="AD37" s="10">
        <v>18.940747130328798</v>
      </c>
      <c r="AE37" s="10">
        <v>19.358119216177101</v>
      </c>
      <c r="AF37" s="10">
        <v>19.799590764832399</v>
      </c>
      <c r="AG37" s="10">
        <v>4.4302267684640508</v>
      </c>
      <c r="AH37" s="10">
        <v>4.5607978426843561</v>
      </c>
      <c r="AI37" s="12">
        <f>VLOOKUP(B37,[7]all!$A$2:$I$247,6,FALSE)</f>
        <v>72.52</v>
      </c>
      <c r="AJ37" s="12">
        <f>VLOOKUP(B37,[7]all!$A$2:$I$247,7,FALSE)</f>
        <v>72.459999999999994</v>
      </c>
      <c r="AK37" s="12">
        <f>VLOOKUP(B37,[7]all!$A$2:$I$247,8,FALSE)</f>
        <v>72.400000000000006</v>
      </c>
      <c r="AL37" s="15">
        <v>258830.5</v>
      </c>
    </row>
    <row r="38" spans="1:38" ht="21.4" x14ac:dyDescent="1.1000000000000001">
      <c r="A38" s="10" t="s">
        <v>72</v>
      </c>
      <c r="B38" s="11" t="s">
        <v>73</v>
      </c>
      <c r="C38" s="10" t="str">
        <f>VLOOKUP(B38,'[1]who-regions'!$B$1:$D$206,3,FALSE)</f>
        <v>AMR</v>
      </c>
      <c r="D38" s="12" t="str">
        <f>VLOOKUP(B38,'[2]Metadata - Countries'!$A$1:$B$266,2,FALSE)</f>
        <v>Latin America &amp; Caribbean</v>
      </c>
      <c r="E38" s="12" t="str">
        <f>VLOOKUP(B38,'[2]Metadata - Countries'!$A$1:$C$266,3,FALSE)</f>
        <v>High income</v>
      </c>
      <c r="F38" s="12"/>
      <c r="G38" s="10">
        <v>83.266288343558202</v>
      </c>
      <c r="H38" s="12">
        <f>VLOOKUP(B38,[4]tas!$A$2:$H$247,5,FALSE)</f>
        <v>27.15</v>
      </c>
      <c r="I38" s="12">
        <f>VLOOKUP(B38,[4]tas!$A$2:$H$247,6,FALSE)</f>
        <v>27.15</v>
      </c>
      <c r="J38" s="12">
        <f>VLOOKUP(B38,[4]tas!$A$2:$H$247,7,FALSE)</f>
        <v>27.18</v>
      </c>
      <c r="K38" s="10">
        <v>6600843963.3758535</v>
      </c>
      <c r="L38" s="10">
        <v>7139428557.7142305</v>
      </c>
      <c r="M38" s="10">
        <v>0</v>
      </c>
      <c r="N38" s="10">
        <f>VLOOKUP(B38,[2]Data!$B$1:$G$267,4,FALSE)</f>
        <v>93030.705144780324</v>
      </c>
      <c r="O38" s="10">
        <f>VLOOKUP(B38,[2]Data!$B$1:$G$267,5,FALSE)</f>
        <v>99143.518024312303</v>
      </c>
      <c r="P38" s="10">
        <f>VLOOKUP(B38,[2]Data!$B$1:$G$267,6,FALSE)</f>
        <v>0</v>
      </c>
      <c r="Q38" s="12">
        <f>VLOOKUP(B38,[5]Sheet1!$B$421:$K$628,10,FALSE)</f>
        <v>0</v>
      </c>
      <c r="R38" s="12">
        <f>VLOOKUP(B38,[5]Sheet1!$B$213:$K$420,10,FALSE)</f>
        <v>0</v>
      </c>
      <c r="S38" s="12">
        <f>VLOOKUP(B38,[5]Sheet1!$B$2:$K$207,10,FALSE)</f>
        <v>0</v>
      </c>
      <c r="T38" s="12">
        <f>VLOOKUP(B38,[6]Sheet1!$B$421:$K$628,10,FALSE)</f>
        <v>0</v>
      </c>
      <c r="U38" s="12">
        <f>VLOOKUP(B38,[6]Sheet1!$B$213:$K$420,10,FALSE)</f>
        <v>0</v>
      </c>
      <c r="V38" s="12">
        <f>VLOOKUP(B38,[6]Sheet1!$B$2:$K$212,10,FALSE)</f>
        <v>0</v>
      </c>
      <c r="W38" s="13">
        <v>0</v>
      </c>
      <c r="X38" s="13">
        <v>85.285263061523395</v>
      </c>
      <c r="Y38" s="13">
        <v>0</v>
      </c>
      <c r="Z38" s="10">
        <v>0</v>
      </c>
      <c r="AA38" s="10">
        <v>16.355293575354601</v>
      </c>
      <c r="AB38" s="10">
        <v>16.2942577836195</v>
      </c>
      <c r="AC38" s="10">
        <v>16.187758117046599</v>
      </c>
      <c r="AD38" s="10">
        <v>8.1378375924516195</v>
      </c>
      <c r="AE38" s="10">
        <v>8.5414441797420508</v>
      </c>
      <c r="AF38" s="10">
        <v>8.9977503945203594</v>
      </c>
      <c r="AG38" s="10">
        <v>298.29583333333335</v>
      </c>
      <c r="AH38" s="10">
        <v>304.32499999999999</v>
      </c>
      <c r="AI38" s="12">
        <f>VLOOKUP(B38,[7]all!$A$2:$I$247,6,FALSE)</f>
        <v>79.27</v>
      </c>
      <c r="AJ38" s="12">
        <f>VLOOKUP(B38,[7]all!$A$2:$I$247,7,FALSE)</f>
        <v>79.38</v>
      </c>
      <c r="AK38" s="12">
        <f>VLOOKUP(B38,[7]all!$A$2:$I$247,8,FALSE)</f>
        <v>79.39</v>
      </c>
      <c r="AL38" s="12"/>
    </row>
    <row r="39" spans="1:38" ht="21.4" x14ac:dyDescent="1.1000000000000001">
      <c r="A39" s="10" t="s">
        <v>74</v>
      </c>
      <c r="B39" s="11" t="s">
        <v>75</v>
      </c>
      <c r="C39" s="10" t="str">
        <f>VLOOKUP(B39,'[1]who-regions'!$B$1:$D$206,3,FALSE)</f>
        <v>AFR</v>
      </c>
      <c r="D39" s="12" t="str">
        <f>VLOOKUP(B39,'[2]Metadata - Countries'!$A$1:$B$266,2,FALSE)</f>
        <v>Sub-Saharan Africa</v>
      </c>
      <c r="E39" s="12" t="str">
        <f>VLOOKUP(B39,'[2]Metadata - Countries'!$A$1:$C$266,3,FALSE)</f>
        <v>Low income</v>
      </c>
      <c r="F39" s="12"/>
      <c r="G39" s="10">
        <v>13.8462938417752</v>
      </c>
      <c r="H39" s="12">
        <f>VLOOKUP(B39,[4]tas!$A$2:$H$247,5,FALSE)</f>
        <v>26.69</v>
      </c>
      <c r="I39" s="12">
        <f>VLOOKUP(B39,[4]tas!$A$2:$H$247,6,FALSE)</f>
        <v>26.7</v>
      </c>
      <c r="J39" s="12">
        <f>VLOOKUP(B39,[4]tas!$A$2:$H$247,7,FALSE)</f>
        <v>26.83</v>
      </c>
      <c r="K39" s="10">
        <v>2382618615.0169392</v>
      </c>
      <c r="L39" s="10">
        <v>2555492085.947247</v>
      </c>
      <c r="M39" s="10">
        <v>2751544520.3791761</v>
      </c>
      <c r="N39" s="10">
        <f>VLOOKUP(B39,[2]Data!$B$1:$G$267,4,FALSE)</f>
        <v>467.35982502623835</v>
      </c>
      <c r="O39" s="10">
        <f>VLOOKUP(B39,[2]Data!$B$1:$G$267,5,FALSE)</f>
        <v>495.97889728872059</v>
      </c>
      <c r="P39" s="10">
        <f>VLOOKUP(B39,[2]Data!$B$1:$G$267,6,FALSE)</f>
        <v>516.16099999603625</v>
      </c>
      <c r="Q39" s="12">
        <f>VLOOKUP(B39,[5]Sheet1!$B$421:$K$628,10,FALSE)</f>
        <v>0</v>
      </c>
      <c r="R39" s="12">
        <f>VLOOKUP(B39,[5]Sheet1!$B$213:$K$420,10,FALSE)</f>
        <v>0</v>
      </c>
      <c r="S39" s="12">
        <f>VLOOKUP(B39,[5]Sheet1!$B$2:$K$207,10,FALSE)</f>
        <v>0</v>
      </c>
      <c r="T39" s="12">
        <f>VLOOKUP(B39,[6]Sheet1!$B$421:$K$628,10,FALSE)</f>
        <v>0</v>
      </c>
      <c r="U39" s="12">
        <f>VLOOKUP(B39,[6]Sheet1!$B$213:$K$420,10,FALSE)</f>
        <v>0</v>
      </c>
      <c r="V39" s="12">
        <f>VLOOKUP(B39,[6]Sheet1!$B$2:$K$212,10,FALSE)</f>
        <v>0</v>
      </c>
      <c r="W39" s="13">
        <v>0</v>
      </c>
      <c r="X39" s="13">
        <v>0</v>
      </c>
      <c r="Y39" s="13">
        <v>0</v>
      </c>
      <c r="Z39" s="10">
        <v>34.433418446645703</v>
      </c>
      <c r="AA39" s="10">
        <v>49.215232639919698</v>
      </c>
      <c r="AB39" s="10">
        <v>49.166445168828901</v>
      </c>
      <c r="AC39" s="10">
        <v>49.003360634679602</v>
      </c>
      <c r="AD39" s="10">
        <v>2.14369661121692</v>
      </c>
      <c r="AE39" s="10">
        <v>2.09527735556521</v>
      </c>
      <c r="AF39" s="10">
        <v>2.15107257700903</v>
      </c>
      <c r="AG39" s="10">
        <v>8.1833108607017877</v>
      </c>
      <c r="AH39" s="10">
        <v>8.2706041927509713</v>
      </c>
      <c r="AI39" s="12">
        <f>VLOOKUP(B39,[7]all!$A$2:$I$247,6,FALSE)</f>
        <v>64.739999999999995</v>
      </c>
      <c r="AJ39" s="12">
        <f>VLOOKUP(B39,[7]all!$A$2:$I$247,7,FALSE)</f>
        <v>64.63</v>
      </c>
      <c r="AK39" s="12">
        <f>VLOOKUP(B39,[7]all!$A$2:$I$247,8,FALSE)</f>
        <v>64.540000000000006</v>
      </c>
      <c r="AL39" s="12"/>
    </row>
    <row r="40" spans="1:38" ht="21.4" x14ac:dyDescent="1.1000000000000001">
      <c r="A40" s="10" t="s">
        <v>76</v>
      </c>
      <c r="B40" s="11" t="s">
        <v>77</v>
      </c>
      <c r="C40" s="10" t="str">
        <f>VLOOKUP(B40,'[1]who-regions'!$B$1:$D$206,3,FALSE)</f>
        <v>AFR</v>
      </c>
      <c r="D40" s="12" t="str">
        <f>VLOOKUP(B40,'[2]Metadata - Countries'!$A$1:$B$266,2,FALSE)</f>
        <v>Sub-Saharan Africa</v>
      </c>
      <c r="E40" s="12" t="str">
        <f>VLOOKUP(B40,'[2]Metadata - Countries'!$A$1:$C$266,3,FALSE)</f>
        <v>Low income</v>
      </c>
      <c r="F40" s="12"/>
      <c r="G40" s="10">
        <v>12.9220664368098</v>
      </c>
      <c r="H40" s="12">
        <f>VLOOKUP(B40,[4]tas!$A$2:$H$247,5,FALSE)</f>
        <v>27.7</v>
      </c>
      <c r="I40" s="12">
        <f>VLOOKUP(B40,[4]tas!$A$2:$H$247,6,FALSE)</f>
        <v>27.65</v>
      </c>
      <c r="J40" s="12">
        <f>VLOOKUP(B40,[4]tas!$A$2:$H$247,7,FALSE)</f>
        <v>27.83</v>
      </c>
      <c r="K40" s="10">
        <v>17828508289.604942</v>
      </c>
      <c r="L40" s="10">
        <v>19107685020.890015</v>
      </c>
      <c r="M40" s="10">
        <v>20625711664.647213</v>
      </c>
      <c r="N40" s="10">
        <f>VLOOKUP(B40,[2]Data!$B$1:$G$267,4,FALSE)</f>
        <v>966.03646827856767</v>
      </c>
      <c r="O40" s="10">
        <f>VLOOKUP(B40,[2]Data!$B$1:$G$267,5,FALSE)</f>
        <v>949.33345367459242</v>
      </c>
      <c r="P40" s="10">
        <f>VLOOKUP(B40,[2]Data!$B$1:$G$267,6,FALSE)</f>
        <v>961.55975562506023</v>
      </c>
      <c r="Q40" s="12">
        <f>VLOOKUP(B40,[5]Sheet1!$B$421:$K$628,10,FALSE)</f>
        <v>0</v>
      </c>
      <c r="R40" s="12">
        <f>VLOOKUP(B40,[5]Sheet1!$B$213:$K$420,10,FALSE)</f>
        <v>0</v>
      </c>
      <c r="S40" s="12">
        <f>VLOOKUP(B40,[5]Sheet1!$B$2:$K$207,10,FALSE)</f>
        <v>0</v>
      </c>
      <c r="T40" s="12">
        <f>VLOOKUP(B40,[6]Sheet1!$B$421:$K$628,10,FALSE)</f>
        <v>0</v>
      </c>
      <c r="U40" s="12">
        <f>VLOOKUP(B40,[6]Sheet1!$B$213:$K$420,10,FALSE)</f>
        <v>0</v>
      </c>
      <c r="V40" s="12">
        <f>VLOOKUP(B40,[6]Sheet1!$B$2:$K$212,10,FALSE)</f>
        <v>0</v>
      </c>
      <c r="W40" s="13">
        <v>0</v>
      </c>
      <c r="X40" s="13">
        <v>0</v>
      </c>
      <c r="Y40" s="13">
        <v>0</v>
      </c>
      <c r="Z40" s="10">
        <v>49.138848412802702</v>
      </c>
      <c r="AA40" s="10">
        <v>47.403703285375997</v>
      </c>
      <c r="AB40" s="10">
        <v>46.737173705723997</v>
      </c>
      <c r="AC40" s="10">
        <v>46.064628013732403</v>
      </c>
      <c r="AD40" s="10">
        <v>2.0555107822459102</v>
      </c>
      <c r="AE40" s="10">
        <v>2.0747744300655602</v>
      </c>
      <c r="AF40" s="10">
        <v>2.1005365601262702</v>
      </c>
      <c r="AG40" s="10">
        <v>14.656381829733164</v>
      </c>
      <c r="AH40" s="10">
        <v>15.34233163913596</v>
      </c>
      <c r="AI40" s="12">
        <f>VLOOKUP(B40,[7]all!$A$2:$I$247,6,FALSE)</f>
        <v>32.200000000000003</v>
      </c>
      <c r="AJ40" s="12">
        <f>VLOOKUP(B40,[7]all!$A$2:$I$247,7,FALSE)</f>
        <v>32.020000000000003</v>
      </c>
      <c r="AK40" s="12">
        <f>VLOOKUP(B40,[7]all!$A$2:$I$247,8,FALSE)</f>
        <v>32.17</v>
      </c>
      <c r="AL40" s="12"/>
    </row>
    <row r="41" spans="1:38" ht="21.4" x14ac:dyDescent="1.1000000000000001">
      <c r="A41" s="10" t="s">
        <v>437</v>
      </c>
      <c r="B41" s="11" t="s">
        <v>78</v>
      </c>
      <c r="C41" s="10" t="s">
        <v>487</v>
      </c>
      <c r="D41" s="12" t="str">
        <f>VLOOKUP(B41,'[2]Metadata - Countries'!$A$1:$B$266,2,FALSE)</f>
        <v>Europe &amp; Central Asia</v>
      </c>
      <c r="E41" s="12" t="str">
        <f>VLOOKUP(B41,'[2]Metadata - Countries'!$A$1:$C$266,3,FALSE)</f>
        <v>High income</v>
      </c>
      <c r="F41" s="12"/>
      <c r="G41" s="10">
        <v>0</v>
      </c>
      <c r="H41" s="12" t="e">
        <f>VLOOKUP(B41,[4]tas!$A$2:$H$247,5,FALSE)</f>
        <v>#N/A</v>
      </c>
      <c r="I41" s="12" t="e">
        <f>VLOOKUP(B41,[4]tas!$A$2:$H$247,6,FALSE)</f>
        <v>#N/A</v>
      </c>
      <c r="J41" s="12" t="e">
        <f>VLOOKUP(B41,[4]tas!$A$2:$H$247,7,FALSE)</f>
        <v>#N/A</v>
      </c>
      <c r="K41" s="10">
        <v>11308300382.102798</v>
      </c>
      <c r="L41" s="10">
        <v>12507927159.726538</v>
      </c>
      <c r="M41" s="10">
        <v>0</v>
      </c>
      <c r="N41" s="10">
        <f>VLOOKUP(B41,[2]Data!$B$1:$G$267,4,FALSE)</f>
        <v>67627.141734790697</v>
      </c>
      <c r="O41" s="10">
        <f>VLOOKUP(B41,[2]Data!$B$1:$G$267,5,FALSE)</f>
        <v>74585.522409629426</v>
      </c>
      <c r="P41" s="10">
        <f>VLOOKUP(B41,[2]Data!$B$1:$G$267,6,FALSE)</f>
        <v>0</v>
      </c>
      <c r="Q41" s="12" t="e">
        <f>VLOOKUP(B41,[5]Sheet1!$B$421:$K$628,10,FALSE)</f>
        <v>#N/A</v>
      </c>
      <c r="R41" s="12" t="e">
        <f>VLOOKUP(B41,[5]Sheet1!$B$213:$K$420,10,FALSE)</f>
        <v>#N/A</v>
      </c>
      <c r="S41" s="12" t="e">
        <f>VLOOKUP(B41,[5]Sheet1!$B$2:$K$207,10,FALSE)</f>
        <v>#N/A</v>
      </c>
      <c r="T41" s="12" t="e">
        <f>VLOOKUP(B41,[6]Sheet1!$B$421:$K$628,10,FALSE)</f>
        <v>#N/A</v>
      </c>
      <c r="U41" s="12" t="e">
        <f>VLOOKUP(B41,[6]Sheet1!$B$213:$K$420,10,FALSE)</f>
        <v>#N/A</v>
      </c>
      <c r="V41" s="12" t="e">
        <f>VLOOKUP(B41,[6]Sheet1!$B$2:$K$212,10,FALSE)</f>
        <v>#N/A</v>
      </c>
      <c r="W41" s="13">
        <v>0</v>
      </c>
      <c r="X41" s="13">
        <v>0</v>
      </c>
      <c r="Y41" s="13">
        <v>0</v>
      </c>
      <c r="Z41" s="10">
        <v>0</v>
      </c>
      <c r="AA41" s="10">
        <v>14.610742991101301</v>
      </c>
      <c r="AB41" s="10">
        <v>14.3963766797959</v>
      </c>
      <c r="AC41" s="10">
        <v>14.2039726275907</v>
      </c>
      <c r="AD41" s="10">
        <v>19.343543680030599</v>
      </c>
      <c r="AE41" s="10">
        <v>19.6643837046004</v>
      </c>
      <c r="AF41" s="10">
        <v>20.029977606014601</v>
      </c>
      <c r="AG41" s="10">
        <v>0</v>
      </c>
      <c r="AH41" s="10">
        <v>0</v>
      </c>
      <c r="AI41" s="12" t="e">
        <f>VLOOKUP(B41,[7]all!$A$2:$I$247,6,FALSE)</f>
        <v>#N/A</v>
      </c>
      <c r="AJ41" s="12" t="e">
        <f>VLOOKUP(B41,[7]all!$A$2:$I$247,7,FALSE)</f>
        <v>#N/A</v>
      </c>
      <c r="AK41" s="12" t="e">
        <f>VLOOKUP(B41,[7]all!$A$2:$I$247,8,FALSE)</f>
        <v>#N/A</v>
      </c>
      <c r="AL41" s="12"/>
    </row>
    <row r="42" spans="1:38" ht="21.4" x14ac:dyDescent="1.1000000000000001">
      <c r="A42" s="10" t="s">
        <v>79</v>
      </c>
      <c r="B42" s="11" t="s">
        <v>80</v>
      </c>
      <c r="C42" s="10" t="str">
        <f>VLOOKUP(B42,'[1]who-regions'!$B$1:$D$206,3,FALSE)</f>
        <v>AMR</v>
      </c>
      <c r="D42" s="12" t="str">
        <f>VLOOKUP(B42,'[2]Metadata - Countries'!$A$1:$B$266,2,FALSE)</f>
        <v>Latin America &amp; Caribbean</v>
      </c>
      <c r="E42" s="12" t="str">
        <f>VLOOKUP(B42,'[2]Metadata - Countries'!$A$1:$C$266,3,FALSE)</f>
        <v>High income</v>
      </c>
      <c r="F42" s="12"/>
      <c r="G42" s="10">
        <v>99.999998296322602</v>
      </c>
      <c r="H42" s="12">
        <f>VLOOKUP(B42,[4]tas!$A$2:$H$247,5,FALSE)</f>
        <v>9.57</v>
      </c>
      <c r="I42" s="12">
        <f>VLOOKUP(B42,[4]tas!$A$2:$H$247,6,FALSE)</f>
        <v>9.6199999999999992</v>
      </c>
      <c r="J42" s="12">
        <f>VLOOKUP(B42,[4]tas!$A$2:$H$247,7,FALSE)</f>
        <v>9.6999999999999993</v>
      </c>
      <c r="K42" s="10">
        <v>301226575540.2417</v>
      </c>
      <c r="L42" s="10">
        <v>335518054097.63696</v>
      </c>
      <c r="M42" s="10">
        <v>330267137371.59229</v>
      </c>
      <c r="N42" s="10">
        <f>VLOOKUP(B42,[2]Data!$B$1:$G$267,4,FALSE)</f>
        <v>15405.616577407298</v>
      </c>
      <c r="O42" s="10">
        <f>VLOOKUP(B42,[2]Data!$B$1:$G$267,5,FALSE)</f>
        <v>17067.036479915365</v>
      </c>
      <c r="P42" s="10">
        <f>VLOOKUP(B42,[2]Data!$B$1:$G$267,6,FALSE)</f>
        <v>16709.889397230672</v>
      </c>
      <c r="Q42" s="12">
        <f>VLOOKUP(B42,[5]Sheet1!$B$421:$K$628,10,FALSE)</f>
        <v>0</v>
      </c>
      <c r="R42" s="12">
        <f>VLOOKUP(B42,[5]Sheet1!$B$213:$K$420,10,FALSE)</f>
        <v>0</v>
      </c>
      <c r="S42" s="12">
        <f>VLOOKUP(B42,[5]Sheet1!$B$2:$K$207,10,FALSE)</f>
        <v>0</v>
      </c>
      <c r="T42" s="12">
        <f>VLOOKUP(B42,[6]Sheet1!$B$421:$K$628,10,FALSE)</f>
        <v>70.260000000000005</v>
      </c>
      <c r="U42" s="12">
        <f>VLOOKUP(B42,[6]Sheet1!$B$213:$K$420,10,FALSE)</f>
        <v>65.099999999999994</v>
      </c>
      <c r="V42" s="12">
        <f>VLOOKUP(B42,[6]Sheet1!$B$2:$K$212,10,FALSE)</f>
        <v>65.02</v>
      </c>
      <c r="W42" s="13">
        <v>98.745956420898395</v>
      </c>
      <c r="X42" s="13">
        <v>0</v>
      </c>
      <c r="Y42" s="13">
        <v>0</v>
      </c>
      <c r="Z42" s="10">
        <v>23.275066804914498</v>
      </c>
      <c r="AA42" s="10">
        <v>17.7575564797826</v>
      </c>
      <c r="AB42" s="10">
        <v>17.3843388990243</v>
      </c>
      <c r="AC42" s="10">
        <v>16.966163762631901</v>
      </c>
      <c r="AD42" s="10">
        <v>13.300080015704999</v>
      </c>
      <c r="AE42" s="10">
        <v>13.693319059852699</v>
      </c>
      <c r="AF42" s="10">
        <v>14.1350862568788</v>
      </c>
      <c r="AG42" s="10">
        <v>26.322298280132493</v>
      </c>
      <c r="AH42" s="10">
        <v>26.464724900517162</v>
      </c>
      <c r="AI42" s="12">
        <f>VLOOKUP(B42,[7]all!$A$2:$I$247,6,FALSE)</f>
        <v>63.18</v>
      </c>
      <c r="AJ42" s="12">
        <f>VLOOKUP(B42,[7]all!$A$2:$I$247,7,FALSE)</f>
        <v>63.24</v>
      </c>
      <c r="AK42" s="12">
        <f>VLOOKUP(B42,[7]all!$A$2:$I$247,8,FALSE)</f>
        <v>63.13</v>
      </c>
      <c r="AL42" s="15">
        <v>85879.40117495798</v>
      </c>
    </row>
    <row r="43" spans="1:38" ht="21.4" x14ac:dyDescent="1.1000000000000001">
      <c r="A43" s="10" t="s">
        <v>81</v>
      </c>
      <c r="B43" s="11" t="s">
        <v>82</v>
      </c>
      <c r="C43" s="10" t="str">
        <f>VLOOKUP(B43,'[1]who-regions'!$B$1:$D$206,3,FALSE)</f>
        <v>WPR</v>
      </c>
      <c r="D43" s="12" t="str">
        <f>VLOOKUP(B43,'[2]Metadata - Countries'!$A$1:$B$266,2,FALSE)</f>
        <v>East Asia &amp; Pacific</v>
      </c>
      <c r="E43" s="12" t="str">
        <f>VLOOKUP(B43,'[2]Metadata - Countries'!$A$1:$C$266,3,FALSE)</f>
        <v>Upper middle income</v>
      </c>
      <c r="F43" s="12"/>
      <c r="G43" s="10">
        <v>95.892361406945298</v>
      </c>
      <c r="H43" s="12">
        <f>VLOOKUP(B43,[4]tas!$A$2:$H$247,5,FALSE)</f>
        <v>7.77</v>
      </c>
      <c r="I43" s="12">
        <f>VLOOKUP(B43,[4]tas!$A$2:$H$247,6,FALSE)</f>
        <v>7.86</v>
      </c>
      <c r="J43" s="12">
        <f>VLOOKUP(B43,[4]tas!$A$2:$H$247,7,FALSE)</f>
        <v>7.87</v>
      </c>
      <c r="K43" s="10">
        <v>18316765021690.156</v>
      </c>
      <c r="L43" s="10">
        <v>18270356654533.215</v>
      </c>
      <c r="M43" s="10">
        <v>18743803170827.164</v>
      </c>
      <c r="N43" s="10">
        <f>VLOOKUP(B43,[2]Data!$B$1:$G$267,4,FALSE)</f>
        <v>12970.605641432652</v>
      </c>
      <c r="O43" s="10">
        <f>VLOOKUP(B43,[2]Data!$B$1:$G$267,5,FALSE)</f>
        <v>12951.178239704273</v>
      </c>
      <c r="P43" s="10">
        <f>VLOOKUP(B43,[2]Data!$B$1:$G$267,6,FALSE)</f>
        <v>13303.148154386816</v>
      </c>
      <c r="Q43" s="12">
        <f>VLOOKUP(B43,[5]Sheet1!$B$421:$K$628,10,FALSE)</f>
        <v>0</v>
      </c>
      <c r="R43" s="12">
        <f>VLOOKUP(B43,[5]Sheet1!$B$213:$K$420,10,FALSE)</f>
        <v>0</v>
      </c>
      <c r="S43" s="12">
        <f>VLOOKUP(B43,[5]Sheet1!$B$2:$K$207,10,FALSE)</f>
        <v>0</v>
      </c>
      <c r="T43" s="12">
        <f>VLOOKUP(B43,[6]Sheet1!$B$421:$K$628,10,FALSE)</f>
        <v>0</v>
      </c>
      <c r="U43" s="12">
        <f>VLOOKUP(B43,[6]Sheet1!$B$213:$K$420,10,FALSE)</f>
        <v>0</v>
      </c>
      <c r="V43" s="12">
        <f>VLOOKUP(B43,[6]Sheet1!$B$2:$K$212,10,FALSE)</f>
        <v>0</v>
      </c>
      <c r="W43" s="13">
        <v>0</v>
      </c>
      <c r="X43" s="13">
        <v>0</v>
      </c>
      <c r="Y43" s="13">
        <v>0</v>
      </c>
      <c r="Z43" s="10">
        <v>34.8105237153218</v>
      </c>
      <c r="AA43" s="10">
        <v>17.121799758273099</v>
      </c>
      <c r="AB43" s="10">
        <v>16.589610722592099</v>
      </c>
      <c r="AC43" s="10">
        <v>16.007812332680299</v>
      </c>
      <c r="AD43" s="10">
        <v>13.781930345649</v>
      </c>
      <c r="AE43" s="10">
        <v>14.3160774690688</v>
      </c>
      <c r="AF43" s="10">
        <v>14.665268836569</v>
      </c>
      <c r="AG43" s="10">
        <v>150.4200481241898</v>
      </c>
      <c r="AH43" s="10">
        <v>150.26400133784821</v>
      </c>
      <c r="AI43" s="12">
        <f>VLOOKUP(B43,[7]all!$A$2:$I$247,6,FALSE)</f>
        <v>60.58</v>
      </c>
      <c r="AJ43" s="12">
        <f>VLOOKUP(B43,[7]all!$A$2:$I$247,7,FALSE)</f>
        <v>60.49</v>
      </c>
      <c r="AK43" s="12">
        <f>VLOOKUP(B43,[7]all!$A$2:$I$247,8,FALSE)</f>
        <v>60.57</v>
      </c>
      <c r="AL43" s="15">
        <v>2530000</v>
      </c>
    </row>
    <row r="44" spans="1:38" ht="21.4" x14ac:dyDescent="1.1000000000000001">
      <c r="A44" s="10" t="s">
        <v>83</v>
      </c>
      <c r="B44" s="11" t="s">
        <v>84</v>
      </c>
      <c r="C44" s="10" t="str">
        <f>VLOOKUP(B44,'[1]who-regions'!$B$1:$D$206,3,FALSE)</f>
        <v>AMR</v>
      </c>
      <c r="D44" s="12" t="str">
        <f>VLOOKUP(B44,'[2]Metadata - Countries'!$A$1:$B$266,2,FALSE)</f>
        <v>Latin America &amp; Caribbean</v>
      </c>
      <c r="E44" s="12" t="str">
        <f>VLOOKUP(B44,'[2]Metadata - Countries'!$A$1:$C$266,3,FALSE)</f>
        <v>Upper middle income</v>
      </c>
      <c r="F44" s="12"/>
      <c r="G44" s="10">
        <v>94.730978438523906</v>
      </c>
      <c r="H44" s="12">
        <f>VLOOKUP(B44,[4]tas!$A$2:$H$247,5,FALSE)</f>
        <v>24.95</v>
      </c>
      <c r="I44" s="12">
        <f>VLOOKUP(B44,[4]tas!$A$2:$H$247,6,FALSE)</f>
        <v>24.97</v>
      </c>
      <c r="J44" s="12">
        <f>VLOOKUP(B44,[4]tas!$A$2:$H$247,7,FALSE)</f>
        <v>25.04</v>
      </c>
      <c r="K44" s="10">
        <v>345632492851.44751</v>
      </c>
      <c r="L44" s="10">
        <v>366291836137.91638</v>
      </c>
      <c r="M44" s="10">
        <v>418542042920.18939</v>
      </c>
      <c r="N44" s="10">
        <f>VLOOKUP(B44,[2]Data!$B$1:$G$267,4,FALSE)</f>
        <v>6680.4450685448091</v>
      </c>
      <c r="O44" s="10">
        <f>VLOOKUP(B44,[2]Data!$B$1:$G$267,5,FALSE)</f>
        <v>7000.8366050104623</v>
      </c>
      <c r="P44" s="10">
        <f>VLOOKUP(B44,[2]Data!$B$1:$G$267,6,FALSE)</f>
        <v>7919.2088682534495</v>
      </c>
      <c r="Q44" s="12">
        <f>VLOOKUP(B44,[5]Sheet1!$B$421:$K$628,10,FALSE)</f>
        <v>0</v>
      </c>
      <c r="R44" s="12">
        <f>VLOOKUP(B44,[5]Sheet1!$B$213:$K$420,10,FALSE)</f>
        <v>0</v>
      </c>
      <c r="S44" s="12">
        <f>VLOOKUP(B44,[5]Sheet1!$B$2:$K$207,10,FALSE)</f>
        <v>0</v>
      </c>
      <c r="T44" s="12">
        <f>VLOOKUP(B44,[6]Sheet1!$B$421:$K$628,10,FALSE)</f>
        <v>70.86</v>
      </c>
      <c r="U44" s="12">
        <f>VLOOKUP(B44,[6]Sheet1!$B$213:$K$420,10,FALSE)</f>
        <v>88.7</v>
      </c>
      <c r="V44" s="12">
        <f>VLOOKUP(B44,[6]Sheet1!$B$2:$K$212,10,FALSE)</f>
        <v>61.19</v>
      </c>
      <c r="W44" s="13">
        <v>0</v>
      </c>
      <c r="X44" s="13">
        <v>0</v>
      </c>
      <c r="Y44" s="13">
        <v>0</v>
      </c>
      <c r="Z44" s="10">
        <v>14.1832514905064</v>
      </c>
      <c r="AA44" s="10">
        <v>20.953280642088099</v>
      </c>
      <c r="AB44" s="10">
        <v>20.5978461579186</v>
      </c>
      <c r="AC44" s="10">
        <v>20.272113245222499</v>
      </c>
      <c r="AD44" s="10">
        <v>9.0065562810783106</v>
      </c>
      <c r="AE44" s="10">
        <v>9.3754280355349593</v>
      </c>
      <c r="AF44" s="10">
        <v>9.7784356075077792</v>
      </c>
      <c r="AG44" s="10">
        <v>46.6317656602073</v>
      </c>
      <c r="AH44" s="10">
        <v>47.157415051825147</v>
      </c>
      <c r="AI44" s="12">
        <f>VLOOKUP(B44,[7]all!$A$2:$I$247,6,FALSE)</f>
        <v>81.099999999999994</v>
      </c>
      <c r="AJ44" s="12">
        <f>VLOOKUP(B44,[7]all!$A$2:$I$247,7,FALSE)</f>
        <v>81.010000000000005</v>
      </c>
      <c r="AK44" s="12">
        <f>VLOOKUP(B44,[7]all!$A$2:$I$247,8,FALSE)</f>
        <v>80.95</v>
      </c>
      <c r="AL44" s="15">
        <v>133260</v>
      </c>
    </row>
    <row r="45" spans="1:38" ht="21.4" x14ac:dyDescent="1.1000000000000001">
      <c r="A45" s="10" t="s">
        <v>85</v>
      </c>
      <c r="B45" s="11" t="s">
        <v>86</v>
      </c>
      <c r="C45" s="10" t="str">
        <f>VLOOKUP(B45,'[1]who-regions'!$B$1:$D$206,3,FALSE)</f>
        <v>AFR</v>
      </c>
      <c r="D45" s="12" t="str">
        <f>VLOOKUP(B45,'[2]Metadata - Countries'!$A$1:$B$266,2,FALSE)</f>
        <v>Sub-Saharan Africa</v>
      </c>
      <c r="E45" s="12" t="str">
        <f>VLOOKUP(B45,'[2]Metadata - Countries'!$A$1:$C$266,3,FALSE)</f>
        <v>Lower middle income</v>
      </c>
      <c r="F45" s="12"/>
      <c r="G45" s="10">
        <v>0</v>
      </c>
      <c r="H45" s="12">
        <f>VLOOKUP(B45,[4]tas!$A$2:$H$247,5,FALSE)</f>
        <v>25.66</v>
      </c>
      <c r="I45" s="12">
        <f>VLOOKUP(B45,[4]tas!$A$2:$H$247,6,FALSE)</f>
        <v>25.7</v>
      </c>
      <c r="J45" s="12">
        <f>VLOOKUP(B45,[4]tas!$A$2:$H$247,7,FALSE)</f>
        <v>25.73</v>
      </c>
      <c r="K45" s="10">
        <v>1279542248.4501672</v>
      </c>
      <c r="L45" s="10">
        <v>1430523435.8169503</v>
      </c>
      <c r="M45" s="10">
        <v>1546164420.3244183</v>
      </c>
      <c r="N45" s="10">
        <f>VLOOKUP(B45,[2]Data!$B$1:$G$267,4,FALSE)</f>
        <v>1465.4796428619959</v>
      </c>
      <c r="O45" s="10">
        <f>VLOOKUP(B45,[2]Data!$B$1:$G$267,5,FALSE)</f>
        <v>1560.2737847685466</v>
      </c>
      <c r="P45" s="10">
        <f>VLOOKUP(B45,[2]Data!$B$1:$G$267,6,FALSE)</f>
        <v>1662.7566331250366</v>
      </c>
      <c r="Q45" s="12">
        <f>VLOOKUP(B45,[5]Sheet1!$B$421:$K$628,10,FALSE)</f>
        <v>0</v>
      </c>
      <c r="R45" s="12">
        <f>VLOOKUP(B45,[5]Sheet1!$B$213:$K$420,10,FALSE)</f>
        <v>0</v>
      </c>
      <c r="S45" s="12">
        <f>VLOOKUP(B45,[5]Sheet1!$B$2:$K$207,10,FALSE)</f>
        <v>0</v>
      </c>
      <c r="T45" s="12">
        <f>VLOOKUP(B45,[6]Sheet1!$B$421:$K$628,10,FALSE)</f>
        <v>0</v>
      </c>
      <c r="U45" s="12">
        <f>VLOOKUP(B45,[6]Sheet1!$B$213:$K$420,10,FALSE)</f>
        <v>0</v>
      </c>
      <c r="V45" s="12">
        <f>VLOOKUP(B45,[6]Sheet1!$B$2:$K$212,10,FALSE)</f>
        <v>0</v>
      </c>
      <c r="W45" s="13">
        <v>0</v>
      </c>
      <c r="X45" s="13">
        <v>0</v>
      </c>
      <c r="Y45" s="13">
        <v>0</v>
      </c>
      <c r="Z45" s="10">
        <v>11.933272409104401</v>
      </c>
      <c r="AA45" s="10">
        <v>37.718655746666201</v>
      </c>
      <c r="AB45" s="10">
        <v>37.401383134972697</v>
      </c>
      <c r="AC45" s="10">
        <v>37.121406185814401</v>
      </c>
      <c r="AD45" s="10">
        <v>4.4552906539053598</v>
      </c>
      <c r="AE45" s="10">
        <v>4.4729046892767599</v>
      </c>
      <c r="AF45" s="10">
        <v>4.4721610656475397</v>
      </c>
      <c r="AG45" s="10">
        <v>448.24717893605589</v>
      </c>
      <c r="AH45" s="10">
        <v>456.95163890381514</v>
      </c>
      <c r="AI45" s="12">
        <f>VLOOKUP(B45,[7]all!$A$2:$I$247,6,FALSE)</f>
        <v>80.36</v>
      </c>
      <c r="AJ45" s="12">
        <f>VLOOKUP(B45,[7]all!$A$2:$I$247,7,FALSE)</f>
        <v>80.22</v>
      </c>
      <c r="AK45" s="12">
        <f>VLOOKUP(B45,[7]all!$A$2:$I$247,8,FALSE)</f>
        <v>80.27</v>
      </c>
      <c r="AL45" s="12"/>
    </row>
    <row r="46" spans="1:38" ht="21.4" x14ac:dyDescent="1.1000000000000001">
      <c r="A46" s="10" t="s">
        <v>87</v>
      </c>
      <c r="B46" s="11" t="s">
        <v>88</v>
      </c>
      <c r="C46" s="10" t="str">
        <f>VLOOKUP(B46,'[1]who-regions'!$B$1:$D$206,3,FALSE)</f>
        <v>AFR</v>
      </c>
      <c r="D46" s="12" t="str">
        <f>VLOOKUP(B46,'[2]Metadata - Countries'!$A$1:$B$266,2,FALSE)</f>
        <v>Sub-Saharan Africa</v>
      </c>
      <c r="E46" s="12" t="str">
        <f>VLOOKUP(B46,'[2]Metadata - Countries'!$A$1:$C$266,3,FALSE)</f>
        <v>Low income</v>
      </c>
      <c r="F46" s="12"/>
      <c r="G46" s="10">
        <v>16.174472554239301</v>
      </c>
      <c r="H46" s="12">
        <f>VLOOKUP(B46,[4]tas!$A$2:$H$247,5,FALSE)</f>
        <v>25.04</v>
      </c>
      <c r="I46" s="12">
        <f>VLOOKUP(B46,[4]tas!$A$2:$H$247,6,FALSE)</f>
        <v>25.08</v>
      </c>
      <c r="J46" s="12">
        <f>VLOOKUP(B46,[4]tas!$A$2:$H$247,7,FALSE)</f>
        <v>25.17</v>
      </c>
      <c r="K46" s="10">
        <v>65801547755.655205</v>
      </c>
      <c r="L46" s="10">
        <v>67006756666.360443</v>
      </c>
      <c r="M46" s="10">
        <v>70749355652.120728</v>
      </c>
      <c r="N46" s="10">
        <f>VLOOKUP(B46,[2]Data!$B$1:$G$267,4,FALSE)</f>
        <v>687.73858755468507</v>
      </c>
      <c r="O46" s="10">
        <f>VLOOKUP(B46,[2]Data!$B$1:$G$267,5,FALSE)</f>
        <v>660.21205238997027</v>
      </c>
      <c r="P46" s="10">
        <f>VLOOKUP(B46,[2]Data!$B$1:$G$267,6,FALSE)</f>
        <v>649.38333855672454</v>
      </c>
      <c r="Q46" s="12">
        <f>VLOOKUP(B46,[5]Sheet1!$B$421:$K$628,10,FALSE)</f>
        <v>0</v>
      </c>
      <c r="R46" s="12">
        <f>VLOOKUP(B46,[5]Sheet1!$B$213:$K$420,10,FALSE)</f>
        <v>0</v>
      </c>
      <c r="S46" s="12">
        <f>VLOOKUP(B46,[5]Sheet1!$B$2:$K$207,10,FALSE)</f>
        <v>0</v>
      </c>
      <c r="T46" s="12">
        <f>VLOOKUP(B46,[6]Sheet1!$B$421:$K$628,10,FALSE)</f>
        <v>0</v>
      </c>
      <c r="U46" s="12">
        <f>VLOOKUP(B46,[6]Sheet1!$B$213:$K$420,10,FALSE)</f>
        <v>0</v>
      </c>
      <c r="V46" s="12">
        <f>VLOOKUP(B46,[6]Sheet1!$B$2:$K$212,10,FALSE)</f>
        <v>0</v>
      </c>
      <c r="W46" s="13">
        <v>0</v>
      </c>
      <c r="X46" s="13">
        <v>0</v>
      </c>
      <c r="Y46" s="13">
        <v>0</v>
      </c>
      <c r="Z46" s="10">
        <v>26.649483320638499</v>
      </c>
      <c r="AA46" s="10">
        <v>46.112115839211199</v>
      </c>
      <c r="AB46" s="10">
        <v>46.0882883515022</v>
      </c>
      <c r="AC46" s="10">
        <v>46.0329708653246</v>
      </c>
      <c r="AD46" s="10">
        <v>3.0660468384181101</v>
      </c>
      <c r="AE46" s="10">
        <v>3.0683564028140098</v>
      </c>
      <c r="AF46" s="10">
        <v>3.0755777710538399</v>
      </c>
      <c r="AG46" s="10">
        <v>45.16749432081339</v>
      </c>
      <c r="AH46" s="10">
        <v>46.664048432985595</v>
      </c>
      <c r="AI46" s="12">
        <f>VLOOKUP(B46,[7]all!$A$2:$I$247,6,FALSE)</f>
        <v>76.22</v>
      </c>
      <c r="AJ46" s="12">
        <f>VLOOKUP(B46,[7]all!$A$2:$I$247,7,FALSE)</f>
        <v>76.19</v>
      </c>
      <c r="AK46" s="12">
        <f>VLOOKUP(B46,[7]all!$A$2:$I$247,8,FALSE)</f>
        <v>76.11</v>
      </c>
      <c r="AL46" s="12"/>
    </row>
    <row r="47" spans="1:38" ht="21.4" x14ac:dyDescent="1.1000000000000001">
      <c r="A47" s="10" t="s">
        <v>89</v>
      </c>
      <c r="B47" s="11" t="s">
        <v>90</v>
      </c>
      <c r="C47" s="10" t="str">
        <f>VLOOKUP(B47,'[1]who-regions'!$B$1:$D$206,3,FALSE)</f>
        <v>AFR</v>
      </c>
      <c r="D47" s="12" t="str">
        <f>VLOOKUP(B47,'[2]Metadata - Countries'!$A$1:$B$266,2,FALSE)</f>
        <v>Sub-Saharan Africa</v>
      </c>
      <c r="E47" s="12" t="str">
        <f>VLOOKUP(B47,'[2]Metadata - Countries'!$A$1:$C$266,3,FALSE)</f>
        <v>Lower middle income</v>
      </c>
      <c r="F47" s="12"/>
      <c r="G47" s="10">
        <v>0</v>
      </c>
      <c r="H47" s="12">
        <f>VLOOKUP(B47,[4]tas!$A$2:$H$247,5,FALSE)</f>
        <v>25.69</v>
      </c>
      <c r="I47" s="12">
        <f>VLOOKUP(B47,[4]tas!$A$2:$H$247,6,FALSE)</f>
        <v>25.71</v>
      </c>
      <c r="J47" s="12">
        <f>VLOOKUP(B47,[4]tas!$A$2:$H$247,7,FALSE)</f>
        <v>25.8</v>
      </c>
      <c r="K47" s="10">
        <v>15817030156.945892</v>
      </c>
      <c r="L47" s="10">
        <v>15321055818.326313</v>
      </c>
      <c r="M47" s="10">
        <v>15719985776.396574</v>
      </c>
      <c r="N47" s="10">
        <f>VLOOKUP(B47,[2]Data!$B$1:$G$267,4,FALSE)</f>
        <v>2620.8380426740187</v>
      </c>
      <c r="O47" s="10">
        <f>VLOOKUP(B47,[2]Data!$B$1:$G$267,5,FALSE)</f>
        <v>2477.9784554486619</v>
      </c>
      <c r="P47" s="10">
        <f>VLOOKUP(B47,[2]Data!$B$1:$G$267,6,FALSE)</f>
        <v>2482.2489948455991</v>
      </c>
      <c r="Q47" s="12">
        <f>VLOOKUP(B47,[5]Sheet1!$B$421:$K$628,10,FALSE)</f>
        <v>0</v>
      </c>
      <c r="R47" s="12">
        <f>VLOOKUP(B47,[5]Sheet1!$B$213:$K$420,10,FALSE)</f>
        <v>0</v>
      </c>
      <c r="S47" s="12">
        <f>VLOOKUP(B47,[5]Sheet1!$B$2:$K$207,10,FALSE)</f>
        <v>0</v>
      </c>
      <c r="T47" s="12">
        <f>VLOOKUP(B47,[6]Sheet1!$B$421:$K$628,10,FALSE)</f>
        <v>0</v>
      </c>
      <c r="U47" s="12">
        <f>VLOOKUP(B47,[6]Sheet1!$B$213:$K$420,10,FALSE)</f>
        <v>0</v>
      </c>
      <c r="V47" s="12">
        <f>VLOOKUP(B47,[6]Sheet1!$B$2:$K$212,10,FALSE)</f>
        <v>0</v>
      </c>
      <c r="W47" s="13">
        <v>0</v>
      </c>
      <c r="X47" s="13">
        <v>0</v>
      </c>
      <c r="Y47" s="13">
        <v>0</v>
      </c>
      <c r="Z47" s="10">
        <v>28.573749949655401</v>
      </c>
      <c r="AA47" s="10">
        <v>41.256422424534897</v>
      </c>
      <c r="AB47" s="10">
        <v>40.883697497203997</v>
      </c>
      <c r="AC47" s="10">
        <v>40.445796208124399</v>
      </c>
      <c r="AD47" s="10">
        <v>2.8498597538667099</v>
      </c>
      <c r="AE47" s="10">
        <v>2.9146102507162901</v>
      </c>
      <c r="AF47" s="10">
        <v>2.98559394254915</v>
      </c>
      <c r="AG47" s="10">
        <v>17.672339677891653</v>
      </c>
      <c r="AH47" s="10">
        <v>18.105080527086383</v>
      </c>
      <c r="AI47" s="12">
        <f>VLOOKUP(B47,[7]all!$A$2:$I$247,6,FALSE)</f>
        <v>80.209999999999994</v>
      </c>
      <c r="AJ47" s="12">
        <f>VLOOKUP(B47,[7]all!$A$2:$I$247,7,FALSE)</f>
        <v>80.14</v>
      </c>
      <c r="AK47" s="12">
        <f>VLOOKUP(B47,[7]all!$A$2:$I$247,8,FALSE)</f>
        <v>80.150000000000006</v>
      </c>
      <c r="AL47" s="12"/>
    </row>
    <row r="48" spans="1:38" ht="21.4" x14ac:dyDescent="1.1000000000000001">
      <c r="A48" s="10" t="s">
        <v>91</v>
      </c>
      <c r="B48" s="11" t="s">
        <v>92</v>
      </c>
      <c r="C48" s="10" t="str">
        <f>VLOOKUP(B48,'[1]who-regions'!$B$1:$D$206,3,FALSE)</f>
        <v>AMR</v>
      </c>
      <c r="D48" s="12" t="str">
        <f>VLOOKUP(B48,'[2]Metadata - Countries'!$A$1:$B$266,2,FALSE)</f>
        <v>Latin America &amp; Caribbean</v>
      </c>
      <c r="E48" s="12" t="str">
        <f>VLOOKUP(B48,'[2]Metadata - Countries'!$A$1:$C$266,3,FALSE)</f>
        <v>High income</v>
      </c>
      <c r="F48" s="12"/>
      <c r="G48" s="10">
        <v>98.3836215500599</v>
      </c>
      <c r="H48" s="12">
        <f>VLOOKUP(B48,[4]tas!$A$2:$H$247,5,FALSE)</f>
        <v>24.05</v>
      </c>
      <c r="I48" s="12">
        <f>VLOOKUP(B48,[4]tas!$A$2:$H$247,6,FALSE)</f>
        <v>24.05</v>
      </c>
      <c r="J48" s="12">
        <f>VLOOKUP(B48,[4]tas!$A$2:$H$247,7,FALSE)</f>
        <v>24.09</v>
      </c>
      <c r="K48" s="10">
        <v>69243626028.669769</v>
      </c>
      <c r="L48" s="10">
        <v>86497941438.98085</v>
      </c>
      <c r="M48" s="10">
        <v>95350423176.663971</v>
      </c>
      <c r="N48" s="10">
        <f>VLOOKUP(B48,[2]Data!$B$1:$G$267,4,FALSE)</f>
        <v>13625.900849132848</v>
      </c>
      <c r="O48" s="10">
        <f>VLOOKUP(B48,[2]Data!$B$1:$G$267,5,FALSE)</f>
        <v>16942.026811937547</v>
      </c>
      <c r="P48" s="10">
        <f>VLOOKUP(B48,[2]Data!$B$1:$G$267,6,FALSE)</f>
        <v>18587.153220348158</v>
      </c>
      <c r="Q48" s="12">
        <f>VLOOKUP(B48,[5]Sheet1!$B$421:$K$628,10,FALSE)</f>
        <v>0</v>
      </c>
      <c r="R48" s="12">
        <f>VLOOKUP(B48,[5]Sheet1!$B$213:$K$420,10,FALSE)</f>
        <v>0</v>
      </c>
      <c r="S48" s="12">
        <f>VLOOKUP(B48,[5]Sheet1!$B$2:$K$207,10,FALSE)</f>
        <v>0</v>
      </c>
      <c r="T48" s="12">
        <f>VLOOKUP(B48,[6]Sheet1!$B$421:$K$628,10,FALSE)</f>
        <v>0</v>
      </c>
      <c r="U48" s="12">
        <f>VLOOKUP(B48,[6]Sheet1!$B$213:$K$420,10,FALSE)</f>
        <v>55.73</v>
      </c>
      <c r="V48" s="12">
        <f>VLOOKUP(B48,[6]Sheet1!$B$2:$K$212,10,FALSE)</f>
        <v>44.04</v>
      </c>
      <c r="W48" s="13">
        <v>0</v>
      </c>
      <c r="X48" s="13">
        <v>0</v>
      </c>
      <c r="Y48" s="13">
        <v>0</v>
      </c>
      <c r="Z48" s="10">
        <v>14.3075712471404</v>
      </c>
      <c r="AA48" s="10">
        <v>19.8396344419345</v>
      </c>
      <c r="AB48" s="10">
        <v>19.3309875741488</v>
      </c>
      <c r="AC48" s="10">
        <v>18.799277180301399</v>
      </c>
      <c r="AD48" s="10">
        <v>11.262062616242799</v>
      </c>
      <c r="AE48" s="10">
        <v>11.718842653905099</v>
      </c>
      <c r="AF48" s="10">
        <v>12.2251559968888</v>
      </c>
      <c r="AG48" s="10">
        <v>99.525362318840578</v>
      </c>
      <c r="AH48" s="10">
        <v>99.99069721895809</v>
      </c>
      <c r="AI48" s="12">
        <f>VLOOKUP(B48,[7]all!$A$2:$I$247,6,FALSE)</f>
        <v>82.07</v>
      </c>
      <c r="AJ48" s="12">
        <f>VLOOKUP(B48,[7]all!$A$2:$I$247,7,FALSE)</f>
        <v>82.01</v>
      </c>
      <c r="AK48" s="12">
        <f>VLOOKUP(B48,[7]all!$A$2:$I$247,8,FALSE)</f>
        <v>81.99</v>
      </c>
      <c r="AL48" s="12"/>
    </row>
    <row r="49" spans="1:38" ht="21.4" x14ac:dyDescent="1.1000000000000001">
      <c r="A49" s="10" t="s">
        <v>93</v>
      </c>
      <c r="B49" s="11" t="s">
        <v>94</v>
      </c>
      <c r="C49" s="10" t="str">
        <f>VLOOKUP(B49,'[1]who-regions'!$B$1:$D$206,3,FALSE)</f>
        <v>AFR</v>
      </c>
      <c r="D49" s="12" t="str">
        <f>VLOOKUP(B49,'[2]Metadata - Countries'!$A$1:$B$266,2,FALSE)</f>
        <v>Sub-Saharan Africa</v>
      </c>
      <c r="E49" s="12" t="str">
        <f>VLOOKUP(B49,'[2]Metadata - Countries'!$A$1:$C$266,3,FALSE)</f>
        <v>Lower middle income</v>
      </c>
      <c r="F49" s="12"/>
      <c r="G49" s="10">
        <v>36.962083939006803</v>
      </c>
      <c r="H49" s="12">
        <f>VLOOKUP(B49,[4]tas!$A$2:$H$247,5,FALSE)</f>
        <v>27.23</v>
      </c>
      <c r="I49" s="12">
        <f>VLOOKUP(B49,[4]tas!$A$2:$H$247,6,FALSE)</f>
        <v>27.25</v>
      </c>
      <c r="J49" s="12">
        <f>VLOOKUP(B49,[4]tas!$A$2:$H$247,7,FALSE)</f>
        <v>27.31</v>
      </c>
      <c r="K49" s="10">
        <v>70922824824.006943</v>
      </c>
      <c r="L49" s="10">
        <v>79618056323.763855</v>
      </c>
      <c r="M49" s="10">
        <v>86538413923.394287</v>
      </c>
      <c r="N49" s="10">
        <f>VLOOKUP(B49,[2]Data!$B$1:$G$267,4,FALSE)</f>
        <v>2333.3712830125887</v>
      </c>
      <c r="O49" s="10">
        <f>VLOOKUP(B49,[2]Data!$B$1:$G$267,5,FALSE)</f>
        <v>2591.9659048118979</v>
      </c>
      <c r="P49" s="10">
        <f>VLOOKUP(B49,[2]Data!$B$1:$G$267,6,FALSE)</f>
        <v>2727.8935220697044</v>
      </c>
      <c r="Q49" s="12">
        <f>VLOOKUP(B49,[5]Sheet1!$B$421:$K$628,10,FALSE)</f>
        <v>0</v>
      </c>
      <c r="R49" s="12">
        <f>VLOOKUP(B49,[5]Sheet1!$B$213:$K$420,10,FALSE)</f>
        <v>0</v>
      </c>
      <c r="S49" s="12">
        <f>VLOOKUP(B49,[5]Sheet1!$B$2:$K$207,10,FALSE)</f>
        <v>0</v>
      </c>
      <c r="T49" s="12">
        <f>VLOOKUP(B49,[6]Sheet1!$B$421:$K$628,10,FALSE)</f>
        <v>0</v>
      </c>
      <c r="U49" s="12">
        <f>VLOOKUP(B49,[6]Sheet1!$B$213:$K$420,10,FALSE)</f>
        <v>0</v>
      </c>
      <c r="V49" s="12">
        <f>VLOOKUP(B49,[6]Sheet1!$B$2:$K$212,10,FALSE)</f>
        <v>0</v>
      </c>
      <c r="W49" s="13">
        <v>0</v>
      </c>
      <c r="X49" s="13">
        <v>0</v>
      </c>
      <c r="Y49" s="13">
        <v>0</v>
      </c>
      <c r="Z49" s="10">
        <v>49.4977827339493</v>
      </c>
      <c r="AA49" s="10">
        <v>41.662673685627702</v>
      </c>
      <c r="AB49" s="10">
        <v>41.276424040387496</v>
      </c>
      <c r="AC49" s="10">
        <v>40.871359666414399</v>
      </c>
      <c r="AD49" s="10">
        <v>2.53282102103497</v>
      </c>
      <c r="AE49" s="10">
        <v>2.5682422708023398</v>
      </c>
      <c r="AF49" s="10">
        <v>2.6089684955610299</v>
      </c>
      <c r="AG49" s="10">
        <v>95.581767295597487</v>
      </c>
      <c r="AH49" s="10">
        <v>98.005201257861629</v>
      </c>
      <c r="AI49" s="12">
        <f>VLOOKUP(B49,[7]all!$A$2:$I$247,6,FALSE)</f>
        <v>71.959999999999994</v>
      </c>
      <c r="AJ49" s="12">
        <f>VLOOKUP(B49,[7]all!$A$2:$I$247,7,FALSE)</f>
        <v>71.95</v>
      </c>
      <c r="AK49" s="12">
        <f>VLOOKUP(B49,[7]all!$A$2:$I$247,8,FALSE)</f>
        <v>71.86</v>
      </c>
      <c r="AL49" s="15">
        <v>1305</v>
      </c>
    </row>
    <row r="50" spans="1:38" ht="21.4" x14ac:dyDescent="1.1000000000000001">
      <c r="A50" s="10" t="s">
        <v>95</v>
      </c>
      <c r="B50" s="11" t="s">
        <v>96</v>
      </c>
      <c r="C50" s="10" t="str">
        <f>VLOOKUP(B50,'[1]who-regions'!$B$1:$D$206,3,FALSE)</f>
        <v>EUR</v>
      </c>
      <c r="D50" s="12" t="str">
        <f>VLOOKUP(B50,'[2]Metadata - Countries'!$A$1:$B$266,2,FALSE)</f>
        <v>Europe &amp; Central Asia</v>
      </c>
      <c r="E50" s="12" t="str">
        <f>VLOOKUP(B50,'[2]Metadata - Countries'!$A$1:$C$266,3,FALSE)</f>
        <v>High income</v>
      </c>
      <c r="F50" s="12"/>
      <c r="G50" s="10">
        <v>0</v>
      </c>
      <c r="H50" s="12">
        <f>VLOOKUP(B50,[4]tas!$A$2:$H$247,5,FALSE)</f>
        <v>13.1</v>
      </c>
      <c r="I50" s="12">
        <f>VLOOKUP(B50,[4]tas!$A$2:$H$247,6,FALSE)</f>
        <v>13.09</v>
      </c>
      <c r="J50" s="12">
        <f>VLOOKUP(B50,[4]tas!$A$2:$H$247,7,FALSE)</f>
        <v>13.11</v>
      </c>
      <c r="K50" s="10">
        <v>71198635101.951431</v>
      </c>
      <c r="L50" s="10">
        <v>84393795502.442108</v>
      </c>
      <c r="M50" s="10">
        <v>92526176108.620987</v>
      </c>
      <c r="N50" s="10">
        <f>VLOOKUP(B50,[2]Data!$B$1:$G$267,4,FALSE)</f>
        <v>18465.54144203637</v>
      </c>
      <c r="O50" s="10">
        <f>VLOOKUP(B50,[2]Data!$B$1:$G$267,5,FALSE)</f>
        <v>22184.227930484161</v>
      </c>
      <c r="P50" s="10">
        <f>VLOOKUP(B50,[2]Data!$B$1:$G$267,6,FALSE)</f>
        <v>24050.439793313548</v>
      </c>
      <c r="Q50" s="12">
        <f>VLOOKUP(B50,[5]Sheet1!$B$421:$K$628,10,FALSE)</f>
        <v>0</v>
      </c>
      <c r="R50" s="12">
        <f>VLOOKUP(B50,[5]Sheet1!$B$213:$K$420,10,FALSE)</f>
        <v>0</v>
      </c>
      <c r="S50" s="12">
        <f>VLOOKUP(B50,[5]Sheet1!$B$2:$K$207,10,FALSE)</f>
        <v>0</v>
      </c>
      <c r="T50" s="12">
        <f>VLOOKUP(B50,[6]Sheet1!$B$421:$K$628,10,FALSE)</f>
        <v>30.74</v>
      </c>
      <c r="U50" s="12">
        <f>VLOOKUP(B50,[6]Sheet1!$B$213:$K$420,10,FALSE)</f>
        <v>28.56</v>
      </c>
      <c r="V50" s="12">
        <f>VLOOKUP(B50,[6]Sheet1!$B$2:$K$212,10,FALSE)</f>
        <v>27.91</v>
      </c>
      <c r="W50" s="13">
        <v>99.724929809570298</v>
      </c>
      <c r="X50" s="13">
        <v>0</v>
      </c>
      <c r="Y50" s="13">
        <v>0</v>
      </c>
      <c r="Z50" s="10">
        <v>16.120859296026399</v>
      </c>
      <c r="AA50" s="10">
        <v>14.300924974411499</v>
      </c>
      <c r="AB50" s="10">
        <v>14.1385569157886</v>
      </c>
      <c r="AC50" s="10">
        <v>13.9232064407501</v>
      </c>
      <c r="AD50" s="10">
        <v>22.484705122334699</v>
      </c>
      <c r="AE50" s="10">
        <v>22.815365461732998</v>
      </c>
      <c r="AF50" s="10">
        <v>23.187771348209498</v>
      </c>
      <c r="AG50" s="10">
        <v>68.899946390278771</v>
      </c>
      <c r="AH50" s="10">
        <v>68.972230164403143</v>
      </c>
      <c r="AI50" s="12">
        <f>VLOOKUP(B50,[7]all!$A$2:$I$247,6,FALSE)</f>
        <v>73.25</v>
      </c>
      <c r="AJ50" s="12">
        <f>VLOOKUP(B50,[7]all!$A$2:$I$247,7,FALSE)</f>
        <v>73.23</v>
      </c>
      <c r="AK50" s="12">
        <f>VLOOKUP(B50,[7]all!$A$2:$I$247,8,FALSE)</f>
        <v>73.45</v>
      </c>
      <c r="AL50" s="15">
        <v>7122</v>
      </c>
    </row>
    <row r="51" spans="1:38" ht="21.4" x14ac:dyDescent="1.1000000000000001">
      <c r="A51" s="10" t="s">
        <v>97</v>
      </c>
      <c r="B51" s="11" t="s">
        <v>98</v>
      </c>
      <c r="C51" s="10" t="str">
        <f>VLOOKUP(B51,'[1]who-regions'!$B$1:$D$206,3,FALSE)</f>
        <v>AMR</v>
      </c>
      <c r="D51" s="12" t="str">
        <f>VLOOKUP(B51,'[2]Metadata - Countries'!$A$1:$B$266,2,FALSE)</f>
        <v>Latin America &amp; Caribbean</v>
      </c>
      <c r="E51" s="12" t="str">
        <f>VLOOKUP(B51,'[2]Metadata - Countries'!$A$1:$C$266,3,FALSE)</f>
        <v>Upper middle income</v>
      </c>
      <c r="F51" s="12"/>
      <c r="G51" s="10">
        <v>92.149409654717005</v>
      </c>
      <c r="H51" s="12">
        <f>VLOOKUP(B51,[4]tas!$A$2:$H$247,5,FALSE)</f>
        <v>26.41</v>
      </c>
      <c r="I51" s="12">
        <f>VLOOKUP(B51,[4]tas!$A$2:$H$247,6,FALSE)</f>
        <v>26.46</v>
      </c>
      <c r="J51" s="12">
        <f>VLOOKUP(B51,[4]tas!$A$2:$H$247,7,FALSE)</f>
        <v>26.45</v>
      </c>
      <c r="K51" s="10">
        <v>0</v>
      </c>
      <c r="L51" s="10">
        <v>0</v>
      </c>
      <c r="M51" s="10">
        <v>0</v>
      </c>
      <c r="N51" s="10">
        <f>VLOOKUP(B51,[2]Data!$B$1:$G$267,4,FALSE)</f>
        <v>0</v>
      </c>
      <c r="O51" s="10">
        <f>VLOOKUP(B51,[2]Data!$B$1:$G$267,5,FALSE)</f>
        <v>0</v>
      </c>
      <c r="P51" s="10">
        <f>VLOOKUP(B51,[2]Data!$B$1:$G$267,6,FALSE)</f>
        <v>0</v>
      </c>
      <c r="Q51" s="12">
        <f>VLOOKUP(B51,[5]Sheet1!$B$421:$K$628,10,FALSE)</f>
        <v>0</v>
      </c>
      <c r="R51" s="12">
        <f>VLOOKUP(B51,[5]Sheet1!$B$213:$K$420,10,FALSE)</f>
        <v>0</v>
      </c>
      <c r="S51" s="12">
        <f>VLOOKUP(B51,[5]Sheet1!$B$2:$K$207,10,FALSE)</f>
        <v>0</v>
      </c>
      <c r="T51" s="12">
        <f>VLOOKUP(B51,[6]Sheet1!$B$421:$K$628,10,FALSE)</f>
        <v>97.6</v>
      </c>
      <c r="U51" s="12">
        <f>VLOOKUP(B51,[6]Sheet1!$B$213:$K$420,10,FALSE)</f>
        <v>99.97</v>
      </c>
      <c r="V51" s="12">
        <f>VLOOKUP(B51,[6]Sheet1!$B$2:$K$212,10,FALSE)</f>
        <v>99.97</v>
      </c>
      <c r="W51" s="13">
        <v>88.202468872070298</v>
      </c>
      <c r="X51" s="13">
        <v>89.023941040039105</v>
      </c>
      <c r="Y51" s="13">
        <v>0</v>
      </c>
      <c r="Z51" s="10">
        <v>21.2367242811561</v>
      </c>
      <c r="AA51" s="10">
        <v>15.677000168176299</v>
      </c>
      <c r="AB51" s="10">
        <v>15.5139771525782</v>
      </c>
      <c r="AC51" s="10">
        <v>15.2939497984614</v>
      </c>
      <c r="AD51" s="10">
        <v>15.875877726762299</v>
      </c>
      <c r="AE51" s="10">
        <v>16.1955286378621</v>
      </c>
      <c r="AF51" s="10">
        <v>16.569079735000201</v>
      </c>
      <c r="AG51" s="10">
        <v>106.54932562620424</v>
      </c>
      <c r="AH51" s="10">
        <v>106.16503853564548</v>
      </c>
      <c r="AI51" s="12">
        <f>VLOOKUP(B51,[7]all!$A$2:$I$247,6,FALSE)</f>
        <v>74.27</v>
      </c>
      <c r="AJ51" s="12">
        <f>VLOOKUP(B51,[7]all!$A$2:$I$247,7,FALSE)</f>
        <v>74.12</v>
      </c>
      <c r="AK51" s="12">
        <f>VLOOKUP(B51,[7]all!$A$2:$I$247,8,FALSE)</f>
        <v>74.22</v>
      </c>
      <c r="AL51" s="12"/>
    </row>
    <row r="52" spans="1:38" ht="21.4" x14ac:dyDescent="1.1000000000000001">
      <c r="A52" s="10" t="s">
        <v>99</v>
      </c>
      <c r="B52" s="11" t="s">
        <v>100</v>
      </c>
      <c r="C52" s="10" t="s">
        <v>487</v>
      </c>
      <c r="D52" s="12" t="str">
        <f>VLOOKUP(B52,'[2]Metadata - Countries'!$A$1:$B$266,2,FALSE)</f>
        <v>Latin America &amp; Caribbean</v>
      </c>
      <c r="E52" s="12" t="str">
        <f>VLOOKUP(B52,'[2]Metadata - Countries'!$A$1:$C$266,3,FALSE)</f>
        <v>High income</v>
      </c>
      <c r="F52" s="12"/>
      <c r="G52" s="10">
        <v>0</v>
      </c>
      <c r="H52" s="12">
        <f>VLOOKUP(B52,[4]tas!$A$2:$H$247,5,FALSE)</f>
        <v>27.05</v>
      </c>
      <c r="I52" s="12">
        <f>VLOOKUP(B52,[4]tas!$A$2:$H$247,6,FALSE)</f>
        <v>27.01</v>
      </c>
      <c r="J52" s="12">
        <f>VLOOKUP(B52,[4]tas!$A$2:$H$247,7,FALSE)</f>
        <v>27.06</v>
      </c>
      <c r="K52" s="10">
        <v>3075180834.7241673</v>
      </c>
      <c r="L52" s="10">
        <v>3281419347.3705306</v>
      </c>
      <c r="M52" s="10">
        <v>0</v>
      </c>
      <c r="N52" s="10">
        <f>VLOOKUP(B52,[2]Data!$B$1:$G$267,4,FALSE)</f>
        <v>20057.140474717537</v>
      </c>
      <c r="O52" s="10">
        <f>VLOOKUP(B52,[2]Data!$B$1:$G$267,5,FALSE)</f>
        <v>21217.811032178481</v>
      </c>
      <c r="P52" s="10">
        <f>VLOOKUP(B52,[2]Data!$B$1:$G$267,6,FALSE)</f>
        <v>22832.895395866653</v>
      </c>
      <c r="Q52" s="12" t="e">
        <f>VLOOKUP(B52,[5]Sheet1!$B$421:$K$628,10,FALSE)</f>
        <v>#N/A</v>
      </c>
      <c r="R52" s="12" t="e">
        <f>VLOOKUP(B52,[5]Sheet1!$B$213:$K$420,10,FALSE)</f>
        <v>#N/A</v>
      </c>
      <c r="S52" s="12" t="e">
        <f>VLOOKUP(B52,[5]Sheet1!$B$2:$K$207,10,FALSE)</f>
        <v>#N/A</v>
      </c>
      <c r="T52" s="12" t="e">
        <f>VLOOKUP(B52,[6]Sheet1!$B$421:$K$628,10,FALSE)</f>
        <v>#N/A</v>
      </c>
      <c r="U52" s="12" t="e">
        <f>VLOOKUP(B52,[6]Sheet1!$B$213:$K$420,10,FALSE)</f>
        <v>#N/A</v>
      </c>
      <c r="V52" s="12" t="e">
        <f>VLOOKUP(B52,[6]Sheet1!$B$2:$K$212,10,FALSE)</f>
        <v>#N/A</v>
      </c>
      <c r="W52" s="13">
        <v>0</v>
      </c>
      <c r="X52" s="13">
        <v>0</v>
      </c>
      <c r="Y52" s="13">
        <v>0</v>
      </c>
      <c r="Z52" s="10">
        <v>0</v>
      </c>
      <c r="AA52" s="10">
        <v>15.5877298759877</v>
      </c>
      <c r="AB52" s="10">
        <v>15.242656139612899</v>
      </c>
      <c r="AC52" s="10">
        <v>14.927903861032</v>
      </c>
      <c r="AD52" s="10">
        <v>15.7946418695996</v>
      </c>
      <c r="AE52" s="10">
        <v>16.281879122242199</v>
      </c>
      <c r="AF52" s="10">
        <v>16.7817275577349</v>
      </c>
      <c r="AG52" s="10">
        <v>337.82882882882882</v>
      </c>
      <c r="AH52" s="10">
        <v>350.90090090090092</v>
      </c>
      <c r="AI52" s="12">
        <f>VLOOKUP(B52,[7]all!$A$2:$I$247,6,FALSE)</f>
        <v>83.97</v>
      </c>
      <c r="AJ52" s="12">
        <f>VLOOKUP(B52,[7]all!$A$2:$I$247,7,FALSE)</f>
        <v>83.98</v>
      </c>
      <c r="AK52" s="12">
        <f>VLOOKUP(B52,[7]all!$A$2:$I$247,8,FALSE)</f>
        <v>84.02</v>
      </c>
      <c r="AL52" s="12"/>
    </row>
    <row r="53" spans="1:38" ht="21.4" x14ac:dyDescent="1.1000000000000001">
      <c r="A53" s="10" t="s">
        <v>101</v>
      </c>
      <c r="B53" s="11" t="s">
        <v>102</v>
      </c>
      <c r="C53" s="10" t="str">
        <f>VLOOKUP(B53,'[1]who-regions'!$B$1:$D$206,3,FALSE)</f>
        <v>EUR</v>
      </c>
      <c r="D53" s="12" t="str">
        <f>VLOOKUP(B53,'[2]Metadata - Countries'!$A$1:$B$266,2,FALSE)</f>
        <v>Europe &amp; Central Asia</v>
      </c>
      <c r="E53" s="12" t="str">
        <f>VLOOKUP(B53,'[2]Metadata - Countries'!$A$1:$C$266,3,FALSE)</f>
        <v>High income</v>
      </c>
      <c r="F53" s="12"/>
      <c r="G53" s="10">
        <v>99.396775945619595</v>
      </c>
      <c r="H53" s="12">
        <f>VLOOKUP(B53,[4]tas!$A$2:$H$247,5,FALSE)</f>
        <v>20.260000000000002</v>
      </c>
      <c r="I53" s="12">
        <f>VLOOKUP(B53,[4]tas!$A$2:$H$247,6,FALSE)</f>
        <v>20.25</v>
      </c>
      <c r="J53" s="12">
        <f>VLOOKUP(B53,[4]tas!$A$2:$H$247,7,FALSE)</f>
        <v>20.27</v>
      </c>
      <c r="K53" s="10">
        <v>30935566076.678768</v>
      </c>
      <c r="L53" s="10">
        <v>33886930712.339432</v>
      </c>
      <c r="M53" s="10">
        <v>36333022329.4981</v>
      </c>
      <c r="N53" s="10">
        <f>VLOOKUP(B53,[2]Data!$B$1:$G$267,4,FALSE)</f>
        <v>33231.04296875</v>
      </c>
      <c r="O53" s="10">
        <f>VLOOKUP(B53,[2]Data!$B$1:$G$267,5,FALSE)</f>
        <v>36623.69140625</v>
      </c>
      <c r="P53" s="10">
        <f>VLOOKUP(B53,[2]Data!$B$1:$G$267,6,FALSE)</f>
        <v>38674.29296875</v>
      </c>
      <c r="Q53" s="12">
        <f>VLOOKUP(B53,[5]Sheet1!$B$421:$K$628,10,FALSE)</f>
        <v>0</v>
      </c>
      <c r="R53" s="12">
        <f>VLOOKUP(B53,[5]Sheet1!$B$213:$K$420,10,FALSE)</f>
        <v>0</v>
      </c>
      <c r="S53" s="12">
        <f>VLOOKUP(B53,[5]Sheet1!$B$2:$K$207,10,FALSE)</f>
        <v>0</v>
      </c>
      <c r="T53" s="12">
        <f>VLOOKUP(B53,[6]Sheet1!$B$421:$K$628,10,FALSE)</f>
        <v>0</v>
      </c>
      <c r="U53" s="12">
        <f>VLOOKUP(B53,[6]Sheet1!$B$213:$K$420,10,FALSE)</f>
        <v>44.5</v>
      </c>
      <c r="V53" s="12">
        <f>VLOOKUP(B53,[6]Sheet1!$B$2:$K$212,10,FALSE)</f>
        <v>65</v>
      </c>
      <c r="W53" s="13">
        <v>0</v>
      </c>
      <c r="X53" s="13">
        <v>0</v>
      </c>
      <c r="Y53" s="13">
        <v>0</v>
      </c>
      <c r="Z53" s="10">
        <v>13.508701890820999</v>
      </c>
      <c r="AA53" s="10">
        <v>16.033258973839001</v>
      </c>
      <c r="AB53" s="10">
        <v>16.053898379561598</v>
      </c>
      <c r="AC53" s="10">
        <v>16.072177942430201</v>
      </c>
      <c r="AD53" s="10">
        <v>14.077942269992599</v>
      </c>
      <c r="AE53" s="10">
        <v>14.3232720596026</v>
      </c>
      <c r="AF53" s="10">
        <v>14.616184268068</v>
      </c>
      <c r="AG53" s="10">
        <v>144.08766233766235</v>
      </c>
      <c r="AH53" s="10">
        <v>145.56017316017315</v>
      </c>
      <c r="AI53" s="12">
        <f>VLOOKUP(B53,[7]all!$A$2:$I$247,6,FALSE)</f>
        <v>65.37</v>
      </c>
      <c r="AJ53" s="12">
        <f>VLOOKUP(B53,[7]all!$A$2:$I$247,7,FALSE)</f>
        <v>65.260000000000005</v>
      </c>
      <c r="AK53" s="12">
        <f>VLOOKUP(B53,[7]all!$A$2:$I$247,8,FALSE)</f>
        <v>65.42</v>
      </c>
      <c r="AL53" s="12"/>
    </row>
    <row r="54" spans="1:38" ht="21.4" x14ac:dyDescent="1.1000000000000001">
      <c r="A54" s="10" t="s">
        <v>103</v>
      </c>
      <c r="B54" s="11" t="s">
        <v>104</v>
      </c>
      <c r="C54" s="10" t="str">
        <f>VLOOKUP(B54,'[1]who-regions'!$B$1:$D$206,3,FALSE)</f>
        <v>EUR</v>
      </c>
      <c r="D54" s="12" t="str">
        <f>VLOOKUP(B54,'[2]Metadata - Countries'!$A$1:$B$266,2,FALSE)</f>
        <v>Europe &amp; Central Asia</v>
      </c>
      <c r="E54" s="12" t="str">
        <f>VLOOKUP(B54,'[2]Metadata - Countries'!$A$1:$C$266,3,FALSE)</f>
        <v>High income</v>
      </c>
      <c r="F54" s="12"/>
      <c r="G54" s="10">
        <v>99.136358195432294</v>
      </c>
      <c r="H54" s="12">
        <f>VLOOKUP(B54,[4]tas!$A$2:$H$247,5,FALSE)</f>
        <v>9.36</v>
      </c>
      <c r="I54" s="12">
        <f>VLOOKUP(B54,[4]tas!$A$2:$H$247,6,FALSE)</f>
        <v>9.3000000000000007</v>
      </c>
      <c r="J54" s="12">
        <f>VLOOKUP(B54,[4]tas!$A$2:$H$247,7,FALSE)</f>
        <v>9.25</v>
      </c>
      <c r="K54" s="10">
        <v>301831228325.55554</v>
      </c>
      <c r="L54" s="10">
        <v>343206568134.63672</v>
      </c>
      <c r="M54" s="10">
        <v>345036675975.0473</v>
      </c>
      <c r="N54" s="10">
        <f>VLOOKUP(B54,[2]Data!$B$1:$G$267,4,FALSE)</f>
        <v>28282.223671585671</v>
      </c>
      <c r="O54" s="10">
        <f>VLOOKUP(B54,[2]Data!$B$1:$G$267,5,FALSE)</f>
        <v>31761.594410249065</v>
      </c>
      <c r="P54" s="10">
        <f>VLOOKUP(B54,[2]Data!$B$1:$G$267,6,FALSE)</f>
        <v>31823.307829056383</v>
      </c>
      <c r="Q54" s="12">
        <f>VLOOKUP(B54,[5]Sheet1!$B$421:$K$628,10,FALSE)</f>
        <v>0</v>
      </c>
      <c r="R54" s="12">
        <f>VLOOKUP(B54,[5]Sheet1!$B$213:$K$420,10,FALSE)</f>
        <v>0</v>
      </c>
      <c r="S54" s="12">
        <f>VLOOKUP(B54,[5]Sheet1!$B$2:$K$207,10,FALSE)</f>
        <v>0</v>
      </c>
      <c r="T54" s="12">
        <f>VLOOKUP(B54,[6]Sheet1!$B$421:$K$628,10,FALSE)</f>
        <v>20.8</v>
      </c>
      <c r="U54" s="12">
        <f>VLOOKUP(B54,[6]Sheet1!$B$213:$K$420,10,FALSE)</f>
        <v>24.6</v>
      </c>
      <c r="V54" s="12">
        <f>VLOOKUP(B54,[6]Sheet1!$B$2:$K$212,10,FALSE)</f>
        <v>25.44</v>
      </c>
      <c r="W54" s="13">
        <v>0</v>
      </c>
      <c r="X54" s="13">
        <v>0</v>
      </c>
      <c r="Y54" s="13">
        <v>0</v>
      </c>
      <c r="Z54" s="10">
        <v>14.111071138413299</v>
      </c>
      <c r="AA54" s="10">
        <v>15.947700097430801</v>
      </c>
      <c r="AB54" s="10">
        <v>15.673635644081701</v>
      </c>
      <c r="AC54" s="10">
        <v>15.397296108303999</v>
      </c>
      <c r="AD54" s="10">
        <v>20.5183106530339</v>
      </c>
      <c r="AE54" s="10">
        <v>20.545900558349501</v>
      </c>
      <c r="AF54" s="10">
        <v>20.845383680989102</v>
      </c>
      <c r="AG54" s="10">
        <v>138.29051130511135</v>
      </c>
      <c r="AH54" s="10">
        <v>140.78554766260481</v>
      </c>
      <c r="AI54" s="12">
        <f>VLOOKUP(B54,[7]all!$A$2:$I$247,6,FALSE)</f>
        <v>77.55</v>
      </c>
      <c r="AJ54" s="12">
        <f>VLOOKUP(B54,[7]all!$A$2:$I$247,7,FALSE)</f>
        <v>77.5</v>
      </c>
      <c r="AK54" s="12">
        <f>VLOOKUP(B54,[7]all!$A$2:$I$247,8,FALSE)</f>
        <v>77.22</v>
      </c>
      <c r="AL54" s="12"/>
    </row>
    <row r="55" spans="1:38" ht="21.4" x14ac:dyDescent="1.1000000000000001">
      <c r="A55" s="10" t="s">
        <v>105</v>
      </c>
      <c r="B55" s="11" t="s">
        <v>106</v>
      </c>
      <c r="C55" s="10" t="str">
        <f>VLOOKUP(B55,'[1]who-regions'!$B$1:$D$206,3,FALSE)</f>
        <v>EUR</v>
      </c>
      <c r="D55" s="12" t="str">
        <f>VLOOKUP(B55,'[2]Metadata - Countries'!$A$1:$B$266,2,FALSE)</f>
        <v>Europe &amp; Central Asia</v>
      </c>
      <c r="E55" s="12" t="str">
        <f>VLOOKUP(B55,'[2]Metadata - Countries'!$A$1:$C$266,3,FALSE)</f>
        <v>High income</v>
      </c>
      <c r="F55" s="12"/>
      <c r="G55" s="10">
        <v>99.597229240099495</v>
      </c>
      <c r="H55" s="12">
        <f>VLOOKUP(B55,[4]tas!$A$2:$H$247,5,FALSE)</f>
        <v>9.48</v>
      </c>
      <c r="I55" s="12">
        <f>VLOOKUP(B55,[4]tas!$A$2:$H$247,6,FALSE)</f>
        <v>9.2899999999999991</v>
      </c>
      <c r="J55" s="12">
        <f>VLOOKUP(B55,[4]tas!$A$2:$H$247,7,FALSE)</f>
        <v>9.35</v>
      </c>
      <c r="K55" s="10">
        <v>401945576107.96332</v>
      </c>
      <c r="L55" s="10">
        <v>407091920305.4043</v>
      </c>
      <c r="M55" s="10">
        <v>429457372071.86896</v>
      </c>
      <c r="N55" s="10">
        <f>VLOOKUP(B55,[2]Data!$B$1:$G$267,4,FALSE)</f>
        <v>67781.094093951397</v>
      </c>
      <c r="O55" s="10">
        <f>VLOOKUP(B55,[2]Data!$B$1:$G$267,5,FALSE)</f>
        <v>68043.546697124315</v>
      </c>
      <c r="P55" s="10">
        <f>VLOOKUP(B55,[2]Data!$B$1:$G$267,6,FALSE)</f>
        <v>71026.483227189703</v>
      </c>
      <c r="Q55" s="12">
        <f>VLOOKUP(B55,[5]Sheet1!$B$421:$K$628,10,FALSE)</f>
        <v>0</v>
      </c>
      <c r="R55" s="12">
        <f>VLOOKUP(B55,[5]Sheet1!$B$213:$K$420,10,FALSE)</f>
        <v>7.91</v>
      </c>
      <c r="S55" s="12">
        <f>VLOOKUP(B55,[5]Sheet1!$B$2:$K$207,10,FALSE)</f>
        <v>6.77</v>
      </c>
      <c r="T55" s="12">
        <f>VLOOKUP(B55,[6]Sheet1!$B$421:$K$628,10,FALSE)</f>
        <v>77.69</v>
      </c>
      <c r="U55" s="12">
        <f>VLOOKUP(B55,[6]Sheet1!$B$213:$K$420,10,FALSE)</f>
        <v>81.150000000000006</v>
      </c>
      <c r="V55" s="12">
        <f>VLOOKUP(B55,[6]Sheet1!$B$2:$K$212,10,FALSE)</f>
        <v>75.62</v>
      </c>
      <c r="W55" s="13">
        <v>0</v>
      </c>
      <c r="X55" s="13">
        <v>0</v>
      </c>
      <c r="Y55" s="13">
        <v>0</v>
      </c>
      <c r="Z55" s="10">
        <v>9.0698392734593103</v>
      </c>
      <c r="AA55" s="10">
        <v>16.036286210675801</v>
      </c>
      <c r="AB55" s="10">
        <v>15.866952616168099</v>
      </c>
      <c r="AC55" s="10">
        <v>15.696383317730101</v>
      </c>
      <c r="AD55" s="10">
        <v>20.400740076472498</v>
      </c>
      <c r="AE55" s="10">
        <v>20.600182931242401</v>
      </c>
      <c r="AF55" s="10">
        <v>20.866070466616701</v>
      </c>
      <c r="AG55" s="10">
        <v>147.57592500000001</v>
      </c>
      <c r="AH55" s="10">
        <v>148.6738</v>
      </c>
      <c r="AI55" s="12">
        <f>VLOOKUP(B55,[7]all!$A$2:$I$247,6,FALSE)</f>
        <v>81.86</v>
      </c>
      <c r="AJ55" s="12">
        <f>VLOOKUP(B55,[7]all!$A$2:$I$247,7,FALSE)</f>
        <v>81.77</v>
      </c>
      <c r="AK55" s="12">
        <f>VLOOKUP(B55,[7]all!$A$2:$I$247,8,FALSE)</f>
        <v>81.89</v>
      </c>
      <c r="AL55" s="15">
        <v>67066</v>
      </c>
    </row>
    <row r="56" spans="1:38" ht="21.4" x14ac:dyDescent="1.1000000000000001">
      <c r="A56" s="10" t="s">
        <v>107</v>
      </c>
      <c r="B56" s="11" t="s">
        <v>108</v>
      </c>
      <c r="C56" s="10" t="str">
        <f>VLOOKUP(B56,'[1]who-regions'!$B$1:$D$206,3,FALSE)</f>
        <v>EMR</v>
      </c>
      <c r="D56" s="12" t="str">
        <f>VLOOKUP(B56,'[2]Metadata - Countries'!$A$1:$B$266,2,FALSE)</f>
        <v>Middle East &amp; North Africa</v>
      </c>
      <c r="E56" s="12" t="str">
        <f>VLOOKUP(B56,'[2]Metadata - Countries'!$A$1:$C$266,3,FALSE)</f>
        <v>Lower middle income</v>
      </c>
      <c r="F56" s="12"/>
      <c r="G56" s="10">
        <v>66.905213453649793</v>
      </c>
      <c r="H56" s="12">
        <f>VLOOKUP(B56,[4]tas!$A$2:$H$247,5,FALSE)</f>
        <v>29.1</v>
      </c>
      <c r="I56" s="12">
        <f>VLOOKUP(B56,[4]tas!$A$2:$H$247,6,FALSE)</f>
        <v>29.15</v>
      </c>
      <c r="J56" s="12">
        <f>VLOOKUP(B56,[4]tas!$A$2:$H$247,7,FALSE)</f>
        <v>29.17</v>
      </c>
      <c r="K56" s="10">
        <v>3562814908.7614856</v>
      </c>
      <c r="L56" s="10">
        <v>3917150480.8098087</v>
      </c>
      <c r="M56" s="10">
        <v>4086402718.8683386</v>
      </c>
      <c r="N56" s="10">
        <f>VLOOKUP(B56,[2]Data!$B$1:$G$267,4,FALSE)</f>
        <v>3133.2577977246297</v>
      </c>
      <c r="O56" s="10">
        <f>VLOOKUP(B56,[2]Data!$B$1:$G$267,5,FALSE)</f>
        <v>3381.2977971072178</v>
      </c>
      <c r="P56" s="10">
        <f>VLOOKUP(B56,[2]Data!$B$1:$G$267,6,FALSE)</f>
        <v>3552.7233507922178</v>
      </c>
      <c r="Q56" s="12">
        <f>VLOOKUP(B56,[5]Sheet1!$B$421:$K$628,10,FALSE)</f>
        <v>0</v>
      </c>
      <c r="R56" s="12">
        <f>VLOOKUP(B56,[5]Sheet1!$B$213:$K$420,10,FALSE)</f>
        <v>0</v>
      </c>
      <c r="S56" s="12">
        <f>VLOOKUP(B56,[5]Sheet1!$B$2:$K$207,10,FALSE)</f>
        <v>0</v>
      </c>
      <c r="T56" s="12">
        <f>VLOOKUP(B56,[6]Sheet1!$B$421:$K$628,10,FALSE)</f>
        <v>0</v>
      </c>
      <c r="U56" s="12">
        <f>VLOOKUP(B56,[6]Sheet1!$B$213:$K$420,10,FALSE)</f>
        <v>0</v>
      </c>
      <c r="V56" s="12">
        <f>VLOOKUP(B56,[6]Sheet1!$B$2:$K$212,10,FALSE)</f>
        <v>0</v>
      </c>
      <c r="W56" s="13">
        <v>72.680221557617202</v>
      </c>
      <c r="X56" s="13">
        <v>0</v>
      </c>
      <c r="Y56" s="13">
        <v>0</v>
      </c>
      <c r="Z56" s="10">
        <v>35.924330483110097</v>
      </c>
      <c r="AA56" s="10">
        <v>30.0233665407318</v>
      </c>
      <c r="AB56" s="10">
        <v>29.574606214441602</v>
      </c>
      <c r="AC56" s="10">
        <v>29.170067817667501</v>
      </c>
      <c r="AD56" s="10">
        <v>4.62735776047053</v>
      </c>
      <c r="AE56" s="10">
        <v>4.7357481090790596</v>
      </c>
      <c r="AF56" s="10">
        <v>4.85081139911801</v>
      </c>
      <c r="AG56" s="10">
        <v>49.055047454702333</v>
      </c>
      <c r="AH56" s="10">
        <v>49.738740293356344</v>
      </c>
      <c r="AI56" s="12">
        <f>VLOOKUP(B56,[7]all!$A$2:$I$247,6,FALSE)</f>
        <v>55.15</v>
      </c>
      <c r="AJ56" s="12">
        <f>VLOOKUP(B56,[7]all!$A$2:$I$247,7,FALSE)</f>
        <v>54.93</v>
      </c>
      <c r="AK56" s="12">
        <f>VLOOKUP(B56,[7]all!$A$2:$I$247,8,FALSE)</f>
        <v>54.99</v>
      </c>
      <c r="AL56" s="12"/>
    </row>
    <row r="57" spans="1:38" ht="21.4" x14ac:dyDescent="1.1000000000000001">
      <c r="A57" s="10" t="s">
        <v>109</v>
      </c>
      <c r="B57" s="11" t="s">
        <v>110</v>
      </c>
      <c r="C57" s="10" t="str">
        <f>VLOOKUP(B57,'[1]who-regions'!$B$1:$D$206,3,FALSE)</f>
        <v>AMR</v>
      </c>
      <c r="D57" s="12" t="str">
        <f>VLOOKUP(B57,'[2]Metadata - Countries'!$A$1:$B$266,2,FALSE)</f>
        <v>Latin America &amp; Caribbean</v>
      </c>
      <c r="E57" s="12" t="str">
        <f>VLOOKUP(B57,'[2]Metadata - Countries'!$A$1:$C$266,3,FALSE)</f>
        <v>Upper middle income</v>
      </c>
      <c r="F57" s="12"/>
      <c r="G57" s="10">
        <v>0</v>
      </c>
      <c r="H57" s="12">
        <f>VLOOKUP(B57,[4]tas!$A$2:$H$247,5,FALSE)</f>
        <v>26.02</v>
      </c>
      <c r="I57" s="12">
        <f>VLOOKUP(B57,[4]tas!$A$2:$H$247,6,FALSE)</f>
        <v>26.05</v>
      </c>
      <c r="J57" s="12">
        <f>VLOOKUP(B57,[4]tas!$A$2:$H$247,7,FALSE)</f>
        <v>26.11</v>
      </c>
      <c r="K57" s="10">
        <v>623062962.96296287</v>
      </c>
      <c r="L57" s="10">
        <v>659311111.11111104</v>
      </c>
      <c r="M57" s="10">
        <v>688881481.48148143</v>
      </c>
      <c r="N57" s="10">
        <f>VLOOKUP(B57,[2]Data!$B$1:$G$267,4,FALSE)</f>
        <v>9323.660894905619</v>
      </c>
      <c r="O57" s="10">
        <f>VLOOKUP(B57,[2]Data!$B$1:$G$267,5,FALSE)</f>
        <v>9912.9621276666821</v>
      </c>
      <c r="P57" s="10">
        <f>VLOOKUP(B57,[2]Data!$B$1:$G$267,6,FALSE)</f>
        <v>10405.278777758196</v>
      </c>
      <c r="Q57" s="12">
        <f>VLOOKUP(B57,[5]Sheet1!$B$421:$K$628,10,FALSE)</f>
        <v>0</v>
      </c>
      <c r="R57" s="12">
        <f>VLOOKUP(B57,[5]Sheet1!$B$213:$K$420,10,FALSE)</f>
        <v>0</v>
      </c>
      <c r="S57" s="12">
        <f>VLOOKUP(B57,[5]Sheet1!$B$2:$K$207,10,FALSE)</f>
        <v>0</v>
      </c>
      <c r="T57" s="12">
        <f>VLOOKUP(B57,[6]Sheet1!$B$421:$K$628,10,FALSE)</f>
        <v>0</v>
      </c>
      <c r="U57" s="12">
        <f>VLOOKUP(B57,[6]Sheet1!$B$213:$K$420,10,FALSE)</f>
        <v>0</v>
      </c>
      <c r="V57" s="12">
        <f>VLOOKUP(B57,[6]Sheet1!$B$2:$K$212,10,FALSE)</f>
        <v>0</v>
      </c>
      <c r="W57" s="13">
        <v>0</v>
      </c>
      <c r="X57" s="13">
        <v>0</v>
      </c>
      <c r="Y57" s="13">
        <v>0</v>
      </c>
      <c r="Z57" s="10">
        <v>20.6672998234563</v>
      </c>
      <c r="AA57" s="10">
        <v>18.292892789537099</v>
      </c>
      <c r="AB57" s="10">
        <v>18.109922493440902</v>
      </c>
      <c r="AC57" s="10">
        <v>17.8732724114493</v>
      </c>
      <c r="AD57" s="10">
        <v>12.585576081345</v>
      </c>
      <c r="AE57" s="10">
        <v>12.743852474421301</v>
      </c>
      <c r="AF57" s="10">
        <v>12.955970092893301</v>
      </c>
      <c r="AG57" s="10">
        <v>89.101333333333329</v>
      </c>
      <c r="AH57" s="10">
        <v>88.68</v>
      </c>
      <c r="AI57" s="12">
        <f>VLOOKUP(B57,[7]all!$A$2:$I$247,6,FALSE)</f>
        <v>82.24</v>
      </c>
      <c r="AJ57" s="12">
        <f>VLOOKUP(B57,[7]all!$A$2:$I$247,7,FALSE)</f>
        <v>82.24</v>
      </c>
      <c r="AK57" s="12">
        <f>VLOOKUP(B57,[7]all!$A$2:$I$247,8,FALSE)</f>
        <v>82.24</v>
      </c>
      <c r="AL57" s="12"/>
    </row>
    <row r="58" spans="1:38" ht="21.4" x14ac:dyDescent="1.1000000000000001">
      <c r="A58" s="10" t="s">
        <v>111</v>
      </c>
      <c r="B58" s="11" t="s">
        <v>112</v>
      </c>
      <c r="C58" s="10" t="str">
        <f>VLOOKUP(B58,'[1]who-regions'!$B$1:$D$206,3,FALSE)</f>
        <v>AMR</v>
      </c>
      <c r="D58" s="12" t="str">
        <f>VLOOKUP(B58,'[2]Metadata - Countries'!$A$1:$B$266,2,FALSE)</f>
        <v>Latin America &amp; Caribbean</v>
      </c>
      <c r="E58" s="12" t="str">
        <f>VLOOKUP(B58,'[2]Metadata - Countries'!$A$1:$C$266,3,FALSE)</f>
        <v>Upper middle income</v>
      </c>
      <c r="F58" s="12"/>
      <c r="G58" s="10">
        <v>88.681791880602901</v>
      </c>
      <c r="H58" s="12">
        <f>VLOOKUP(B58,[4]tas!$A$2:$H$247,5,FALSE)</f>
        <v>24.97</v>
      </c>
      <c r="I58" s="12">
        <f>VLOOKUP(B58,[4]tas!$A$2:$H$247,6,FALSE)</f>
        <v>25</v>
      </c>
      <c r="J58" s="12">
        <f>VLOOKUP(B58,[4]tas!$A$2:$H$247,7,FALSE)</f>
        <v>25.02</v>
      </c>
      <c r="K58" s="10">
        <v>113478087134.79988</v>
      </c>
      <c r="L58" s="10">
        <v>120456239153.73875</v>
      </c>
      <c r="M58" s="10">
        <v>124282245638.56845</v>
      </c>
      <c r="N58" s="10">
        <f>VLOOKUP(B58,[2]Data!$B$1:$G$267,4,FALSE)</f>
        <v>10104.244934908073</v>
      </c>
      <c r="O58" s="10">
        <f>VLOOKUP(B58,[2]Data!$B$1:$G$267,5,FALSE)</f>
        <v>10630.431743829022</v>
      </c>
      <c r="P58" s="10">
        <f>VLOOKUP(B58,[2]Data!$B$1:$G$267,6,FALSE)</f>
        <v>10875.661844309196</v>
      </c>
      <c r="Q58" s="12">
        <f>VLOOKUP(B58,[5]Sheet1!$B$421:$K$628,10,FALSE)</f>
        <v>0</v>
      </c>
      <c r="R58" s="12">
        <f>VLOOKUP(B58,[5]Sheet1!$B$213:$K$420,10,FALSE)</f>
        <v>0</v>
      </c>
      <c r="S58" s="12">
        <f>VLOOKUP(B58,[5]Sheet1!$B$2:$K$207,10,FALSE)</f>
        <v>0</v>
      </c>
      <c r="T58" s="12">
        <f>VLOOKUP(B58,[6]Sheet1!$B$421:$K$628,10,FALSE)</f>
        <v>0</v>
      </c>
      <c r="U58" s="12">
        <f>VLOOKUP(B58,[6]Sheet1!$B$213:$K$420,10,FALSE)</f>
        <v>102.17</v>
      </c>
      <c r="V58" s="12">
        <f>VLOOKUP(B58,[6]Sheet1!$B$2:$K$212,10,FALSE)</f>
        <v>51.36</v>
      </c>
      <c r="W58" s="13">
        <v>94.808380126953097</v>
      </c>
      <c r="X58" s="13">
        <v>92.230361938476605</v>
      </c>
      <c r="Y58" s="13">
        <v>0</v>
      </c>
      <c r="Z58" s="10">
        <v>19.826744036968499</v>
      </c>
      <c r="AA58" s="10">
        <v>27.1919594566107</v>
      </c>
      <c r="AB58" s="10">
        <v>26.914001794415601</v>
      </c>
      <c r="AC58" s="10">
        <v>26.578651062514901</v>
      </c>
      <c r="AD58" s="10">
        <v>7.2871331155707697</v>
      </c>
      <c r="AE58" s="10">
        <v>7.5808611138800002</v>
      </c>
      <c r="AF58" s="10">
        <v>7.8794750269020799</v>
      </c>
      <c r="AG58" s="10">
        <v>233.01235195968633</v>
      </c>
      <c r="AH58" s="10">
        <v>235.09814303575126</v>
      </c>
      <c r="AI58" s="12">
        <f>VLOOKUP(B58,[7]all!$A$2:$I$247,6,FALSE)</f>
        <v>77.28</v>
      </c>
      <c r="AJ58" s="12">
        <f>VLOOKUP(B58,[7]all!$A$2:$I$247,7,FALSE)</f>
        <v>77.239999999999995</v>
      </c>
      <c r="AK58" s="12">
        <f>VLOOKUP(B58,[7]all!$A$2:$I$247,8,FALSE)</f>
        <v>77.36</v>
      </c>
      <c r="AL58" s="12"/>
    </row>
    <row r="59" spans="1:38" ht="21.4" x14ac:dyDescent="1.1000000000000001">
      <c r="A59" s="10" t="s">
        <v>113</v>
      </c>
      <c r="B59" s="11" t="s">
        <v>114</v>
      </c>
      <c r="C59" s="10" t="str">
        <f>VLOOKUP(B59,'[1]who-regions'!$B$1:$D$206,3,FALSE)</f>
        <v>AMR</v>
      </c>
      <c r="D59" s="12" t="str">
        <f>VLOOKUP(B59,'[2]Metadata - Countries'!$A$1:$B$266,2,FALSE)</f>
        <v>Latin America &amp; Caribbean</v>
      </c>
      <c r="E59" s="12" t="str">
        <f>VLOOKUP(B59,'[2]Metadata - Countries'!$A$1:$C$266,3,FALSE)</f>
        <v>Upper middle income</v>
      </c>
      <c r="F59" s="12"/>
      <c r="G59" s="10">
        <v>92.272501092360699</v>
      </c>
      <c r="H59" s="12">
        <f>VLOOKUP(B59,[4]tas!$A$2:$H$247,5,FALSE)</f>
        <v>21.61</v>
      </c>
      <c r="I59" s="12">
        <f>VLOOKUP(B59,[4]tas!$A$2:$H$247,6,FALSE)</f>
        <v>21.63</v>
      </c>
      <c r="J59" s="12">
        <f>VLOOKUP(B59,[4]tas!$A$2:$H$247,7,FALSE)</f>
        <v>21.71</v>
      </c>
      <c r="K59" s="10">
        <v>116133121000</v>
      </c>
      <c r="L59" s="10">
        <v>121147057000</v>
      </c>
      <c r="M59" s="10">
        <v>124676074700</v>
      </c>
      <c r="N59" s="10">
        <f>VLOOKUP(B59,[2]Data!$B$1:$G$267,4,FALSE)</f>
        <v>6515.5852841833639</v>
      </c>
      <c r="O59" s="10">
        <f>VLOOKUP(B59,[2]Data!$B$1:$G$267,5,FALSE)</f>
        <v>6737.8474837963759</v>
      </c>
      <c r="P59" s="10">
        <f>VLOOKUP(B59,[2]Data!$B$1:$G$267,6,FALSE)</f>
        <v>6874.7057397659992</v>
      </c>
      <c r="Q59" s="12">
        <f>VLOOKUP(B59,[5]Sheet1!$B$421:$K$628,10,FALSE)</f>
        <v>65.66</v>
      </c>
      <c r="R59" s="12">
        <f>VLOOKUP(B59,[5]Sheet1!$B$213:$K$420,10,FALSE)</f>
        <v>11.37</v>
      </c>
      <c r="S59" s="12">
        <f>VLOOKUP(B59,[5]Sheet1!$B$2:$K$207,10,FALSE)</f>
        <v>63.83</v>
      </c>
      <c r="T59" s="12">
        <f>VLOOKUP(B59,[6]Sheet1!$B$421:$K$628,10,FALSE)</f>
        <v>78.41</v>
      </c>
      <c r="U59" s="12">
        <f>VLOOKUP(B59,[6]Sheet1!$B$213:$K$420,10,FALSE)</f>
        <v>68.17</v>
      </c>
      <c r="V59" s="12">
        <f>VLOOKUP(B59,[6]Sheet1!$B$2:$K$212,10,FALSE)</f>
        <v>32.979999999999997</v>
      </c>
      <c r="W59" s="13">
        <v>86.772171020507798</v>
      </c>
      <c r="X59" s="13">
        <v>94.356178283691406</v>
      </c>
      <c r="Y59" s="13">
        <v>0</v>
      </c>
      <c r="Z59" s="10">
        <v>16.657021075892199</v>
      </c>
      <c r="AA59" s="10">
        <v>25.5167430556853</v>
      </c>
      <c r="AB59" s="10">
        <v>25.0046899116094</v>
      </c>
      <c r="AC59" s="10">
        <v>24.455849039541398</v>
      </c>
      <c r="AD59" s="10">
        <v>7.8504016265354304</v>
      </c>
      <c r="AE59" s="10">
        <v>8.0928825523219192</v>
      </c>
      <c r="AF59" s="10">
        <v>8.3439986622905309</v>
      </c>
      <c r="AG59" s="10">
        <v>71.766375422773393</v>
      </c>
      <c r="AH59" s="10">
        <v>72.395244805926879</v>
      </c>
      <c r="AI59" s="12">
        <f>VLOOKUP(B59,[7]all!$A$2:$I$247,6,FALSE)</f>
        <v>81.96</v>
      </c>
      <c r="AJ59" s="12">
        <f>VLOOKUP(B59,[7]all!$A$2:$I$247,7,FALSE)</f>
        <v>81.97</v>
      </c>
      <c r="AK59" s="12">
        <f>VLOOKUP(B59,[7]all!$A$2:$I$247,8,FALSE)</f>
        <v>81.849999999999994</v>
      </c>
      <c r="AL59" s="15">
        <v>13937</v>
      </c>
    </row>
    <row r="60" spans="1:38" ht="21.4" x14ac:dyDescent="1.1000000000000001">
      <c r="A60" s="10" t="s">
        <v>115</v>
      </c>
      <c r="B60" s="11" t="s">
        <v>116</v>
      </c>
      <c r="C60" s="10" t="str">
        <f>VLOOKUP(B60,'[1]who-regions'!$B$1:$D$206,3,FALSE)</f>
        <v>EMR</v>
      </c>
      <c r="D60" s="12" t="str">
        <f>VLOOKUP(B60,'[2]Metadata - Countries'!$A$1:$B$266,2,FALSE)</f>
        <v>Middle East &amp; North Africa</v>
      </c>
      <c r="E60" s="12" t="str">
        <f>VLOOKUP(B60,'[2]Metadata - Countries'!$A$1:$C$266,3,FALSE)</f>
        <v>Lower middle income</v>
      </c>
      <c r="F60" s="12"/>
      <c r="G60" s="10">
        <v>97.528750009994397</v>
      </c>
      <c r="H60" s="12">
        <f>VLOOKUP(B60,[4]tas!$A$2:$H$247,5,FALSE)</f>
        <v>23.62</v>
      </c>
      <c r="I60" s="12">
        <f>VLOOKUP(B60,[4]tas!$A$2:$H$247,6,FALSE)</f>
        <v>23.61</v>
      </c>
      <c r="J60" s="12">
        <f>VLOOKUP(B60,[4]tas!$A$2:$H$247,7,FALSE)</f>
        <v>23.69</v>
      </c>
      <c r="K60" s="10">
        <v>476747720364.74164</v>
      </c>
      <c r="L60" s="10">
        <v>395926075163.0058</v>
      </c>
      <c r="M60" s="10">
        <v>389059911003.56573</v>
      </c>
      <c r="N60" s="10">
        <f>VLOOKUP(B60,[2]Data!$B$1:$G$267,4,FALSE)</f>
        <v>4233.3078374485631</v>
      </c>
      <c r="O60" s="10">
        <f>VLOOKUP(B60,[2]Data!$B$1:$G$267,5,FALSE)</f>
        <v>3456.7896845625296</v>
      </c>
      <c r="P60" s="10">
        <f>VLOOKUP(B60,[2]Data!$B$1:$G$267,6,FALSE)</f>
        <v>3338.4737139589452</v>
      </c>
      <c r="Q60" s="12">
        <f>VLOOKUP(B60,[5]Sheet1!$B$421:$K$628,10,FALSE)</f>
        <v>0</v>
      </c>
      <c r="R60" s="12">
        <f>VLOOKUP(B60,[5]Sheet1!$B$213:$K$420,10,FALSE)</f>
        <v>0</v>
      </c>
      <c r="S60" s="12">
        <f>VLOOKUP(B60,[5]Sheet1!$B$2:$K$207,10,FALSE)</f>
        <v>0</v>
      </c>
      <c r="T60" s="12">
        <f>VLOOKUP(B60,[6]Sheet1!$B$421:$K$628,10,FALSE)</f>
        <v>0</v>
      </c>
      <c r="U60" s="12">
        <f>VLOOKUP(B60,[6]Sheet1!$B$213:$K$420,10,FALSE)</f>
        <v>0</v>
      </c>
      <c r="V60" s="12">
        <f>VLOOKUP(B60,[6]Sheet1!$B$2:$K$212,10,FALSE)</f>
        <v>0</v>
      </c>
      <c r="W60" s="13">
        <v>0</v>
      </c>
      <c r="X60" s="13">
        <v>0</v>
      </c>
      <c r="Y60" s="13">
        <v>0</v>
      </c>
      <c r="Z60" s="10">
        <v>54.858705649643603</v>
      </c>
      <c r="AA60" s="10">
        <v>32.851340403759302</v>
      </c>
      <c r="AB60" s="10">
        <v>32.4351191889426</v>
      </c>
      <c r="AC60" s="10">
        <v>31.994655059948901</v>
      </c>
      <c r="AD60" s="10">
        <v>4.8284034995589202</v>
      </c>
      <c r="AE60" s="10">
        <v>4.9696853877655203</v>
      </c>
      <c r="AF60" s="10">
        <v>5.1162953933818702</v>
      </c>
      <c r="AG60" s="10">
        <v>113.1330051735396</v>
      </c>
      <c r="AH60" s="10">
        <v>115.05929177758803</v>
      </c>
      <c r="AI60" s="12">
        <f>VLOOKUP(B60,[7]all!$A$2:$I$247,6,FALSE)</f>
        <v>38.81</v>
      </c>
      <c r="AJ60" s="12">
        <f>VLOOKUP(B60,[7]all!$A$2:$I$247,7,FALSE)</f>
        <v>38.69</v>
      </c>
      <c r="AK60" s="12">
        <f>VLOOKUP(B60,[7]all!$A$2:$I$247,8,FALSE)</f>
        <v>38.76</v>
      </c>
      <c r="AL60" s="12"/>
    </row>
    <row r="61" spans="1:38" ht="21.4" x14ac:dyDescent="1.1000000000000001">
      <c r="A61" s="10" t="s">
        <v>117</v>
      </c>
      <c r="B61" s="11" t="s">
        <v>118</v>
      </c>
      <c r="C61" s="10" t="str">
        <f>VLOOKUP(B61,'[1]who-regions'!$B$1:$D$206,3,FALSE)</f>
        <v>AMR</v>
      </c>
      <c r="D61" s="12" t="str">
        <f>VLOOKUP(B61,'[2]Metadata - Countries'!$A$1:$B$266,2,FALSE)</f>
        <v>Latin America &amp; Caribbean</v>
      </c>
      <c r="E61" s="12" t="str">
        <f>VLOOKUP(B61,'[2]Metadata - Countries'!$A$1:$C$266,3,FALSE)</f>
        <v>Upper middle income</v>
      </c>
      <c r="F61" s="12"/>
      <c r="G61" s="10">
        <v>87.552783752322895</v>
      </c>
      <c r="H61" s="12">
        <f>VLOOKUP(B61,[4]tas!$A$2:$H$247,5,FALSE)</f>
        <v>26.85</v>
      </c>
      <c r="I61" s="12">
        <f>VLOOKUP(B61,[4]tas!$A$2:$H$247,6,FALSE)</f>
        <v>26.9</v>
      </c>
      <c r="J61" s="12">
        <f>VLOOKUP(B61,[4]tas!$A$2:$H$247,7,FALSE)</f>
        <v>26.9</v>
      </c>
      <c r="K61" s="10">
        <v>31870120000</v>
      </c>
      <c r="L61" s="10">
        <v>33853940000.000004</v>
      </c>
      <c r="M61" s="10">
        <v>35364960000</v>
      </c>
      <c r="N61" s="10">
        <f>VLOOKUP(B61,[2]Data!$B$1:$G$267,4,FALSE)</f>
        <v>5074.6021022180557</v>
      </c>
      <c r="O61" s="10">
        <f>VLOOKUP(B61,[2]Data!$B$1:$G$267,5,FALSE)</f>
        <v>5365.444913991706</v>
      </c>
      <c r="P61" s="10">
        <f>VLOOKUP(B61,[2]Data!$B$1:$G$267,6,FALSE)</f>
        <v>5579.6596916502858</v>
      </c>
      <c r="Q61" s="12">
        <f>VLOOKUP(B61,[5]Sheet1!$B$421:$K$628,10,FALSE)</f>
        <v>0</v>
      </c>
      <c r="R61" s="12">
        <f>VLOOKUP(B61,[5]Sheet1!$B$213:$K$420,10,FALSE)</f>
        <v>0</v>
      </c>
      <c r="S61" s="12">
        <f>VLOOKUP(B61,[5]Sheet1!$B$2:$K$207,10,FALSE)</f>
        <v>0</v>
      </c>
      <c r="T61" s="12">
        <f>VLOOKUP(B61,[6]Sheet1!$B$421:$K$628,10,FALSE)</f>
        <v>57.04</v>
      </c>
      <c r="U61" s="12">
        <f>VLOOKUP(B61,[6]Sheet1!$B$213:$K$420,10,FALSE)</f>
        <v>63.95</v>
      </c>
      <c r="V61" s="12">
        <f>VLOOKUP(B61,[6]Sheet1!$B$2:$K$212,10,FALSE)</f>
        <v>46.09</v>
      </c>
      <c r="W61" s="13">
        <v>94.302436828613295</v>
      </c>
      <c r="X61" s="13">
        <v>89.301811218261705</v>
      </c>
      <c r="Y61" s="13">
        <v>0</v>
      </c>
      <c r="Z61" s="10">
        <v>20.028714450014501</v>
      </c>
      <c r="AA61" s="10">
        <v>25.617058623933001</v>
      </c>
      <c r="AB61" s="10">
        <v>25.210392885534901</v>
      </c>
      <c r="AC61" s="10">
        <v>24.806123764296899</v>
      </c>
      <c r="AD61" s="10">
        <v>7.8616309139710898</v>
      </c>
      <c r="AE61" s="10">
        <v>8.0003182440031306</v>
      </c>
      <c r="AF61" s="10">
        <v>8.14861585944133</v>
      </c>
      <c r="AG61" s="10">
        <v>303.10419884169886</v>
      </c>
      <c r="AH61" s="10">
        <v>304.51853281853283</v>
      </c>
      <c r="AI61" s="12">
        <f>VLOOKUP(B61,[7]all!$A$2:$I$247,6,FALSE)</f>
        <v>67.84</v>
      </c>
      <c r="AJ61" s="12">
        <f>VLOOKUP(B61,[7]all!$A$2:$I$247,7,FALSE)</f>
        <v>67.540000000000006</v>
      </c>
      <c r="AK61" s="12">
        <f>VLOOKUP(B61,[7]all!$A$2:$I$247,8,FALSE)</f>
        <v>67.959999999999994</v>
      </c>
      <c r="AL61" s="12"/>
    </row>
    <row r="62" spans="1:38" ht="21.4" x14ac:dyDescent="1.1000000000000001">
      <c r="A62" s="10" t="s">
        <v>119</v>
      </c>
      <c r="B62" s="11" t="s">
        <v>120</v>
      </c>
      <c r="C62" s="10" t="str">
        <f>VLOOKUP(B62,'[1]who-regions'!$B$1:$D$206,3,FALSE)</f>
        <v>AFR</v>
      </c>
      <c r="D62" s="12" t="str">
        <f>VLOOKUP(B62,'[2]Metadata - Countries'!$A$1:$B$266,2,FALSE)</f>
        <v>Sub-Saharan Africa</v>
      </c>
      <c r="E62" s="12" t="str">
        <f>VLOOKUP(B62,'[2]Metadata - Countries'!$A$1:$C$266,3,FALSE)</f>
        <v>Upper middle income</v>
      </c>
      <c r="F62" s="12"/>
      <c r="G62" s="10">
        <v>0</v>
      </c>
      <c r="H62" s="12">
        <f>VLOOKUP(B62,[4]tas!$A$2:$H$247,5,FALSE)</f>
        <v>24.82</v>
      </c>
      <c r="I62" s="12">
        <f>VLOOKUP(B62,[4]tas!$A$2:$H$247,6,FALSE)</f>
        <v>24.84</v>
      </c>
      <c r="J62" s="12">
        <f>VLOOKUP(B62,[4]tas!$A$2:$H$247,7,FALSE)</f>
        <v>24.9</v>
      </c>
      <c r="K62" s="10">
        <v>13687643435.624903</v>
      </c>
      <c r="L62" s="10">
        <v>12337550583.753971</v>
      </c>
      <c r="M62" s="10">
        <v>12765777677.062155</v>
      </c>
      <c r="N62" s="10">
        <f>VLOOKUP(B62,[2]Data!$B$1:$G$267,4,FALSE)</f>
        <v>7589.2996490938131</v>
      </c>
      <c r="O62" s="10">
        <f>VLOOKUP(B62,[2]Data!$B$1:$G$267,5,FALSE)</f>
        <v>6677.793435386001</v>
      </c>
      <c r="P62" s="10">
        <f>VLOOKUP(B62,[2]Data!$B$1:$G$267,6,FALSE)</f>
        <v>6745.4001324491601</v>
      </c>
      <c r="Q62" s="12">
        <f>VLOOKUP(B62,[5]Sheet1!$B$421:$K$628,10,FALSE)</f>
        <v>0</v>
      </c>
      <c r="R62" s="12">
        <f>VLOOKUP(B62,[5]Sheet1!$B$213:$K$420,10,FALSE)</f>
        <v>0</v>
      </c>
      <c r="S62" s="12">
        <f>VLOOKUP(B62,[5]Sheet1!$B$2:$K$207,10,FALSE)</f>
        <v>0</v>
      </c>
      <c r="T62" s="12">
        <f>VLOOKUP(B62,[6]Sheet1!$B$421:$K$628,10,FALSE)</f>
        <v>0</v>
      </c>
      <c r="U62" s="12">
        <f>VLOOKUP(B62,[6]Sheet1!$B$213:$K$420,10,FALSE)</f>
        <v>0</v>
      </c>
      <c r="V62" s="12">
        <f>VLOOKUP(B62,[6]Sheet1!$B$2:$K$212,10,FALSE)</f>
        <v>0</v>
      </c>
      <c r="W62" s="13">
        <v>0</v>
      </c>
      <c r="X62" s="13">
        <v>0</v>
      </c>
      <c r="Y62" s="13">
        <v>0</v>
      </c>
      <c r="Z62" s="10">
        <v>35.379052181196698</v>
      </c>
      <c r="AA62" s="10">
        <v>37.6781283527719</v>
      </c>
      <c r="AB62" s="10">
        <v>37.484337357222998</v>
      </c>
      <c r="AC62" s="10">
        <v>37.285460919363203</v>
      </c>
      <c r="AD62" s="10">
        <v>3.56750178121422</v>
      </c>
      <c r="AE62" s="10">
        <v>3.6234221663403798</v>
      </c>
      <c r="AF62" s="10">
        <v>3.6878938704101101</v>
      </c>
      <c r="AG62" s="10">
        <v>64.297504456327985</v>
      </c>
      <c r="AH62" s="10">
        <v>65.866274509803915</v>
      </c>
      <c r="AI62" s="12">
        <f>VLOOKUP(B62,[7]all!$A$2:$I$247,6,FALSE)</f>
        <v>83.65</v>
      </c>
      <c r="AJ62" s="12">
        <f>VLOOKUP(B62,[7]all!$A$2:$I$247,7,FALSE)</f>
        <v>83.58</v>
      </c>
      <c r="AK62" s="12">
        <f>VLOOKUP(B62,[7]all!$A$2:$I$247,8,FALSE)</f>
        <v>83.5</v>
      </c>
      <c r="AL62" s="12"/>
    </row>
    <row r="63" spans="1:38" ht="21.4" x14ac:dyDescent="1.1000000000000001">
      <c r="A63" s="10" t="s">
        <v>121</v>
      </c>
      <c r="B63" s="11" t="s">
        <v>122</v>
      </c>
      <c r="C63" s="10" t="str">
        <f>VLOOKUP(B63,'[1]who-regions'!$B$1:$D$206,3,FALSE)</f>
        <v>AFR</v>
      </c>
      <c r="D63" s="12" t="str">
        <f>VLOOKUP(B63,'[2]Metadata - Countries'!$A$1:$B$266,2,FALSE)</f>
        <v>Sub-Saharan Africa</v>
      </c>
      <c r="E63" s="12" t="str">
        <f>VLOOKUP(B63,'[2]Metadata - Countries'!$A$1:$C$266,3,FALSE)</f>
        <v>Low income</v>
      </c>
      <c r="F63" s="12"/>
      <c r="G63" s="10">
        <v>0</v>
      </c>
      <c r="H63" s="12">
        <f>VLOOKUP(B63,[4]tas!$A$2:$H$247,5,FALSE)</f>
        <v>27.66</v>
      </c>
      <c r="I63" s="12">
        <f>VLOOKUP(B63,[4]tas!$A$2:$H$247,6,FALSE)</f>
        <v>27.66</v>
      </c>
      <c r="J63" s="12">
        <f>VLOOKUP(B63,[4]tas!$A$2:$H$247,7,FALSE)</f>
        <v>27.74</v>
      </c>
      <c r="K63" s="10">
        <v>0</v>
      </c>
      <c r="L63" s="10">
        <v>0</v>
      </c>
      <c r="M63" s="10">
        <v>0</v>
      </c>
      <c r="N63" s="10">
        <f>VLOOKUP(B63,[2]Data!$B$1:$G$267,4,FALSE)</f>
        <v>0</v>
      </c>
      <c r="O63" s="10">
        <f>VLOOKUP(B63,[2]Data!$B$1:$G$267,5,FALSE)</f>
        <v>0</v>
      </c>
      <c r="P63" s="10">
        <f>VLOOKUP(B63,[2]Data!$B$1:$G$267,6,FALSE)</f>
        <v>0</v>
      </c>
      <c r="Q63" s="12">
        <f>VLOOKUP(B63,[5]Sheet1!$B$421:$K$628,10,FALSE)</f>
        <v>0</v>
      </c>
      <c r="R63" s="12">
        <f>VLOOKUP(B63,[5]Sheet1!$B$213:$K$420,10,FALSE)</f>
        <v>0</v>
      </c>
      <c r="S63" s="12">
        <f>VLOOKUP(B63,[5]Sheet1!$B$2:$K$207,10,FALSE)</f>
        <v>0</v>
      </c>
      <c r="T63" s="12">
        <f>VLOOKUP(B63,[6]Sheet1!$B$421:$K$628,10,FALSE)</f>
        <v>0</v>
      </c>
      <c r="U63" s="12">
        <f>VLOOKUP(B63,[6]Sheet1!$B$213:$K$420,10,FALSE)</f>
        <v>0</v>
      </c>
      <c r="V63" s="12">
        <f>VLOOKUP(B63,[6]Sheet1!$B$2:$K$212,10,FALSE)</f>
        <v>0</v>
      </c>
      <c r="W63" s="13">
        <v>0</v>
      </c>
      <c r="X63" s="13">
        <v>0</v>
      </c>
      <c r="Y63" s="13">
        <v>0</v>
      </c>
      <c r="Z63" s="10">
        <v>32.351520638685201</v>
      </c>
      <c r="AA63" s="10">
        <v>39.201049319728398</v>
      </c>
      <c r="AB63" s="10">
        <v>38.677430876274798</v>
      </c>
      <c r="AC63" s="10">
        <v>38.137016514580402</v>
      </c>
      <c r="AD63" s="10">
        <v>4.1160487316564804</v>
      </c>
      <c r="AE63" s="10">
        <v>4.1509605766153896</v>
      </c>
      <c r="AF63" s="10">
        <v>4.20287571879535</v>
      </c>
      <c r="AG63" s="10">
        <v>28.135811556864191</v>
      </c>
      <c r="AH63" s="10">
        <v>28.638732049163959</v>
      </c>
      <c r="AI63" s="12">
        <f>VLOOKUP(B63,[7]all!$A$2:$I$247,6,FALSE)</f>
        <v>51.46</v>
      </c>
      <c r="AJ63" s="12">
        <f>VLOOKUP(B63,[7]all!$A$2:$I$247,7,FALSE)</f>
        <v>51.39</v>
      </c>
      <c r="AK63" s="12">
        <f>VLOOKUP(B63,[7]all!$A$2:$I$247,8,FALSE)</f>
        <v>51.49</v>
      </c>
      <c r="AL63" s="12"/>
    </row>
    <row r="64" spans="1:38" ht="21.4" x14ac:dyDescent="1.1000000000000001">
      <c r="A64" s="10" t="s">
        <v>123</v>
      </c>
      <c r="B64" s="11" t="s">
        <v>124</v>
      </c>
      <c r="C64" s="10" t="str">
        <f>VLOOKUP(B64,'[1]who-regions'!$B$1:$D$206,3,FALSE)</f>
        <v>EUR</v>
      </c>
      <c r="D64" s="12" t="str">
        <f>VLOOKUP(B64,'[2]Metadata - Countries'!$A$1:$B$266,2,FALSE)</f>
        <v>Europe &amp; Central Asia</v>
      </c>
      <c r="E64" s="12" t="str">
        <f>VLOOKUP(B64,'[2]Metadata - Countries'!$A$1:$C$266,3,FALSE)</f>
        <v>High income</v>
      </c>
      <c r="F64" s="12"/>
      <c r="G64" s="10">
        <v>99.060220552291497</v>
      </c>
      <c r="H64" s="12">
        <f>VLOOKUP(B64,[4]tas!$A$2:$H$247,5,FALSE)</f>
        <v>7.13</v>
      </c>
      <c r="I64" s="12">
        <f>VLOOKUP(B64,[4]tas!$A$2:$H$247,6,FALSE)</f>
        <v>6.9</v>
      </c>
      <c r="J64" s="12">
        <f>VLOOKUP(B64,[4]tas!$A$2:$H$247,7,FALSE)</f>
        <v>6.84</v>
      </c>
      <c r="K64" s="10">
        <v>38376046174.97097</v>
      </c>
      <c r="L64" s="10">
        <v>41291245222.194847</v>
      </c>
      <c r="M64" s="10">
        <v>42764929169.325775</v>
      </c>
      <c r="N64" s="10">
        <f>VLOOKUP(B64,[2]Data!$B$1:$G$267,4,FALSE)</f>
        <v>28340.382654940564</v>
      </c>
      <c r="O64" s="10">
        <f>VLOOKUP(B64,[2]Data!$B$1:$G$267,5,FALSE)</f>
        <v>30264.006488505736</v>
      </c>
      <c r="P64" s="10">
        <f>VLOOKUP(B64,[2]Data!$B$1:$G$267,6,FALSE)</f>
        <v>31428.354781610396</v>
      </c>
      <c r="Q64" s="12">
        <f>VLOOKUP(B64,[5]Sheet1!$B$421:$K$628,10,FALSE)</f>
        <v>0</v>
      </c>
      <c r="R64" s="12">
        <f>VLOOKUP(B64,[5]Sheet1!$B$213:$K$420,10,FALSE)</f>
        <v>0</v>
      </c>
      <c r="S64" s="12">
        <f>VLOOKUP(B64,[5]Sheet1!$B$2:$K$207,10,FALSE)</f>
        <v>0</v>
      </c>
      <c r="T64" s="12">
        <f>VLOOKUP(B64,[6]Sheet1!$B$421:$K$628,10,FALSE)</f>
        <v>30.24</v>
      </c>
      <c r="U64" s="12">
        <f>VLOOKUP(B64,[6]Sheet1!$B$213:$K$420,10,FALSE)</f>
        <v>28.11</v>
      </c>
      <c r="V64" s="12">
        <f>VLOOKUP(B64,[6]Sheet1!$B$2:$K$212,10,FALSE)</f>
        <v>25.8</v>
      </c>
      <c r="W64" s="13">
        <v>0</v>
      </c>
      <c r="X64" s="13">
        <v>0</v>
      </c>
      <c r="Y64" s="13">
        <v>0</v>
      </c>
      <c r="Z64" s="10">
        <v>6.1457329097300297</v>
      </c>
      <c r="AA64" s="10">
        <v>16.233159011815101</v>
      </c>
      <c r="AB64" s="10">
        <v>15.968303008493301</v>
      </c>
      <c r="AC64" s="10">
        <v>15.6376190147191</v>
      </c>
      <c r="AD64" s="10">
        <v>20.630046185758498</v>
      </c>
      <c r="AE64" s="10">
        <v>20.9140825455897</v>
      </c>
      <c r="AF64" s="10">
        <v>21.297332100494899</v>
      </c>
      <c r="AG64" s="10">
        <v>31.566580856541073</v>
      </c>
      <c r="AH64" s="10">
        <v>32.068476480224668</v>
      </c>
      <c r="AI64" s="12">
        <f>VLOOKUP(B64,[7]all!$A$2:$I$247,6,FALSE)</f>
        <v>80.760000000000005</v>
      </c>
      <c r="AJ64" s="12">
        <f>VLOOKUP(B64,[7]all!$A$2:$I$247,7,FALSE)</f>
        <v>80.89</v>
      </c>
      <c r="AK64" s="12">
        <f>VLOOKUP(B64,[7]all!$A$2:$I$247,8,FALSE)</f>
        <v>81</v>
      </c>
      <c r="AL64" s="12"/>
    </row>
    <row r="65" spans="1:38" ht="21.4" x14ac:dyDescent="1.1000000000000001">
      <c r="A65" s="10" t="s">
        <v>125</v>
      </c>
      <c r="B65" s="11" t="s">
        <v>126</v>
      </c>
      <c r="C65" s="10" t="str">
        <f>VLOOKUP(B65,'[1]who-regions'!$B$1:$D$206,3,FALSE)</f>
        <v>AFR</v>
      </c>
      <c r="D65" s="12" t="str">
        <f>VLOOKUP(B65,'[2]Metadata - Countries'!$A$1:$B$266,2,FALSE)</f>
        <v>Sub-Saharan Africa</v>
      </c>
      <c r="E65" s="12" t="str">
        <f>VLOOKUP(B65,'[2]Metadata - Countries'!$A$1:$C$266,3,FALSE)</f>
        <v>Lower middle income</v>
      </c>
      <c r="F65" s="12"/>
      <c r="G65" s="10">
        <v>64.420233850650305</v>
      </c>
      <c r="H65" s="12">
        <f>VLOOKUP(B65,[4]tas!$A$2:$H$247,5,FALSE)</f>
        <v>20.91</v>
      </c>
      <c r="I65" s="12">
        <f>VLOOKUP(B65,[4]tas!$A$2:$H$247,6,FALSE)</f>
        <v>20.96</v>
      </c>
      <c r="J65" s="12">
        <f>VLOOKUP(B65,[4]tas!$A$2:$H$247,7,FALSE)</f>
        <v>20.97</v>
      </c>
      <c r="K65" s="10">
        <v>4741163884.9522972</v>
      </c>
      <c r="L65" s="10">
        <v>4604172127.3629856</v>
      </c>
      <c r="M65" s="10">
        <v>4891883720.1574173</v>
      </c>
      <c r="N65" s="10">
        <f>VLOOKUP(B65,[2]Data!$B$1:$G$267,4,FALSE)</f>
        <v>3894.1620089869011</v>
      </c>
      <c r="O65" s="10">
        <f>VLOOKUP(B65,[2]Data!$B$1:$G$267,5,FALSE)</f>
        <v>3755.5211123246368</v>
      </c>
      <c r="P65" s="10">
        <f>VLOOKUP(B65,[2]Data!$B$1:$G$267,6,FALSE)</f>
        <v>3909.5589237818158</v>
      </c>
      <c r="Q65" s="12">
        <f>VLOOKUP(B65,[5]Sheet1!$B$421:$K$628,10,FALSE)</f>
        <v>0</v>
      </c>
      <c r="R65" s="12">
        <f>VLOOKUP(B65,[5]Sheet1!$B$213:$K$420,10,FALSE)</f>
        <v>0</v>
      </c>
      <c r="S65" s="12">
        <f>VLOOKUP(B65,[5]Sheet1!$B$2:$K$207,10,FALSE)</f>
        <v>0</v>
      </c>
      <c r="T65" s="12">
        <f>VLOOKUP(B65,[6]Sheet1!$B$421:$K$628,10,FALSE)</f>
        <v>0</v>
      </c>
      <c r="U65" s="12">
        <f>VLOOKUP(B65,[6]Sheet1!$B$213:$K$420,10,FALSE)</f>
        <v>0</v>
      </c>
      <c r="V65" s="12">
        <f>VLOOKUP(B65,[6]Sheet1!$B$2:$K$212,10,FALSE)</f>
        <v>0</v>
      </c>
      <c r="W65" s="13">
        <v>0</v>
      </c>
      <c r="X65" s="13">
        <v>0</v>
      </c>
      <c r="Y65" s="13">
        <v>0</v>
      </c>
      <c r="Z65" s="10">
        <v>18.783121142285701</v>
      </c>
      <c r="AA65" s="10">
        <v>33.950561830937602</v>
      </c>
      <c r="AB65" s="10">
        <v>33.668994706242799</v>
      </c>
      <c r="AC65" s="10">
        <v>33.352255331920198</v>
      </c>
      <c r="AD65" s="10">
        <v>4.0150412271882399</v>
      </c>
      <c r="AE65" s="10">
        <v>4.1468712870965296</v>
      </c>
      <c r="AF65" s="10">
        <v>4.2619555583806701</v>
      </c>
      <c r="AG65" s="10">
        <v>70.867267441860463</v>
      </c>
      <c r="AH65" s="10">
        <v>71.541046511627911</v>
      </c>
      <c r="AI65" s="12">
        <f>VLOOKUP(B65,[7]all!$A$2:$I$247,6,FALSE)</f>
        <v>65.760000000000005</v>
      </c>
      <c r="AJ65" s="12">
        <f>VLOOKUP(B65,[7]all!$A$2:$I$247,7,FALSE)</f>
        <v>66.06</v>
      </c>
      <c r="AK65" s="12">
        <f>VLOOKUP(B65,[7]all!$A$2:$I$247,8,FALSE)</f>
        <v>65.88</v>
      </c>
      <c r="AL65" s="15">
        <v>219</v>
      </c>
    </row>
    <row r="66" spans="1:38" ht="21.4" x14ac:dyDescent="1.1000000000000001">
      <c r="A66" s="10" t="s">
        <v>127</v>
      </c>
      <c r="B66" s="11" t="s">
        <v>128</v>
      </c>
      <c r="C66" s="10" t="str">
        <f>VLOOKUP(B66,'[1]who-regions'!$B$1:$D$206,3,FALSE)</f>
        <v>AFR</v>
      </c>
      <c r="D66" s="12" t="str">
        <f>VLOOKUP(B66,'[2]Metadata - Countries'!$A$1:$B$266,2,FALSE)</f>
        <v>Sub-Saharan Africa</v>
      </c>
      <c r="E66" s="12">
        <f>VLOOKUP(B66,'[2]Metadata - Countries'!$A$1:$C$266,3,FALSE)</f>
        <v>0</v>
      </c>
      <c r="F66" s="12"/>
      <c r="G66" s="10">
        <v>9.3362160987694391</v>
      </c>
      <c r="H66" s="12">
        <f>VLOOKUP(B66,[4]tas!$A$2:$H$247,5,FALSE)</f>
        <v>23.93</v>
      </c>
      <c r="I66" s="12">
        <f>VLOOKUP(B66,[4]tas!$A$2:$H$247,6,FALSE)</f>
        <v>24.02</v>
      </c>
      <c r="J66" s="12">
        <f>VLOOKUP(B66,[4]tas!$A$2:$H$247,7,FALSE)</f>
        <v>24.07</v>
      </c>
      <c r="K66" s="10">
        <v>126772707851.33949</v>
      </c>
      <c r="L66" s="10">
        <v>0</v>
      </c>
      <c r="M66" s="10">
        <v>0</v>
      </c>
      <c r="N66" s="10">
        <f>VLOOKUP(B66,[2]Data!$B$1:$G$267,4,FALSE)</f>
        <v>982.10316150699168</v>
      </c>
      <c r="O66" s="10">
        <f>VLOOKUP(B66,[2]Data!$B$1:$G$267,5,FALSE)</f>
        <v>1055.8109159252658</v>
      </c>
      <c r="P66" s="10">
        <f>VLOOKUP(B66,[2]Data!$B$1:$G$267,6,FALSE)</f>
        <v>1133.8827968171868</v>
      </c>
      <c r="Q66" s="12">
        <f>VLOOKUP(B66,[5]Sheet1!$B$421:$K$628,10,FALSE)</f>
        <v>0</v>
      </c>
      <c r="R66" s="12">
        <f>VLOOKUP(B66,[5]Sheet1!$B$213:$K$420,10,FALSE)</f>
        <v>0</v>
      </c>
      <c r="S66" s="12">
        <f>VLOOKUP(B66,[5]Sheet1!$B$2:$K$207,10,FALSE)</f>
        <v>0</v>
      </c>
      <c r="T66" s="12">
        <f>VLOOKUP(B66,[6]Sheet1!$B$421:$K$628,10,FALSE)</f>
        <v>0</v>
      </c>
      <c r="U66" s="12">
        <f>VLOOKUP(B66,[6]Sheet1!$B$213:$K$420,10,FALSE)</f>
        <v>0</v>
      </c>
      <c r="V66" s="12">
        <f>VLOOKUP(B66,[6]Sheet1!$B$2:$K$212,10,FALSE)</f>
        <v>0</v>
      </c>
      <c r="W66" s="13">
        <v>0</v>
      </c>
      <c r="X66" s="13">
        <v>0</v>
      </c>
      <c r="Y66" s="13">
        <v>0</v>
      </c>
      <c r="Z66" s="10">
        <v>27.305327647048198</v>
      </c>
      <c r="AA66" s="10">
        <v>39.705803166970199</v>
      </c>
      <c r="AB66" s="10">
        <v>39.365637138409802</v>
      </c>
      <c r="AC66" s="10">
        <v>39.059915806682</v>
      </c>
      <c r="AD66" s="10">
        <v>3.1244162321727602</v>
      </c>
      <c r="AE66" s="10">
        <v>3.17131039041743</v>
      </c>
      <c r="AF66" s="10">
        <v>3.2299844841086802</v>
      </c>
      <c r="AG66" s="10">
        <v>111.10715137667846</v>
      </c>
      <c r="AH66" s="10">
        <v>114.03795201200036</v>
      </c>
      <c r="AI66" s="12">
        <f>VLOOKUP(B66,[7]all!$A$2:$I$247,6,FALSE)</f>
        <v>55.97</v>
      </c>
      <c r="AJ66" s="12">
        <f>VLOOKUP(B66,[7]all!$A$2:$I$247,7,FALSE)</f>
        <v>55.53</v>
      </c>
      <c r="AK66" s="12">
        <f>VLOOKUP(B66,[7]all!$A$2:$I$247,8,FALSE)</f>
        <v>55.61</v>
      </c>
      <c r="AL66" s="12"/>
    </row>
    <row r="67" spans="1:38" ht="21.4" x14ac:dyDescent="1.1000000000000001">
      <c r="A67" s="10" t="s">
        <v>129</v>
      </c>
      <c r="B67" s="11" t="s">
        <v>130</v>
      </c>
      <c r="C67" s="10" t="s">
        <v>487</v>
      </c>
      <c r="D67" s="12" t="str">
        <f>VLOOKUP(B67,'[2]Metadata - Countries'!$A$1:$B$266,2,FALSE)</f>
        <v>Europe &amp; Central Asia</v>
      </c>
      <c r="E67" s="12" t="str">
        <f>VLOOKUP(B67,'[2]Metadata - Countries'!$A$1:$C$266,3,FALSE)</f>
        <v>High income</v>
      </c>
      <c r="F67" s="12"/>
      <c r="G67" s="10">
        <v>0</v>
      </c>
      <c r="H67" s="12">
        <f>VLOOKUP(B67,[4]tas!$A$2:$H$247,5,FALSE)</f>
        <v>7.55</v>
      </c>
      <c r="I67" s="12">
        <f>VLOOKUP(B67,[4]tas!$A$2:$H$247,6,FALSE)</f>
        <v>7.6</v>
      </c>
      <c r="J67" s="12">
        <f>VLOOKUP(B67,[4]tas!$A$2:$H$247,7,FALSE)</f>
        <v>7.62</v>
      </c>
      <c r="K67" s="10">
        <v>3566698397.6601968</v>
      </c>
      <c r="L67" s="10">
        <v>3907323961.3396373</v>
      </c>
      <c r="M67" s="10">
        <v>0</v>
      </c>
      <c r="N67" s="10">
        <f>VLOOKUP(B67,[2]Data!$B$1:$G$267,4,FALSE)</f>
        <v>67058.202264812571</v>
      </c>
      <c r="O67" s="10">
        <f>VLOOKUP(B67,[2]Data!$B$1:$G$267,5,FALSE)</f>
        <v>72465.376966021533</v>
      </c>
      <c r="P67" s="10">
        <f>VLOOKUP(B67,[2]Data!$B$1:$G$267,6,FALSE)</f>
        <v>74119.660755387886</v>
      </c>
      <c r="Q67" s="12" t="e">
        <f>VLOOKUP(B67,[5]Sheet1!$B$421:$K$628,10,FALSE)</f>
        <v>#N/A</v>
      </c>
      <c r="R67" s="12" t="e">
        <f>VLOOKUP(B67,[5]Sheet1!$B$213:$K$420,10,FALSE)</f>
        <v>#N/A</v>
      </c>
      <c r="S67" s="12" t="e">
        <f>VLOOKUP(B67,[5]Sheet1!$B$2:$K$207,10,FALSE)</f>
        <v>#N/A</v>
      </c>
      <c r="T67" s="12" t="e">
        <f>VLOOKUP(B67,[6]Sheet1!$B$421:$K$628,10,FALSE)</f>
        <v>#N/A</v>
      </c>
      <c r="U67" s="12" t="e">
        <f>VLOOKUP(B67,[6]Sheet1!$B$213:$K$420,10,FALSE)</f>
        <v>#N/A</v>
      </c>
      <c r="V67" s="12" t="e">
        <f>VLOOKUP(B67,[6]Sheet1!$B$2:$K$212,10,FALSE)</f>
        <v>#N/A</v>
      </c>
      <c r="W67" s="13">
        <v>0</v>
      </c>
      <c r="X67" s="13">
        <v>0</v>
      </c>
      <c r="Y67" s="13">
        <v>0</v>
      </c>
      <c r="Z67" s="10">
        <v>0</v>
      </c>
      <c r="AA67" s="10">
        <v>20.434726259465702</v>
      </c>
      <c r="AB67" s="10">
        <v>20.156816873349399</v>
      </c>
      <c r="AC67" s="10">
        <v>19.9658841686297</v>
      </c>
      <c r="AD67" s="10">
        <v>17.792671863138999</v>
      </c>
      <c r="AE67" s="10">
        <v>17.7259725661857</v>
      </c>
      <c r="AF67" s="10">
        <v>17.737524706901699</v>
      </c>
      <c r="AG67" s="10">
        <v>39.362773722627736</v>
      </c>
      <c r="AH67" s="10">
        <v>39.736496350364966</v>
      </c>
      <c r="AI67" s="12">
        <f>VLOOKUP(B67,[7]all!$A$2:$I$247,6,FALSE)</f>
        <v>81.59</v>
      </c>
      <c r="AJ67" s="12">
        <f>VLOOKUP(B67,[7]all!$A$2:$I$247,7,FALSE)</f>
        <v>81.849999999999994</v>
      </c>
      <c r="AK67" s="12">
        <f>VLOOKUP(B67,[7]all!$A$2:$I$247,8,FALSE)</f>
        <v>81.37</v>
      </c>
      <c r="AL67" s="12"/>
    </row>
    <row r="68" spans="1:38" ht="21.4" x14ac:dyDescent="1.1000000000000001">
      <c r="A68" s="10" t="s">
        <v>131</v>
      </c>
      <c r="B68" s="11" t="s">
        <v>132</v>
      </c>
      <c r="C68" s="10" t="str">
        <f>VLOOKUP(B68,'[1]who-regions'!$B$1:$D$206,3,FALSE)</f>
        <v>WPR</v>
      </c>
      <c r="D68" s="12" t="str">
        <f>VLOOKUP(B68,'[2]Metadata - Countries'!$A$1:$B$266,2,FALSE)</f>
        <v>East Asia &amp; Pacific</v>
      </c>
      <c r="E68" s="12" t="str">
        <f>VLOOKUP(B68,'[2]Metadata - Countries'!$A$1:$C$266,3,FALSE)</f>
        <v>Upper middle income</v>
      </c>
      <c r="F68" s="12"/>
      <c r="G68" s="10">
        <v>93.043742630131106</v>
      </c>
      <c r="H68" s="12">
        <f>VLOOKUP(B68,[4]tas!$A$2:$H$247,5,FALSE)</f>
        <v>25.07</v>
      </c>
      <c r="I68" s="12">
        <f>VLOOKUP(B68,[4]tas!$A$2:$H$247,6,FALSE)</f>
        <v>25.08</v>
      </c>
      <c r="J68" s="12">
        <f>VLOOKUP(B68,[4]tas!$A$2:$H$247,7,FALSE)</f>
        <v>25.09</v>
      </c>
      <c r="K68" s="10">
        <v>4969503549.3209572</v>
      </c>
      <c r="L68" s="10">
        <v>5442046552.9692793</v>
      </c>
      <c r="M68" s="10">
        <v>5840564072.7731342</v>
      </c>
      <c r="N68" s="10">
        <f>VLOOKUP(B68,[2]Data!$B$1:$G$267,4,FALSE)</f>
        <v>5414.1209211908808</v>
      </c>
      <c r="O68" s="10">
        <f>VLOOKUP(B68,[2]Data!$B$1:$G$267,5,FALSE)</f>
        <v>5926.205863947629</v>
      </c>
      <c r="P68" s="10">
        <f>VLOOKUP(B68,[2]Data!$B$1:$G$267,6,FALSE)</f>
        <v>6425.741517157122</v>
      </c>
      <c r="Q68" s="12">
        <f>VLOOKUP(B68,[5]Sheet1!$B$421:$K$628,10,FALSE)</f>
        <v>0</v>
      </c>
      <c r="R68" s="12">
        <f>VLOOKUP(B68,[5]Sheet1!$B$213:$K$420,10,FALSE)</f>
        <v>0</v>
      </c>
      <c r="S68" s="12">
        <f>VLOOKUP(B68,[5]Sheet1!$B$2:$K$207,10,FALSE)</f>
        <v>0</v>
      </c>
      <c r="T68" s="12">
        <f>VLOOKUP(B68,[6]Sheet1!$B$421:$K$628,10,FALSE)</f>
        <v>0</v>
      </c>
      <c r="U68" s="12">
        <f>VLOOKUP(B68,[6]Sheet1!$B$213:$K$420,10,FALSE)</f>
        <v>0</v>
      </c>
      <c r="V68" s="12">
        <f>VLOOKUP(B68,[6]Sheet1!$B$2:$K$212,10,FALSE)</f>
        <v>0</v>
      </c>
      <c r="W68" s="13">
        <v>0</v>
      </c>
      <c r="X68" s="13">
        <v>93.119636535644503</v>
      </c>
      <c r="Y68" s="13">
        <v>0</v>
      </c>
      <c r="Z68" s="10">
        <v>12.4187981716598</v>
      </c>
      <c r="AA68" s="10">
        <v>27.702349954645399</v>
      </c>
      <c r="AB68" s="10">
        <v>27.385298094293599</v>
      </c>
      <c r="AC68" s="10">
        <v>27.093274647280701</v>
      </c>
      <c r="AD68" s="10">
        <v>6.2092814833667198</v>
      </c>
      <c r="AE68" s="10">
        <v>6.34304879480558</v>
      </c>
      <c r="AF68" s="10">
        <v>6.4869765198366904</v>
      </c>
      <c r="AG68" s="10">
        <v>50.324137931034485</v>
      </c>
      <c r="AH68" s="10">
        <v>50.582649151614667</v>
      </c>
      <c r="AI68" s="12">
        <f>VLOOKUP(B68,[7]all!$A$2:$I$247,6,FALSE)</f>
        <v>80.849999999999994</v>
      </c>
      <c r="AJ68" s="12">
        <f>VLOOKUP(B68,[7]all!$A$2:$I$247,7,FALSE)</f>
        <v>80.790000000000006</v>
      </c>
      <c r="AK68" s="12">
        <f>VLOOKUP(B68,[7]all!$A$2:$I$247,8,FALSE)</f>
        <v>80.930000000000007</v>
      </c>
      <c r="AL68" s="12"/>
    </row>
    <row r="69" spans="1:38" ht="21.4" x14ac:dyDescent="1.1000000000000001">
      <c r="A69" s="10" t="s">
        <v>133</v>
      </c>
      <c r="B69" s="11" t="s">
        <v>134</v>
      </c>
      <c r="C69" s="10" t="str">
        <f>VLOOKUP(B69,'[1]who-regions'!$B$1:$D$206,3,FALSE)</f>
        <v>EUR</v>
      </c>
      <c r="D69" s="12" t="str">
        <f>VLOOKUP(B69,'[2]Metadata - Countries'!$A$1:$B$266,2,FALSE)</f>
        <v>Europe &amp; Central Asia</v>
      </c>
      <c r="E69" s="12" t="str">
        <f>VLOOKUP(B69,'[2]Metadata - Countries'!$A$1:$C$266,3,FALSE)</f>
        <v>High income</v>
      </c>
      <c r="F69" s="12"/>
      <c r="G69" s="10">
        <v>99.447947076058099</v>
      </c>
      <c r="H69" s="12">
        <f>VLOOKUP(B69,[4]tas!$A$2:$H$247,5,FALSE)</f>
        <v>3.74</v>
      </c>
      <c r="I69" s="12">
        <f>VLOOKUP(B69,[4]tas!$A$2:$H$247,6,FALSE)</f>
        <v>3.6</v>
      </c>
      <c r="J69" s="12">
        <f>VLOOKUP(B69,[4]tas!$A$2:$H$247,7,FALSE)</f>
        <v>3.52</v>
      </c>
      <c r="K69" s="10">
        <v>280253099309.3396</v>
      </c>
      <c r="L69" s="10">
        <v>294950618733.33856</v>
      </c>
      <c r="M69" s="10">
        <v>299835625550.78119</v>
      </c>
      <c r="N69" s="10">
        <f>VLOOKUP(B69,[2]Data!$B$1:$G$267,4,FALSE)</f>
        <v>50440.56022497404</v>
      </c>
      <c r="O69" s="10">
        <f>VLOOKUP(B69,[2]Data!$B$1:$G$267,5,FALSE)</f>
        <v>52834.291675270309</v>
      </c>
      <c r="P69" s="10">
        <f>VLOOKUP(B69,[2]Data!$B$1:$G$267,6,FALSE)</f>
        <v>53149.767193405052</v>
      </c>
      <c r="Q69" s="12">
        <f>VLOOKUP(B69,[5]Sheet1!$B$421:$K$628,10,FALSE)</f>
        <v>0</v>
      </c>
      <c r="R69" s="12">
        <f>VLOOKUP(B69,[5]Sheet1!$B$213:$K$420,10,FALSE)</f>
        <v>0</v>
      </c>
      <c r="S69" s="12">
        <f>VLOOKUP(B69,[5]Sheet1!$B$2:$K$207,10,FALSE)</f>
        <v>0</v>
      </c>
      <c r="T69" s="12">
        <f>VLOOKUP(B69,[6]Sheet1!$B$421:$K$628,10,FALSE)</f>
        <v>63</v>
      </c>
      <c r="U69" s="12">
        <f>VLOOKUP(B69,[6]Sheet1!$B$213:$K$420,10,FALSE)</f>
        <v>60.1</v>
      </c>
      <c r="V69" s="12">
        <f>VLOOKUP(B69,[6]Sheet1!$B$2:$K$212,10,FALSE)</f>
        <v>61.3</v>
      </c>
      <c r="W69" s="13">
        <v>0</v>
      </c>
      <c r="X69" s="13">
        <v>0</v>
      </c>
      <c r="Y69" s="13">
        <v>0</v>
      </c>
      <c r="Z69" s="10">
        <v>4.8951809021666799</v>
      </c>
      <c r="AA69" s="10">
        <v>15.2209461190717</v>
      </c>
      <c r="AB69" s="10">
        <v>14.9350079550124</v>
      </c>
      <c r="AC69" s="10">
        <v>14.6331861128204</v>
      </c>
      <c r="AD69" s="10">
        <v>23.2287672110978</v>
      </c>
      <c r="AE69" s="10">
        <v>23.577874719557101</v>
      </c>
      <c r="AF69" s="10">
        <v>23.897236942839498</v>
      </c>
      <c r="AG69" s="10">
        <v>18.279809322459094</v>
      </c>
      <c r="AH69" s="10">
        <v>18.370545466508752</v>
      </c>
      <c r="AI69" s="12">
        <f>VLOOKUP(B69,[7]all!$A$2:$I$247,6,FALSE)</f>
        <v>80.72</v>
      </c>
      <c r="AJ69" s="12">
        <f>VLOOKUP(B69,[7]all!$A$2:$I$247,7,FALSE)</f>
        <v>80.650000000000006</v>
      </c>
      <c r="AK69" s="12">
        <f>VLOOKUP(B69,[7]all!$A$2:$I$247,8,FALSE)</f>
        <v>80.930000000000007</v>
      </c>
      <c r="AL69" s="12"/>
    </row>
    <row r="70" spans="1:38" ht="21.4" x14ac:dyDescent="1.1000000000000001">
      <c r="A70" s="10" t="s">
        <v>135</v>
      </c>
      <c r="B70" s="11" t="s">
        <v>136</v>
      </c>
      <c r="C70" s="10" t="str">
        <f>VLOOKUP(B70,'[1]who-regions'!$B$1:$D$206,3,FALSE)</f>
        <v>EUR</v>
      </c>
      <c r="D70" s="12" t="str">
        <f>VLOOKUP(B70,'[2]Metadata - Countries'!$A$1:$B$266,2,FALSE)</f>
        <v>Europe &amp; Central Asia</v>
      </c>
      <c r="E70" s="12" t="str">
        <f>VLOOKUP(B70,'[2]Metadata - Countries'!$A$1:$C$266,3,FALSE)</f>
        <v>High income</v>
      </c>
      <c r="F70" s="12"/>
      <c r="G70" s="10">
        <v>98.645996345359094</v>
      </c>
      <c r="H70" s="12">
        <f>VLOOKUP(B70,[4]tas!$A$2:$H$247,5,FALSE)</f>
        <v>12.01</v>
      </c>
      <c r="I70" s="12">
        <f>VLOOKUP(B70,[4]tas!$A$2:$H$247,6,FALSE)</f>
        <v>11.93</v>
      </c>
      <c r="J70" s="12">
        <f>VLOOKUP(B70,[4]tas!$A$2:$H$247,7,FALSE)</f>
        <v>11.99</v>
      </c>
      <c r="K70" s="10">
        <v>2796302210398.8438</v>
      </c>
      <c r="L70" s="10">
        <v>3051831611384.7598</v>
      </c>
      <c r="M70" s="10">
        <v>3162079073495.7808</v>
      </c>
      <c r="N70" s="10">
        <f>VLOOKUP(B70,[2]Data!$B$1:$G$267,4,FALSE)</f>
        <v>40988.639640657944</v>
      </c>
      <c r="O70" s="10">
        <f>VLOOKUP(B70,[2]Data!$B$1:$G$267,5,FALSE)</f>
        <v>44700.138417754366</v>
      </c>
      <c r="P70" s="10">
        <f>VLOOKUP(B70,[2]Data!$B$1:$G$267,6,FALSE)</f>
        <v>46103.084085588387</v>
      </c>
      <c r="Q70" s="12">
        <f>VLOOKUP(B70,[5]Sheet1!$B$421:$K$628,10,FALSE)</f>
        <v>0</v>
      </c>
      <c r="R70" s="12">
        <f>VLOOKUP(B70,[5]Sheet1!$B$213:$K$420,10,FALSE)</f>
        <v>0</v>
      </c>
      <c r="S70" s="12">
        <f>VLOOKUP(B70,[5]Sheet1!$B$2:$K$207,10,FALSE)</f>
        <v>0</v>
      </c>
      <c r="T70" s="12">
        <f>VLOOKUP(B70,[6]Sheet1!$B$421:$K$628,10,FALSE)</f>
        <v>56.8</v>
      </c>
      <c r="U70" s="12">
        <f>VLOOKUP(B70,[6]Sheet1!$B$213:$K$420,10,FALSE)</f>
        <v>54</v>
      </c>
      <c r="V70" s="12">
        <f>VLOOKUP(B70,[6]Sheet1!$B$2:$K$212,10,FALSE)</f>
        <v>53.7</v>
      </c>
      <c r="W70" s="13">
        <v>0</v>
      </c>
      <c r="X70" s="13">
        <v>0</v>
      </c>
      <c r="Y70" s="13">
        <v>0</v>
      </c>
      <c r="Z70" s="10">
        <v>9.6003814478049492</v>
      </c>
      <c r="AA70" s="10">
        <v>17.031415765147202</v>
      </c>
      <c r="AB70" s="10">
        <v>16.784778333366599</v>
      </c>
      <c r="AC70" s="10">
        <v>16.5051210259256</v>
      </c>
      <c r="AD70" s="10">
        <v>21.377349115875599</v>
      </c>
      <c r="AE70" s="10">
        <v>21.7491423914771</v>
      </c>
      <c r="AF70" s="10">
        <v>22.146561898913799</v>
      </c>
      <c r="AG70" s="10">
        <v>126.29189164115409</v>
      </c>
      <c r="AH70" s="10">
        <v>126.70467946933853</v>
      </c>
      <c r="AI70" s="12">
        <f>VLOOKUP(B70,[7]all!$A$2:$I$247,6,FALSE)</f>
        <v>76.010000000000005</v>
      </c>
      <c r="AJ70" s="12">
        <f>VLOOKUP(B70,[7]all!$A$2:$I$247,7,FALSE)</f>
        <v>76.430000000000007</v>
      </c>
      <c r="AK70" s="12">
        <f>VLOOKUP(B70,[7]all!$A$2:$I$247,8,FALSE)</f>
        <v>75.98</v>
      </c>
      <c r="AL70" s="15">
        <v>274644</v>
      </c>
    </row>
    <row r="71" spans="1:38" ht="21.4" x14ac:dyDescent="1.1000000000000001">
      <c r="A71" s="10" t="s">
        <v>137</v>
      </c>
      <c r="B71" s="11" t="s">
        <v>138</v>
      </c>
      <c r="C71" s="10" t="str">
        <f>VLOOKUP(B71,'[1]who-regions'!$B$1:$D$206,3,FALSE)</f>
        <v>WPR</v>
      </c>
      <c r="D71" s="12" t="str">
        <f>VLOOKUP(B71,'[2]Metadata - Countries'!$A$1:$B$266,2,FALSE)</f>
        <v>East Asia &amp; Pacific</v>
      </c>
      <c r="E71" s="12" t="str">
        <f>VLOOKUP(B71,'[2]Metadata - Countries'!$A$1:$C$266,3,FALSE)</f>
        <v>High income</v>
      </c>
      <c r="F71" s="12"/>
      <c r="G71" s="10">
        <v>97.003381079113495</v>
      </c>
      <c r="H71" s="12">
        <f>VLOOKUP(B71,[4]tas!$A$2:$H$247,5,FALSE)</f>
        <v>25.94</v>
      </c>
      <c r="I71" s="12">
        <f>VLOOKUP(B71,[4]tas!$A$2:$H$247,6,FALSE)</f>
        <v>25.94</v>
      </c>
      <c r="J71" s="12">
        <f>VLOOKUP(B71,[4]tas!$A$2:$H$247,7,FALSE)</f>
        <v>26.03</v>
      </c>
      <c r="K71" s="10">
        <v>5814661208.9054441</v>
      </c>
      <c r="L71" s="10">
        <v>6402221222.3274851</v>
      </c>
      <c r="M71" s="10">
        <v>0</v>
      </c>
      <c r="N71" s="10">
        <f>VLOOKUP(B71,[2]Data!$B$1:$G$267,4,FALSE)</f>
        <v>20053.956936932169</v>
      </c>
      <c r="O71" s="10">
        <f>VLOOKUP(B71,[2]Data!$B$1:$G$267,5,FALSE)</f>
        <v>21832.283179556853</v>
      </c>
      <c r="P71" s="10">
        <f>VLOOKUP(B71,[2]Data!$B$1:$G$267,6,FALSE)</f>
        <v>22439.883874602452</v>
      </c>
      <c r="Q71" s="12">
        <f>VLOOKUP(B71,[5]Sheet1!$B$421:$K$628,10,FALSE)</f>
        <v>0</v>
      </c>
      <c r="R71" s="12">
        <f>VLOOKUP(B71,[5]Sheet1!$B$213:$K$420,10,FALSE)</f>
        <v>0</v>
      </c>
      <c r="S71" s="12">
        <f>VLOOKUP(B71,[5]Sheet1!$B$2:$K$207,10,FALSE)</f>
        <v>0</v>
      </c>
      <c r="T71" s="12">
        <f>VLOOKUP(B71,[6]Sheet1!$B$421:$K$628,10,FALSE)</f>
        <v>0</v>
      </c>
      <c r="U71" s="12">
        <f>VLOOKUP(B71,[6]Sheet1!$B$213:$K$420,10,FALSE)</f>
        <v>10</v>
      </c>
      <c r="V71" s="12">
        <f>VLOOKUP(B71,[6]Sheet1!$B$2:$K$212,10,FALSE)</f>
        <v>0</v>
      </c>
      <c r="W71" s="13">
        <v>0</v>
      </c>
      <c r="X71" s="13">
        <v>0</v>
      </c>
      <c r="Y71" s="13">
        <v>0</v>
      </c>
      <c r="Z71" s="10">
        <v>0</v>
      </c>
      <c r="AA71" s="10">
        <v>20.3140046651306</v>
      </c>
      <c r="AB71" s="10">
        <v>19.733315310091701</v>
      </c>
      <c r="AC71" s="10">
        <v>19.1014046872588</v>
      </c>
      <c r="AD71" s="10">
        <v>10.172695432594599</v>
      </c>
      <c r="AE71" s="10">
        <v>10.7255481229446</v>
      </c>
      <c r="AF71" s="10">
        <v>11.324082304701999</v>
      </c>
      <c r="AG71" s="10">
        <v>80.777297608758289</v>
      </c>
      <c r="AH71" s="10">
        <v>80.990492653414009</v>
      </c>
      <c r="AI71" s="12">
        <f>VLOOKUP(B71,[7]all!$A$2:$I$247,6,FALSE)</f>
        <v>80.86</v>
      </c>
      <c r="AJ71" s="12">
        <f>VLOOKUP(B71,[7]all!$A$2:$I$247,7,FALSE)</f>
        <v>80.87</v>
      </c>
      <c r="AK71" s="12">
        <f>VLOOKUP(B71,[7]all!$A$2:$I$247,8,FALSE)</f>
        <v>80.89</v>
      </c>
      <c r="AL71" s="12"/>
    </row>
    <row r="72" spans="1:38" ht="21.4" x14ac:dyDescent="1.1000000000000001">
      <c r="A72" s="10" t="s">
        <v>139</v>
      </c>
      <c r="B72" s="11" t="s">
        <v>140</v>
      </c>
      <c r="C72" s="10" t="str">
        <f>VLOOKUP(B72,'[1]who-regions'!$B$1:$D$206,3,FALSE)</f>
        <v>AFR</v>
      </c>
      <c r="D72" s="12" t="str">
        <f>VLOOKUP(B72,'[2]Metadata - Countries'!$A$1:$B$266,2,FALSE)</f>
        <v>Sub-Saharan Africa</v>
      </c>
      <c r="E72" s="12" t="str">
        <f>VLOOKUP(B72,'[2]Metadata - Countries'!$A$1:$C$266,3,FALSE)</f>
        <v>Upper middle income</v>
      </c>
      <c r="F72" s="12"/>
      <c r="G72" s="10">
        <v>49.896234523671303</v>
      </c>
      <c r="H72" s="12">
        <f>VLOOKUP(B72,[4]tas!$A$2:$H$247,5,FALSE)</f>
        <v>25.5</v>
      </c>
      <c r="I72" s="12">
        <f>VLOOKUP(B72,[4]tas!$A$2:$H$247,6,FALSE)</f>
        <v>25.51</v>
      </c>
      <c r="J72" s="12">
        <f>VLOOKUP(B72,[4]tas!$A$2:$H$247,7,FALSE)</f>
        <v>25.59</v>
      </c>
      <c r="K72" s="10">
        <v>20440655695.229019</v>
      </c>
      <c r="L72" s="10">
        <v>20055720403.470993</v>
      </c>
      <c r="M72" s="10">
        <v>20867044935.672943</v>
      </c>
      <c r="N72" s="10">
        <f>VLOOKUP(B72,[2]Data!$B$1:$G$267,4,FALSE)</f>
        <v>8409.2074145028018</v>
      </c>
      <c r="O72" s="10">
        <f>VLOOKUP(B72,[2]Data!$B$1:$G$267,5,FALSE)</f>
        <v>7802.8243327613818</v>
      </c>
      <c r="P72" s="10">
        <f>VLOOKUP(B72,[2]Data!$B$1:$G$267,6,FALSE)</f>
        <v>8230.0431145115072</v>
      </c>
      <c r="Q72" s="12">
        <f>VLOOKUP(B72,[5]Sheet1!$B$421:$K$628,10,FALSE)</f>
        <v>0</v>
      </c>
      <c r="R72" s="12">
        <f>VLOOKUP(B72,[5]Sheet1!$B$213:$K$420,10,FALSE)</f>
        <v>0</v>
      </c>
      <c r="S72" s="12">
        <f>VLOOKUP(B72,[5]Sheet1!$B$2:$K$207,10,FALSE)</f>
        <v>0</v>
      </c>
      <c r="T72" s="12">
        <f>VLOOKUP(B72,[6]Sheet1!$B$421:$K$628,10,FALSE)</f>
        <v>0</v>
      </c>
      <c r="U72" s="12">
        <f>VLOOKUP(B72,[6]Sheet1!$B$213:$K$420,10,FALSE)</f>
        <v>0</v>
      </c>
      <c r="V72" s="12">
        <f>VLOOKUP(B72,[6]Sheet1!$B$2:$K$212,10,FALSE)</f>
        <v>0</v>
      </c>
      <c r="W72" s="13">
        <v>0</v>
      </c>
      <c r="X72" s="13">
        <v>0</v>
      </c>
      <c r="Y72" s="13">
        <v>0</v>
      </c>
      <c r="Z72" s="10">
        <v>29.954873455876498</v>
      </c>
      <c r="AA72" s="10">
        <v>36.773818912457799</v>
      </c>
      <c r="AB72" s="10">
        <v>36.6621947904218</v>
      </c>
      <c r="AC72" s="10">
        <v>36.484548838368902</v>
      </c>
      <c r="AD72" s="10">
        <v>4.0113389011690597</v>
      </c>
      <c r="AE72" s="10">
        <v>4.0418329366865597</v>
      </c>
      <c r="AF72" s="10">
        <v>4.0825513996624201</v>
      </c>
      <c r="AG72" s="10">
        <v>9.4335661893119109</v>
      </c>
      <c r="AH72" s="10">
        <v>9.64329956921644</v>
      </c>
      <c r="AI72" s="12">
        <f>VLOOKUP(B72,[7]all!$A$2:$I$247,6,FALSE)</f>
        <v>80.849999999999994</v>
      </c>
      <c r="AJ72" s="12">
        <f>VLOOKUP(B72,[7]all!$A$2:$I$247,7,FALSE)</f>
        <v>80.77</v>
      </c>
      <c r="AK72" s="12">
        <f>VLOOKUP(B72,[7]all!$A$2:$I$247,8,FALSE)</f>
        <v>80.75</v>
      </c>
      <c r="AL72" s="12"/>
    </row>
    <row r="73" spans="1:38" ht="21.4" x14ac:dyDescent="1.1000000000000001">
      <c r="A73" s="10" t="s">
        <v>141</v>
      </c>
      <c r="B73" s="11" t="s">
        <v>142</v>
      </c>
      <c r="C73" s="10" t="str">
        <f>VLOOKUP(B73,'[1]who-regions'!$B$1:$D$206,3,FALSE)</f>
        <v>AFR</v>
      </c>
      <c r="D73" s="12" t="str">
        <f>VLOOKUP(B73,'[2]Metadata - Countries'!$A$1:$B$266,2,FALSE)</f>
        <v>Sub-Saharan Africa</v>
      </c>
      <c r="E73" s="12" t="str">
        <f>VLOOKUP(B73,'[2]Metadata - Countries'!$A$1:$C$266,3,FALSE)</f>
        <v>Low income</v>
      </c>
      <c r="F73" s="12"/>
      <c r="G73" s="10">
        <v>47.715992142754303</v>
      </c>
      <c r="H73" s="12">
        <f>VLOOKUP(B73,[4]tas!$A$2:$H$247,5,FALSE)</f>
        <v>28.78</v>
      </c>
      <c r="I73" s="12">
        <f>VLOOKUP(B73,[4]tas!$A$2:$H$247,6,FALSE)</f>
        <v>28.74</v>
      </c>
      <c r="J73" s="12">
        <f>VLOOKUP(B73,[4]tas!$A$2:$H$247,7,FALSE)</f>
        <v>28.83</v>
      </c>
      <c r="K73" s="10">
        <v>2204734527.1273389</v>
      </c>
      <c r="L73" s="10">
        <v>2396111020.8800979</v>
      </c>
      <c r="M73" s="10">
        <v>2507519958.3485727</v>
      </c>
      <c r="N73" s="10">
        <f>VLOOKUP(B73,[2]Data!$B$1:$G$267,4,FALSE)</f>
        <v>836.24487586847567</v>
      </c>
      <c r="O73" s="10">
        <f>VLOOKUP(B73,[2]Data!$B$1:$G$267,5,FALSE)</f>
        <v>883.02411171980873</v>
      </c>
      <c r="P73" s="10">
        <f>VLOOKUP(B73,[2]Data!$B$1:$G$267,6,FALSE)</f>
        <v>871.34029177629372</v>
      </c>
      <c r="Q73" s="12">
        <f>VLOOKUP(B73,[5]Sheet1!$B$421:$K$628,10,FALSE)</f>
        <v>0</v>
      </c>
      <c r="R73" s="12">
        <f>VLOOKUP(B73,[5]Sheet1!$B$213:$K$420,10,FALSE)</f>
        <v>0</v>
      </c>
      <c r="S73" s="12">
        <f>VLOOKUP(B73,[5]Sheet1!$B$2:$K$207,10,FALSE)</f>
        <v>0</v>
      </c>
      <c r="T73" s="12">
        <f>VLOOKUP(B73,[6]Sheet1!$B$421:$K$628,10,FALSE)</f>
        <v>0</v>
      </c>
      <c r="U73" s="12">
        <f>VLOOKUP(B73,[6]Sheet1!$B$213:$K$420,10,FALSE)</f>
        <v>0</v>
      </c>
      <c r="V73" s="12">
        <f>VLOOKUP(B73,[6]Sheet1!$B$2:$K$212,10,FALSE)</f>
        <v>0</v>
      </c>
      <c r="W73" s="13">
        <v>0</v>
      </c>
      <c r="X73" s="13">
        <v>0</v>
      </c>
      <c r="Y73" s="13">
        <v>0</v>
      </c>
      <c r="Z73" s="10">
        <v>58.364040217965901</v>
      </c>
      <c r="AA73" s="10">
        <v>41.184386698881497</v>
      </c>
      <c r="AB73" s="10">
        <v>40.7308535644461</v>
      </c>
      <c r="AC73" s="10">
        <v>40.247990253578998</v>
      </c>
      <c r="AD73" s="10">
        <v>2.8897920325283399</v>
      </c>
      <c r="AE73" s="10">
        <v>2.9778577016363599</v>
      </c>
      <c r="AF73" s="10">
        <v>3.0782385789790698</v>
      </c>
      <c r="AG73" s="10">
        <v>260.52075098814231</v>
      </c>
      <c r="AH73" s="10">
        <v>266.58547430830038</v>
      </c>
      <c r="AI73" s="12">
        <f>VLOOKUP(B73,[7]all!$A$2:$I$247,6,FALSE)</f>
        <v>55.88</v>
      </c>
      <c r="AJ73" s="12">
        <f>VLOOKUP(B73,[7]all!$A$2:$I$247,7,FALSE)</f>
        <v>55.89</v>
      </c>
      <c r="AK73" s="12">
        <f>VLOOKUP(B73,[7]all!$A$2:$I$247,8,FALSE)</f>
        <v>55.76</v>
      </c>
      <c r="AL73" s="12"/>
    </row>
    <row r="74" spans="1:38" ht="21.4" x14ac:dyDescent="1.1000000000000001">
      <c r="A74" s="10" t="s">
        <v>143</v>
      </c>
      <c r="B74" s="11" t="s">
        <v>144</v>
      </c>
      <c r="C74" s="10" t="str">
        <f>VLOOKUP(B74,'[1]who-regions'!$B$1:$D$206,3,FALSE)</f>
        <v>EUR</v>
      </c>
      <c r="D74" s="12" t="str">
        <f>VLOOKUP(B74,'[2]Metadata - Countries'!$A$1:$B$266,2,FALSE)</f>
        <v>Europe &amp; Central Asia</v>
      </c>
      <c r="E74" s="12" t="str">
        <f>VLOOKUP(B74,'[2]Metadata - Countries'!$A$1:$C$266,3,FALSE)</f>
        <v>Upper middle income</v>
      </c>
      <c r="F74" s="12"/>
      <c r="G74" s="10">
        <v>86.258018456070204</v>
      </c>
      <c r="H74" s="12">
        <f>VLOOKUP(B74,[4]tas!$A$2:$H$247,5,FALSE)</f>
        <v>8.93</v>
      </c>
      <c r="I74" s="12">
        <f>VLOOKUP(B74,[4]tas!$A$2:$H$247,6,FALSE)</f>
        <v>8.9499999999999993</v>
      </c>
      <c r="J74" s="12">
        <f>VLOOKUP(B74,[4]tas!$A$2:$H$247,7,FALSE)</f>
        <v>9.0500000000000007</v>
      </c>
      <c r="K74" s="10">
        <v>24984568959.604965</v>
      </c>
      <c r="L74" s="10">
        <v>30777833600.651455</v>
      </c>
      <c r="M74" s="10">
        <v>33776141250.571564</v>
      </c>
      <c r="N74" s="10">
        <f>VLOOKUP(B74,[2]Data!$B$1:$G$267,4,FALSE)</f>
        <v>6729.8465993028331</v>
      </c>
      <c r="O74" s="10">
        <f>VLOOKUP(B74,[2]Data!$B$1:$G$267,5,FALSE)</f>
        <v>8283.6696065226115</v>
      </c>
      <c r="P74" s="10">
        <f>VLOOKUP(B74,[2]Data!$B$1:$G$267,6,FALSE)</f>
        <v>9241.4912231371309</v>
      </c>
      <c r="Q74" s="12">
        <f>VLOOKUP(B74,[5]Sheet1!$B$421:$K$628,10,FALSE)</f>
        <v>55.05</v>
      </c>
      <c r="R74" s="12">
        <f>VLOOKUP(B74,[5]Sheet1!$B$213:$K$420,10,FALSE)</f>
        <v>42.8</v>
      </c>
      <c r="S74" s="12">
        <f>VLOOKUP(B74,[5]Sheet1!$B$2:$K$207,10,FALSE)</f>
        <v>42.79</v>
      </c>
      <c r="T74" s="12">
        <f>VLOOKUP(B74,[6]Sheet1!$B$421:$K$628,10,FALSE)</f>
        <v>10.28</v>
      </c>
      <c r="U74" s="12">
        <f>VLOOKUP(B74,[6]Sheet1!$B$213:$K$420,10,FALSE)</f>
        <v>10.9</v>
      </c>
      <c r="V74" s="12">
        <f>VLOOKUP(B74,[6]Sheet1!$B$2:$K$212,10,FALSE)</f>
        <v>10.91</v>
      </c>
      <c r="W74" s="13">
        <v>96.870849609375</v>
      </c>
      <c r="X74" s="13">
        <v>96.915138244628906</v>
      </c>
      <c r="Y74" s="13">
        <v>0</v>
      </c>
      <c r="Z74" s="10">
        <v>17.0438421058507</v>
      </c>
      <c r="AA74" s="10">
        <v>21.197190827882501</v>
      </c>
      <c r="AB74" s="10">
        <v>21.040805863807499</v>
      </c>
      <c r="AC74" s="10">
        <v>20.798769326123299</v>
      </c>
      <c r="AD74" s="10">
        <v>15.086921296037</v>
      </c>
      <c r="AE74" s="10">
        <v>15.317458316392999</v>
      </c>
      <c r="AF74" s="10">
        <v>15.6376865642243</v>
      </c>
      <c r="AG74" s="10">
        <v>64.951572833199194</v>
      </c>
      <c r="AH74" s="10">
        <v>65.003726512474202</v>
      </c>
      <c r="AI74" s="12">
        <f>VLOOKUP(B74,[7]all!$A$2:$I$247,6,FALSE)</f>
        <v>73.98</v>
      </c>
      <c r="AJ74" s="12">
        <f>VLOOKUP(B74,[7]all!$A$2:$I$247,7,FALSE)</f>
        <v>74.040000000000006</v>
      </c>
      <c r="AK74" s="12">
        <f>VLOOKUP(B74,[7]all!$A$2:$I$247,8,FALSE)</f>
        <v>74.069999999999993</v>
      </c>
      <c r="AL74" s="15">
        <v>16333</v>
      </c>
    </row>
    <row r="75" spans="1:38" ht="21.4" x14ac:dyDescent="1.1000000000000001">
      <c r="A75" s="10" t="s">
        <v>145</v>
      </c>
      <c r="B75" s="11" t="s">
        <v>146</v>
      </c>
      <c r="C75" s="10" t="str">
        <f>VLOOKUP(B75,'[1]who-regions'!$B$1:$D$206,3,FALSE)</f>
        <v>EUR</v>
      </c>
      <c r="D75" s="12" t="str">
        <f>VLOOKUP(B75,'[2]Metadata - Countries'!$A$1:$B$266,2,FALSE)</f>
        <v>Europe &amp; Central Asia</v>
      </c>
      <c r="E75" s="12" t="str">
        <f>VLOOKUP(B75,'[2]Metadata - Countries'!$A$1:$C$266,3,FALSE)</f>
        <v>High income</v>
      </c>
      <c r="F75" s="12"/>
      <c r="G75" s="10">
        <v>99.226203740287602</v>
      </c>
      <c r="H75" s="12">
        <f>VLOOKUP(B75,[4]tas!$A$2:$H$247,5,FALSE)</f>
        <v>10.130000000000001</v>
      </c>
      <c r="I75" s="12">
        <f>VLOOKUP(B75,[4]tas!$A$2:$H$247,6,FALSE)</f>
        <v>9.9700000000000006</v>
      </c>
      <c r="J75" s="12">
        <f>VLOOKUP(B75,[4]tas!$A$2:$H$247,7,FALSE)</f>
        <v>9.9499999999999993</v>
      </c>
      <c r="K75" s="10">
        <v>4163596357879.3936</v>
      </c>
      <c r="L75" s="10">
        <v>4525703903627.5313</v>
      </c>
      <c r="M75" s="10">
        <v>4659929336890.624</v>
      </c>
      <c r="N75" s="10">
        <f>VLOOKUP(B75,[2]Data!$B$1:$G$267,4,FALSE)</f>
        <v>50506.517963854327</v>
      </c>
      <c r="O75" s="10">
        <f>VLOOKUP(B75,[2]Data!$B$1:$G$267,5,FALSE)</f>
        <v>54776.766823549093</v>
      </c>
      <c r="P75" s="10">
        <f>VLOOKUP(B75,[2]Data!$B$1:$G$267,6,FALSE)</f>
        <v>56103.732318255446</v>
      </c>
      <c r="Q75" s="12">
        <f>VLOOKUP(B75,[5]Sheet1!$B$421:$K$628,10,FALSE)</f>
        <v>0</v>
      </c>
      <c r="R75" s="12">
        <f>VLOOKUP(B75,[5]Sheet1!$B$213:$K$420,10,FALSE)</f>
        <v>0</v>
      </c>
      <c r="S75" s="12">
        <f>VLOOKUP(B75,[5]Sheet1!$B$2:$K$207,10,FALSE)</f>
        <v>0</v>
      </c>
      <c r="T75" s="12">
        <f>VLOOKUP(B75,[6]Sheet1!$B$421:$K$628,10,FALSE)</f>
        <v>43.3</v>
      </c>
      <c r="U75" s="12">
        <f>VLOOKUP(B75,[6]Sheet1!$B$213:$K$420,10,FALSE)</f>
        <v>40.4</v>
      </c>
      <c r="V75" s="12">
        <f>VLOOKUP(B75,[6]Sheet1!$B$2:$K$212,10,FALSE)</f>
        <v>38.200000000000003</v>
      </c>
      <c r="W75" s="13">
        <v>0</v>
      </c>
      <c r="X75" s="13">
        <v>0</v>
      </c>
      <c r="Y75" s="13">
        <v>0</v>
      </c>
      <c r="Z75" s="10">
        <v>10.2876894329414</v>
      </c>
      <c r="AA75" s="10">
        <v>13.9125311211787</v>
      </c>
      <c r="AB75" s="10">
        <v>13.915570273729299</v>
      </c>
      <c r="AC75" s="10">
        <v>13.910160418927701</v>
      </c>
      <c r="AD75" s="10">
        <v>22.458906379519199</v>
      </c>
      <c r="AE75" s="10">
        <v>22.790043945449298</v>
      </c>
      <c r="AF75" s="10">
        <v>23.195587173194099</v>
      </c>
      <c r="AG75" s="10">
        <v>239.86141802152508</v>
      </c>
      <c r="AH75" s="10">
        <v>240.1108176172624</v>
      </c>
      <c r="AI75" s="12">
        <f>VLOOKUP(B75,[7]all!$A$2:$I$247,6,FALSE)</f>
        <v>77.72</v>
      </c>
      <c r="AJ75" s="12">
        <f>VLOOKUP(B75,[7]all!$A$2:$I$247,7,FALSE)</f>
        <v>77.760000000000005</v>
      </c>
      <c r="AK75" s="12">
        <f>VLOOKUP(B75,[7]all!$A$2:$I$247,8,FALSE)</f>
        <v>77.48</v>
      </c>
      <c r="AL75" s="12"/>
    </row>
    <row r="76" spans="1:38" ht="21.4" x14ac:dyDescent="1.1000000000000001">
      <c r="A76" s="10" t="s">
        <v>147</v>
      </c>
      <c r="B76" s="11" t="s">
        <v>148</v>
      </c>
      <c r="C76" s="10" t="str">
        <f>VLOOKUP(B76,'[1]who-regions'!$B$1:$D$206,3,FALSE)</f>
        <v>AFR</v>
      </c>
      <c r="D76" s="12" t="str">
        <f>VLOOKUP(B76,'[2]Metadata - Countries'!$A$1:$B$266,2,FALSE)</f>
        <v>Sub-Saharan Africa</v>
      </c>
      <c r="E76" s="12" t="str">
        <f>VLOOKUP(B76,'[2]Metadata - Countries'!$A$1:$C$266,3,FALSE)</f>
        <v>Lower middle income</v>
      </c>
      <c r="F76" s="12"/>
      <c r="G76" s="10">
        <v>28.583887167189701</v>
      </c>
      <c r="H76" s="12">
        <f>VLOOKUP(B76,[4]tas!$A$2:$H$247,5,FALSE)</f>
        <v>28.01</v>
      </c>
      <c r="I76" s="12">
        <f>VLOOKUP(B76,[4]tas!$A$2:$H$247,6,FALSE)</f>
        <v>28.04</v>
      </c>
      <c r="J76" s="12">
        <f>VLOOKUP(B76,[4]tas!$A$2:$H$247,7,FALSE)</f>
        <v>28.11</v>
      </c>
      <c r="K76" s="10">
        <v>73919003209.986649</v>
      </c>
      <c r="L76" s="10">
        <v>80547146878.384308</v>
      </c>
      <c r="M76" s="10">
        <v>82825288888.973389</v>
      </c>
      <c r="N76" s="10">
        <f>VLOOKUP(B76,[2]Data!$B$1:$G$267,4,FALSE)</f>
        <v>2229.8912264780301</v>
      </c>
      <c r="O76" s="10">
        <f>VLOOKUP(B76,[2]Data!$B$1:$G$267,5,FALSE)</f>
        <v>2383.9041048341815</v>
      </c>
      <c r="P76" s="10">
        <f>VLOOKUP(B76,[2]Data!$B$1:$G$267,6,FALSE)</f>
        <v>2390.7723765271498</v>
      </c>
      <c r="Q76" s="12">
        <f>VLOOKUP(B76,[5]Sheet1!$B$421:$K$628,10,FALSE)</f>
        <v>0</v>
      </c>
      <c r="R76" s="12">
        <f>VLOOKUP(B76,[5]Sheet1!$B$213:$K$420,10,FALSE)</f>
        <v>0</v>
      </c>
      <c r="S76" s="12">
        <f>VLOOKUP(B76,[5]Sheet1!$B$2:$K$207,10,FALSE)</f>
        <v>0</v>
      </c>
      <c r="T76" s="12">
        <f>VLOOKUP(B76,[6]Sheet1!$B$421:$K$628,10,FALSE)</f>
        <v>0</v>
      </c>
      <c r="U76" s="12">
        <f>VLOOKUP(B76,[6]Sheet1!$B$213:$K$420,10,FALSE)</f>
        <v>0</v>
      </c>
      <c r="V76" s="12">
        <f>VLOOKUP(B76,[6]Sheet1!$B$2:$K$212,10,FALSE)</f>
        <v>0</v>
      </c>
      <c r="W76" s="13">
        <v>0</v>
      </c>
      <c r="X76" s="13">
        <v>0</v>
      </c>
      <c r="Y76" s="13">
        <v>0</v>
      </c>
      <c r="Z76" s="10">
        <v>54.242787309772403</v>
      </c>
      <c r="AA76" s="10">
        <v>36.529130518934501</v>
      </c>
      <c r="AB76" s="10">
        <v>36.178918887978703</v>
      </c>
      <c r="AC76" s="10">
        <v>35.818130804395203</v>
      </c>
      <c r="AD76" s="10">
        <v>3.56150287042033</v>
      </c>
      <c r="AE76" s="10">
        <v>3.6318149146467</v>
      </c>
      <c r="AF76" s="10">
        <v>3.7083326053524202</v>
      </c>
      <c r="AG76" s="10">
        <v>145.68942527018058</v>
      </c>
      <c r="AH76" s="10">
        <v>148.49676310689</v>
      </c>
      <c r="AI76" s="12">
        <f>VLOOKUP(B76,[7]all!$A$2:$I$247,6,FALSE)</f>
        <v>69.040000000000006</v>
      </c>
      <c r="AJ76" s="12">
        <f>VLOOKUP(B76,[7]all!$A$2:$I$247,7,FALSE)</f>
        <v>69.09</v>
      </c>
      <c r="AK76" s="12">
        <f>VLOOKUP(B76,[7]all!$A$2:$I$247,8,FALSE)</f>
        <v>68.98</v>
      </c>
      <c r="AL76" s="12"/>
    </row>
    <row r="77" spans="1:38" ht="21.4" x14ac:dyDescent="1.1000000000000001">
      <c r="A77" s="10" t="s">
        <v>149</v>
      </c>
      <c r="B77" s="11" t="s">
        <v>150</v>
      </c>
      <c r="C77" s="10" t="s">
        <v>487</v>
      </c>
      <c r="D77" s="12" t="str">
        <f>VLOOKUP(B77,'[2]Metadata - Countries'!$A$1:$B$266,2,FALSE)</f>
        <v>Europe &amp; Central Asia</v>
      </c>
      <c r="E77" s="12" t="str">
        <f>VLOOKUP(B77,'[2]Metadata - Countries'!$A$1:$C$266,3,FALSE)</f>
        <v>High income</v>
      </c>
      <c r="F77" s="12"/>
      <c r="G77" s="10">
        <v>100</v>
      </c>
      <c r="H77" s="12">
        <f>VLOOKUP(B77,[4]tas!$A$2:$H$247,5,FALSE)</f>
        <v>18.489999999999998</v>
      </c>
      <c r="I77" s="12">
        <f>VLOOKUP(B77,[4]tas!$A$2:$H$247,6,FALSE)</f>
        <v>18.52</v>
      </c>
      <c r="J77" s="12">
        <f>VLOOKUP(B77,[4]tas!$A$2:$H$247,7,FALSE)</f>
        <v>18.57</v>
      </c>
      <c r="K77" s="10">
        <v>0</v>
      </c>
      <c r="L77" s="10">
        <v>0</v>
      </c>
      <c r="M77" s="10">
        <v>0</v>
      </c>
      <c r="N77" s="10">
        <f>VLOOKUP(B77,[2]Data!$B$1:$G$267,4,FALSE)</f>
        <v>0</v>
      </c>
      <c r="O77" s="10">
        <f>VLOOKUP(B77,[2]Data!$B$1:$G$267,5,FALSE)</f>
        <v>0</v>
      </c>
      <c r="P77" s="10">
        <f>VLOOKUP(B77,[2]Data!$B$1:$G$267,6,FALSE)</f>
        <v>0</v>
      </c>
      <c r="Q77" s="12" t="e">
        <f>VLOOKUP(B77,[5]Sheet1!$B$421:$K$628,10,FALSE)</f>
        <v>#N/A</v>
      </c>
      <c r="R77" s="12" t="e">
        <f>VLOOKUP(B77,[5]Sheet1!$B$213:$K$420,10,FALSE)</f>
        <v>#N/A</v>
      </c>
      <c r="S77" s="12" t="e">
        <f>VLOOKUP(B77,[5]Sheet1!$B$2:$K$207,10,FALSE)</f>
        <v>#N/A</v>
      </c>
      <c r="T77" s="12" t="e">
        <f>VLOOKUP(B77,[6]Sheet1!$B$421:$K$628,10,FALSE)</f>
        <v>#N/A</v>
      </c>
      <c r="U77" s="12" t="e">
        <f>VLOOKUP(B77,[6]Sheet1!$B$213:$K$420,10,FALSE)</f>
        <v>#N/A</v>
      </c>
      <c r="V77" s="12" t="e">
        <f>VLOOKUP(B77,[6]Sheet1!$B$2:$K$212,10,FALSE)</f>
        <v>#N/A</v>
      </c>
      <c r="W77" s="13">
        <v>0</v>
      </c>
      <c r="X77" s="13">
        <v>0</v>
      </c>
      <c r="Y77" s="13">
        <v>0</v>
      </c>
      <c r="Z77" s="10">
        <v>0</v>
      </c>
      <c r="AA77" s="10">
        <v>18.018053949135201</v>
      </c>
      <c r="AB77" s="10">
        <v>17.792854264956301</v>
      </c>
      <c r="AC77" s="10">
        <v>17.647283175265098</v>
      </c>
      <c r="AD77" s="10">
        <v>17.337374865393102</v>
      </c>
      <c r="AE77" s="10">
        <v>17.470529366657601</v>
      </c>
      <c r="AF77" s="10">
        <v>17.615500012713301</v>
      </c>
      <c r="AG77" s="10">
        <v>3760.9</v>
      </c>
      <c r="AH77" s="10">
        <v>3847.1</v>
      </c>
      <c r="AI77" s="12">
        <f>VLOOKUP(B77,[7]all!$A$2:$I$247,6,FALSE)</f>
        <v>76.89</v>
      </c>
      <c r="AJ77" s="12">
        <f>VLOOKUP(B77,[7]all!$A$2:$I$247,7,FALSE)</f>
        <v>76.98</v>
      </c>
      <c r="AK77" s="12">
        <f>VLOOKUP(B77,[7]all!$A$2:$I$247,8,FALSE)</f>
        <v>76.92</v>
      </c>
      <c r="AL77" s="12"/>
    </row>
    <row r="78" spans="1:38" ht="21.4" x14ac:dyDescent="1.1000000000000001">
      <c r="A78" s="10" t="s">
        <v>151</v>
      </c>
      <c r="B78" s="11" t="s">
        <v>152</v>
      </c>
      <c r="C78" s="10" t="str">
        <f>VLOOKUP(B78,'[1]who-regions'!$B$1:$D$206,3,FALSE)</f>
        <v>EUR</v>
      </c>
      <c r="D78" s="12" t="str">
        <f>VLOOKUP(B78,'[2]Metadata - Countries'!$A$1:$B$266,2,FALSE)</f>
        <v>Europe &amp; Central Asia</v>
      </c>
      <c r="E78" s="12" t="str">
        <f>VLOOKUP(B78,'[2]Metadata - Countries'!$A$1:$C$266,3,FALSE)</f>
        <v>High income</v>
      </c>
      <c r="F78" s="12"/>
      <c r="G78" s="10">
        <v>99.000583106411398</v>
      </c>
      <c r="H78" s="12">
        <f>VLOOKUP(B78,[4]tas!$A$2:$H$247,5,FALSE)</f>
        <v>15.82</v>
      </c>
      <c r="I78" s="12">
        <f>VLOOKUP(B78,[4]tas!$A$2:$H$247,6,FALSE)</f>
        <v>15.79</v>
      </c>
      <c r="J78" s="12">
        <f>VLOOKUP(B78,[4]tas!$A$2:$H$247,7,FALSE)</f>
        <v>15.87</v>
      </c>
      <c r="K78" s="10">
        <v>218880566444.34909</v>
      </c>
      <c r="L78" s="10">
        <v>243498333237.80234</v>
      </c>
      <c r="M78" s="10">
        <v>257144811301.67261</v>
      </c>
      <c r="N78" s="10">
        <f>VLOOKUP(B78,[2]Data!$B$1:$G$267,4,FALSE)</f>
        <v>20886.524308762862</v>
      </c>
      <c r="O78" s="10">
        <f>VLOOKUP(B78,[2]Data!$B$1:$G$267,5,FALSE)</f>
        <v>23343.710396456216</v>
      </c>
      <c r="P78" s="10">
        <f>VLOOKUP(B78,[2]Data!$B$1:$G$267,6,FALSE)</f>
        <v>24626.148185897262</v>
      </c>
      <c r="Q78" s="12">
        <f>VLOOKUP(B78,[5]Sheet1!$B$421:$K$628,10,FALSE)</f>
        <v>0</v>
      </c>
      <c r="R78" s="12">
        <f>VLOOKUP(B78,[5]Sheet1!$B$213:$K$420,10,FALSE)</f>
        <v>0</v>
      </c>
      <c r="S78" s="12">
        <f>VLOOKUP(B78,[5]Sheet1!$B$2:$K$207,10,FALSE)</f>
        <v>0</v>
      </c>
      <c r="T78" s="12">
        <f>VLOOKUP(B78,[6]Sheet1!$B$421:$K$628,10,FALSE)</f>
        <v>66.44</v>
      </c>
      <c r="U78" s="12">
        <f>VLOOKUP(B78,[6]Sheet1!$B$213:$K$420,10,FALSE)</f>
        <v>65.11</v>
      </c>
      <c r="V78" s="12">
        <f>VLOOKUP(B78,[6]Sheet1!$B$2:$K$212,10,FALSE)</f>
        <v>60.9</v>
      </c>
      <c r="W78" s="13">
        <v>99.549263000488295</v>
      </c>
      <c r="X78" s="13">
        <v>0</v>
      </c>
      <c r="Y78" s="13">
        <v>0</v>
      </c>
      <c r="Z78" s="10">
        <v>14.4089280374361</v>
      </c>
      <c r="AA78" s="10">
        <v>13.8482474876302</v>
      </c>
      <c r="AB78" s="10">
        <v>13.586814721619399</v>
      </c>
      <c r="AC78" s="10">
        <v>13.219409410989901</v>
      </c>
      <c r="AD78" s="10">
        <v>23.228174267801698</v>
      </c>
      <c r="AE78" s="10">
        <v>23.4829980176041</v>
      </c>
      <c r="AF78" s="10">
        <v>23.939763430193999</v>
      </c>
      <c r="AG78" s="10">
        <v>80.968828549262994</v>
      </c>
      <c r="AH78" s="10">
        <v>80.726051202482552</v>
      </c>
      <c r="AI78" s="12">
        <f>VLOOKUP(B78,[7]all!$A$2:$I$247,6,FALSE)</f>
        <v>69.239999999999995</v>
      </c>
      <c r="AJ78" s="12">
        <f>VLOOKUP(B78,[7]all!$A$2:$I$247,7,FALSE)</f>
        <v>69.540000000000006</v>
      </c>
      <c r="AK78" s="12">
        <f>VLOOKUP(B78,[7]all!$A$2:$I$247,8,FALSE)</f>
        <v>69.75</v>
      </c>
      <c r="AL78" s="15">
        <v>21682</v>
      </c>
    </row>
    <row r="79" spans="1:38" ht="21.4" x14ac:dyDescent="1.1000000000000001">
      <c r="A79" s="10" t="s">
        <v>153</v>
      </c>
      <c r="B79" s="11" t="s">
        <v>154</v>
      </c>
      <c r="C79" s="10" t="s">
        <v>487</v>
      </c>
      <c r="D79" s="12" t="str">
        <f>VLOOKUP(B79,'[2]Metadata - Countries'!$A$1:$B$266,2,FALSE)</f>
        <v>Europe &amp; Central Asia</v>
      </c>
      <c r="E79" s="12" t="str">
        <f>VLOOKUP(B79,'[2]Metadata - Countries'!$A$1:$C$266,3,FALSE)</f>
        <v>High income</v>
      </c>
      <c r="F79" s="12"/>
      <c r="G79" s="10">
        <v>62.5</v>
      </c>
      <c r="H79" s="12">
        <f>VLOOKUP(B79,[4]tas!$A$2:$H$247,5,FALSE)</f>
        <v>-17.38</v>
      </c>
      <c r="I79" s="12">
        <f>VLOOKUP(B79,[4]tas!$A$2:$H$247,6,FALSE)</f>
        <v>-17.309999999999999</v>
      </c>
      <c r="J79" s="12">
        <f>VLOOKUP(B79,[4]tas!$A$2:$H$247,7,FALSE)</f>
        <v>-17.13</v>
      </c>
      <c r="K79" s="10">
        <v>3152334771.7799163</v>
      </c>
      <c r="L79" s="10">
        <v>3326544174.3794465</v>
      </c>
      <c r="M79" s="10">
        <v>0</v>
      </c>
      <c r="N79" s="10">
        <f>VLOOKUP(B79,[2]Data!$B$1:$G$267,4,FALSE)</f>
        <v>55635.000649122259</v>
      </c>
      <c r="O79" s="10">
        <f>VLOOKUP(B79,[2]Data!$B$1:$G$267,5,FALSE)</f>
        <v>58498.970797360933</v>
      </c>
      <c r="P79" s="10">
        <f>VLOOKUP(B79,[2]Data!$B$1:$G$267,6,FALSE)</f>
        <v>0</v>
      </c>
      <c r="Q79" s="12" t="e">
        <f>VLOOKUP(B79,[5]Sheet1!$B$421:$K$628,10,FALSE)</f>
        <v>#N/A</v>
      </c>
      <c r="R79" s="12" t="e">
        <f>VLOOKUP(B79,[5]Sheet1!$B$213:$K$420,10,FALSE)</f>
        <v>#N/A</v>
      </c>
      <c r="S79" s="12" t="e">
        <f>VLOOKUP(B79,[5]Sheet1!$B$2:$K$207,10,FALSE)</f>
        <v>#N/A</v>
      </c>
      <c r="T79" s="12" t="e">
        <f>VLOOKUP(B79,[6]Sheet1!$B$421:$K$628,10,FALSE)</f>
        <v>#N/A</v>
      </c>
      <c r="U79" s="12" t="e">
        <f>VLOOKUP(B79,[6]Sheet1!$B$213:$K$420,10,FALSE)</f>
        <v>#N/A</v>
      </c>
      <c r="V79" s="12" t="e">
        <f>VLOOKUP(B79,[6]Sheet1!$B$2:$K$212,10,FALSE)</f>
        <v>#N/A</v>
      </c>
      <c r="W79" s="13">
        <v>0</v>
      </c>
      <c r="X79" s="13">
        <v>0</v>
      </c>
      <c r="Y79" s="13">
        <v>0</v>
      </c>
      <c r="Z79" s="10">
        <v>6.55624754182179</v>
      </c>
      <c r="AA79" s="10">
        <v>20.803529170127099</v>
      </c>
      <c r="AB79" s="10">
        <v>20.8028968661988</v>
      </c>
      <c r="AC79" s="10">
        <v>20.803373955712399</v>
      </c>
      <c r="AD79" s="10">
        <v>9.5784106232307291</v>
      </c>
      <c r="AE79" s="10">
        <v>10.1193616165229</v>
      </c>
      <c r="AF79" s="10">
        <v>10.8086569543065</v>
      </c>
      <c r="AG79" s="10">
        <v>0.1380460470215617</v>
      </c>
      <c r="AH79" s="10">
        <v>0.1385430624923864</v>
      </c>
      <c r="AI79" s="12">
        <f>VLOOKUP(B79,[7]all!$A$2:$I$247,6,FALSE)</f>
        <v>72.72</v>
      </c>
      <c r="AJ79" s="12">
        <f>VLOOKUP(B79,[7]all!$A$2:$I$247,7,FALSE)</f>
        <v>72.64</v>
      </c>
      <c r="AK79" s="12">
        <f>VLOOKUP(B79,[7]all!$A$2:$I$247,8,FALSE)</f>
        <v>72.680000000000007</v>
      </c>
      <c r="AL79" s="12"/>
    </row>
    <row r="80" spans="1:38" ht="21.4" x14ac:dyDescent="1.1000000000000001">
      <c r="A80" s="10" t="s">
        <v>155</v>
      </c>
      <c r="B80" s="11" t="s">
        <v>156</v>
      </c>
      <c r="C80" s="10" t="str">
        <f>VLOOKUP(B80,'[1]who-regions'!$B$1:$D$206,3,FALSE)</f>
        <v>AMR</v>
      </c>
      <c r="D80" s="12" t="str">
        <f>VLOOKUP(B80,'[2]Metadata - Countries'!$A$1:$B$266,2,FALSE)</f>
        <v>Latin America &amp; Caribbean</v>
      </c>
      <c r="E80" s="12" t="str">
        <f>VLOOKUP(B80,'[2]Metadata - Countries'!$A$1:$C$266,3,FALSE)</f>
        <v>Upper middle income</v>
      </c>
      <c r="F80" s="12"/>
      <c r="G80" s="10">
        <v>0</v>
      </c>
      <c r="H80" s="12">
        <f>VLOOKUP(B80,[4]tas!$A$2:$H$247,5,FALSE)</f>
        <v>26.82</v>
      </c>
      <c r="I80" s="12">
        <f>VLOOKUP(B80,[4]tas!$A$2:$H$247,6,FALSE)</f>
        <v>26.84</v>
      </c>
      <c r="J80" s="12">
        <f>VLOOKUP(B80,[4]tas!$A$2:$H$247,7,FALSE)</f>
        <v>26.88</v>
      </c>
      <c r="K80" s="10">
        <v>1231732103.7037036</v>
      </c>
      <c r="L80" s="10">
        <v>1323985600</v>
      </c>
      <c r="M80" s="10">
        <v>1391435992.5925925</v>
      </c>
      <c r="N80" s="10">
        <f>VLOOKUP(B80,[2]Data!$B$1:$G$267,4,FALSE)</f>
        <v>10469.386701285634</v>
      </c>
      <c r="O80" s="10">
        <f>VLOOKUP(B80,[2]Data!$B$1:$G$267,5,FALSE)</f>
        <v>11414.478169118118</v>
      </c>
      <c r="P80" s="10">
        <f>VLOOKUP(B80,[2]Data!$B$1:$G$267,6,FALSE)</f>
        <v>11705.090297665825</v>
      </c>
      <c r="Q80" s="12">
        <f>VLOOKUP(B80,[5]Sheet1!$B$421:$K$628,10,FALSE)</f>
        <v>0</v>
      </c>
      <c r="R80" s="12">
        <f>VLOOKUP(B80,[5]Sheet1!$B$213:$K$420,10,FALSE)</f>
        <v>0</v>
      </c>
      <c r="S80" s="12">
        <f>VLOOKUP(B80,[5]Sheet1!$B$2:$K$207,10,FALSE)</f>
        <v>0</v>
      </c>
      <c r="T80" s="12">
        <f>VLOOKUP(B80,[6]Sheet1!$B$421:$K$628,10,FALSE)</f>
        <v>0</v>
      </c>
      <c r="U80" s="12">
        <f>VLOOKUP(B80,[6]Sheet1!$B$213:$K$420,10,FALSE)</f>
        <v>0</v>
      </c>
      <c r="V80" s="12">
        <f>VLOOKUP(B80,[6]Sheet1!$B$2:$K$212,10,FALSE)</f>
        <v>0</v>
      </c>
      <c r="W80" s="13">
        <v>0</v>
      </c>
      <c r="X80" s="13">
        <v>0</v>
      </c>
      <c r="Y80" s="13">
        <v>0</v>
      </c>
      <c r="Z80" s="10">
        <v>24.657241605647599</v>
      </c>
      <c r="AA80" s="10">
        <v>20.220163711477799</v>
      </c>
      <c r="AB80" s="10">
        <v>19.846089459434101</v>
      </c>
      <c r="AC80" s="10">
        <v>19.441162041678201</v>
      </c>
      <c r="AD80" s="10">
        <v>11.5213876985451</v>
      </c>
      <c r="AE80" s="10">
        <v>11.870414499363701</v>
      </c>
      <c r="AF80" s="10">
        <v>12.2394044749696</v>
      </c>
      <c r="AG80" s="10">
        <v>343.86176470588236</v>
      </c>
      <c r="AH80" s="10">
        <v>344.35588235294119</v>
      </c>
      <c r="AI80" s="12">
        <f>VLOOKUP(B80,[7]all!$A$2:$I$247,6,FALSE)</f>
        <v>81.900000000000006</v>
      </c>
      <c r="AJ80" s="12">
        <f>VLOOKUP(B80,[7]all!$A$2:$I$247,7,FALSE)</f>
        <v>82</v>
      </c>
      <c r="AK80" s="12">
        <f>VLOOKUP(B80,[7]all!$A$2:$I$247,8,FALSE)</f>
        <v>81.91</v>
      </c>
      <c r="AL80" s="12"/>
    </row>
    <row r="81" spans="1:38" ht="21.4" x14ac:dyDescent="1.1000000000000001">
      <c r="A81" s="10" t="s">
        <v>157</v>
      </c>
      <c r="B81" s="11" t="s">
        <v>158</v>
      </c>
      <c r="C81" s="10" t="str">
        <f>VLOOKUP(B81,'[1]who-regions'!$B$1:$D$206,3,FALSE)</f>
        <v>WPR</v>
      </c>
      <c r="D81" s="12" t="str">
        <f>VLOOKUP(B81,'[2]Metadata - Countries'!$A$1:$B$266,2,FALSE)</f>
        <v>East Asia &amp; Pacific</v>
      </c>
      <c r="E81" s="12" t="str">
        <f>VLOOKUP(B81,'[2]Metadata - Countries'!$A$1:$C$266,3,FALSE)</f>
        <v>High income</v>
      </c>
      <c r="F81" s="12"/>
      <c r="G81" s="10">
        <v>90.376579148756903</v>
      </c>
      <c r="H81" s="12">
        <f>VLOOKUP(B81,[4]tas!$A$2:$H$247,5,FALSE)</f>
        <v>27.36</v>
      </c>
      <c r="I81" s="12">
        <f>VLOOKUP(B81,[4]tas!$A$2:$H$247,6,FALSE)</f>
        <v>27.38</v>
      </c>
      <c r="J81" s="12">
        <f>VLOOKUP(B81,[4]tas!$A$2:$H$247,7,FALSE)</f>
        <v>27.39</v>
      </c>
      <c r="K81" s="10">
        <v>6910000000</v>
      </c>
      <c r="L81" s="10">
        <v>0</v>
      </c>
      <c r="M81" s="10">
        <v>0</v>
      </c>
      <c r="N81" s="10">
        <f>VLOOKUP(B81,[2]Data!$B$1:$G$267,4,FALSE)</f>
        <v>41833.151713282481</v>
      </c>
      <c r="O81" s="10">
        <f>VLOOKUP(B81,[2]Data!$B$1:$G$267,5,FALSE)</f>
        <v>0</v>
      </c>
      <c r="P81" s="10">
        <f>VLOOKUP(B81,[2]Data!$B$1:$G$267,6,FALSE)</f>
        <v>0</v>
      </c>
      <c r="Q81" s="12" t="e">
        <f>VLOOKUP(B81,[5]Sheet1!$B$421:$K$628,10,FALSE)</f>
        <v>#N/A</v>
      </c>
      <c r="R81" s="12">
        <f>VLOOKUP(B81,[5]Sheet1!$B$213:$K$420,10,FALSE)</f>
        <v>0</v>
      </c>
      <c r="S81" s="12">
        <f>VLOOKUP(B81,[5]Sheet1!$B$2:$K$207,10,FALSE)</f>
        <v>0</v>
      </c>
      <c r="T81" s="12" t="e">
        <f>VLOOKUP(B81,[6]Sheet1!$B$421:$K$628,10,FALSE)</f>
        <v>#N/A</v>
      </c>
      <c r="U81" s="12">
        <f>VLOOKUP(B81,[6]Sheet1!$B$213:$K$420,10,FALSE)</f>
        <v>0</v>
      </c>
      <c r="V81" s="12">
        <f>VLOOKUP(B81,[6]Sheet1!$B$2:$K$212,10,FALSE)</f>
        <v>0</v>
      </c>
      <c r="W81" s="13">
        <v>0</v>
      </c>
      <c r="X81" s="13">
        <v>0</v>
      </c>
      <c r="Y81" s="13">
        <v>0</v>
      </c>
      <c r="Z81" s="10">
        <v>9.5751055329317794</v>
      </c>
      <c r="AA81" s="10">
        <v>25.9871049763894</v>
      </c>
      <c r="AB81" s="10">
        <v>26.020005225021201</v>
      </c>
      <c r="AC81" s="10">
        <v>25.9830012457011</v>
      </c>
      <c r="AD81" s="10">
        <v>11.6412398595472</v>
      </c>
      <c r="AE81" s="10">
        <v>12.1169443835526</v>
      </c>
      <c r="AF81" s="10">
        <v>12.6021445132527</v>
      </c>
      <c r="AG81" s="10">
        <v>305.88888888888891</v>
      </c>
      <c r="AH81" s="10">
        <v>308.34444444444443</v>
      </c>
      <c r="AI81" s="12">
        <f>VLOOKUP(B81,[7]all!$A$2:$I$247,6,FALSE)</f>
        <v>82.96</v>
      </c>
      <c r="AJ81" s="12">
        <f>VLOOKUP(B81,[7]all!$A$2:$I$247,7,FALSE)</f>
        <v>83.1</v>
      </c>
      <c r="AK81" s="12">
        <f>VLOOKUP(B81,[7]all!$A$2:$I$247,8,FALSE)</f>
        <v>83.09</v>
      </c>
      <c r="AL81" s="12"/>
    </row>
    <row r="82" spans="1:38" ht="21.4" x14ac:dyDescent="1.1000000000000001">
      <c r="A82" s="10" t="s">
        <v>159</v>
      </c>
      <c r="B82" s="11" t="s">
        <v>160</v>
      </c>
      <c r="C82" s="10" t="str">
        <f>VLOOKUP(B82,'[1]who-regions'!$B$1:$D$206,3,FALSE)</f>
        <v>AMR</v>
      </c>
      <c r="D82" s="12" t="str">
        <f>VLOOKUP(B82,'[2]Metadata - Countries'!$A$1:$B$266,2,FALSE)</f>
        <v>Latin America &amp; Caribbean</v>
      </c>
      <c r="E82" s="12" t="str">
        <f>VLOOKUP(B82,'[2]Metadata - Countries'!$A$1:$C$266,3,FALSE)</f>
        <v>Upper middle income</v>
      </c>
      <c r="F82" s="12"/>
      <c r="G82" s="10">
        <v>69.621727899074202</v>
      </c>
      <c r="H82" s="12">
        <f>VLOOKUP(B82,[4]tas!$A$2:$H$247,5,FALSE)</f>
        <v>23.75</v>
      </c>
      <c r="I82" s="12">
        <f>VLOOKUP(B82,[4]tas!$A$2:$H$247,6,FALSE)</f>
        <v>23.82</v>
      </c>
      <c r="J82" s="12">
        <f>VLOOKUP(B82,[4]tas!$A$2:$H$247,7,FALSE)</f>
        <v>23.83</v>
      </c>
      <c r="K82" s="10">
        <v>95641441234.943039</v>
      </c>
      <c r="L82" s="10">
        <v>104368413483.14607</v>
      </c>
      <c r="M82" s="10">
        <v>113199586004.47662</v>
      </c>
      <c r="N82" s="10">
        <f>VLOOKUP(B82,[2]Data!$B$1:$G$267,4,FALSE)</f>
        <v>5358.7015699767699</v>
      </c>
      <c r="O82" s="10">
        <f>VLOOKUP(B82,[2]Data!$B$1:$G$267,5,FALSE)</f>
        <v>5758.3276084785166</v>
      </c>
      <c r="P82" s="10">
        <f>VLOOKUP(B82,[2]Data!$B$1:$G$267,6,FALSE)</f>
        <v>6150.0257143850531</v>
      </c>
      <c r="Q82" s="12">
        <f>VLOOKUP(B82,[5]Sheet1!$B$421:$K$628,10,FALSE)</f>
        <v>0</v>
      </c>
      <c r="R82" s="12">
        <f>VLOOKUP(B82,[5]Sheet1!$B$213:$K$420,10,FALSE)</f>
        <v>0</v>
      </c>
      <c r="S82" s="12">
        <f>VLOOKUP(B82,[5]Sheet1!$B$2:$K$207,10,FALSE)</f>
        <v>0</v>
      </c>
      <c r="T82" s="12">
        <f>VLOOKUP(B82,[6]Sheet1!$B$421:$K$628,10,FALSE)</f>
        <v>3.41</v>
      </c>
      <c r="U82" s="12">
        <f>VLOOKUP(B82,[6]Sheet1!$B$213:$K$420,10,FALSE)</f>
        <v>4.62</v>
      </c>
      <c r="V82" s="12">
        <f>VLOOKUP(B82,[6]Sheet1!$B$2:$K$212,10,FALSE)</f>
        <v>6.54</v>
      </c>
      <c r="W82" s="13">
        <v>79.960678100585895</v>
      </c>
      <c r="X82" s="13">
        <v>86.626182556152301</v>
      </c>
      <c r="Y82" s="13">
        <v>0</v>
      </c>
      <c r="Z82" s="10">
        <v>21.635735592049599</v>
      </c>
      <c r="AA82" s="10">
        <v>32.7140281166214</v>
      </c>
      <c r="AB82" s="10">
        <v>32.1377474418736</v>
      </c>
      <c r="AC82" s="10">
        <v>31.5771277741567</v>
      </c>
      <c r="AD82" s="10">
        <v>4.6298923956053697</v>
      </c>
      <c r="AE82" s="10">
        <v>4.734740380431</v>
      </c>
      <c r="AF82" s="10">
        <v>4.8493349499485499</v>
      </c>
      <c r="AG82" s="10">
        <v>166.55353676745054</v>
      </c>
      <c r="AH82" s="10">
        <v>169.13809257185517</v>
      </c>
      <c r="AI82" s="12">
        <f>VLOOKUP(B82,[7]all!$A$2:$I$247,6,FALSE)</f>
        <v>76.260000000000005</v>
      </c>
      <c r="AJ82" s="12">
        <f>VLOOKUP(B82,[7]all!$A$2:$I$247,7,FALSE)</f>
        <v>76.11</v>
      </c>
      <c r="AK82" s="12">
        <f>VLOOKUP(B82,[7]all!$A$2:$I$247,8,FALSE)</f>
        <v>76.36</v>
      </c>
      <c r="AL82" s="12"/>
    </row>
    <row r="83" spans="1:38" ht="21.4" x14ac:dyDescent="1.1000000000000001">
      <c r="A83" s="10" t="s">
        <v>161</v>
      </c>
      <c r="B83" s="11" t="s">
        <v>162</v>
      </c>
      <c r="C83" s="10" t="str">
        <f>VLOOKUP(B83,'[1]who-regions'!$B$1:$D$206,3,FALSE)</f>
        <v>AFR</v>
      </c>
      <c r="D83" s="12" t="str">
        <f>VLOOKUP(B83,'[2]Metadata - Countries'!$A$1:$B$266,2,FALSE)</f>
        <v>Sub-Saharan Africa</v>
      </c>
      <c r="E83" s="12" t="str">
        <f>VLOOKUP(B83,'[2]Metadata - Countries'!$A$1:$C$266,3,FALSE)</f>
        <v>Lower middle income</v>
      </c>
      <c r="F83" s="12"/>
      <c r="G83" s="10">
        <v>31.2707417142027</v>
      </c>
      <c r="H83" s="12">
        <f>VLOOKUP(B83,[4]tas!$A$2:$H$247,5,FALSE)</f>
        <v>26.92</v>
      </c>
      <c r="I83" s="12">
        <f>VLOOKUP(B83,[4]tas!$A$2:$H$247,6,FALSE)</f>
        <v>26.94</v>
      </c>
      <c r="J83" s="12">
        <f>VLOOKUP(B83,[4]tas!$A$2:$H$247,7,FALSE)</f>
        <v>27.03</v>
      </c>
      <c r="K83" s="10">
        <v>19910452541.921909</v>
      </c>
      <c r="L83" s="10">
        <v>22407615556.057053</v>
      </c>
      <c r="M83" s="10">
        <v>25334307878.737022</v>
      </c>
      <c r="N83" s="10">
        <f>VLOOKUP(B83,[2]Data!$B$1:$G$267,4,FALSE)</f>
        <v>1416.5961201176417</v>
      </c>
      <c r="O83" s="10">
        <f>VLOOKUP(B83,[2]Data!$B$1:$G$267,5,FALSE)</f>
        <v>1555.4937580686064</v>
      </c>
      <c r="P83" s="10">
        <f>VLOOKUP(B83,[2]Data!$B$1:$G$267,6,FALSE)</f>
        <v>1694.9537586219271</v>
      </c>
      <c r="Q83" s="12">
        <f>VLOOKUP(B83,[5]Sheet1!$B$421:$K$628,10,FALSE)</f>
        <v>0</v>
      </c>
      <c r="R83" s="12">
        <f>VLOOKUP(B83,[5]Sheet1!$B$213:$K$420,10,FALSE)</f>
        <v>0</v>
      </c>
      <c r="S83" s="12">
        <f>VLOOKUP(B83,[5]Sheet1!$B$2:$K$207,10,FALSE)</f>
        <v>0</v>
      </c>
      <c r="T83" s="12">
        <f>VLOOKUP(B83,[6]Sheet1!$B$421:$K$628,10,FALSE)</f>
        <v>0</v>
      </c>
      <c r="U83" s="12">
        <f>VLOOKUP(B83,[6]Sheet1!$B$213:$K$420,10,FALSE)</f>
        <v>0</v>
      </c>
      <c r="V83" s="12">
        <f>VLOOKUP(B83,[6]Sheet1!$B$2:$K$212,10,FALSE)</f>
        <v>0</v>
      </c>
      <c r="W83" s="13">
        <v>0</v>
      </c>
      <c r="X83" s="13">
        <v>0</v>
      </c>
      <c r="Y83" s="13">
        <v>0</v>
      </c>
      <c r="Z83" s="10">
        <v>43.767445014838202</v>
      </c>
      <c r="AA83" s="10">
        <v>41.569729985556201</v>
      </c>
      <c r="AB83" s="10">
        <v>41.242939833679799</v>
      </c>
      <c r="AC83" s="10">
        <v>40.901157119498599</v>
      </c>
      <c r="AD83" s="10">
        <v>3.4310409069651899</v>
      </c>
      <c r="AE83" s="10">
        <v>3.4410579371666401</v>
      </c>
      <c r="AF83" s="10">
        <v>3.4551163078582201</v>
      </c>
      <c r="AG83" s="10">
        <v>57.199808725378482</v>
      </c>
      <c r="AH83" s="10">
        <v>58.625541266482173</v>
      </c>
      <c r="AI83" s="12">
        <f>VLOOKUP(B83,[7]all!$A$2:$I$247,6,FALSE)</f>
        <v>63.69</v>
      </c>
      <c r="AJ83" s="12">
        <f>VLOOKUP(B83,[7]all!$A$2:$I$247,7,FALSE)</f>
        <v>63.73</v>
      </c>
      <c r="AK83" s="12">
        <f>VLOOKUP(B83,[7]all!$A$2:$I$247,8,FALSE)</f>
        <v>63.54</v>
      </c>
      <c r="AL83" s="12"/>
    </row>
    <row r="84" spans="1:38" ht="21.4" x14ac:dyDescent="1.1000000000000001">
      <c r="A84" s="10" t="s">
        <v>163</v>
      </c>
      <c r="B84" s="11" t="s">
        <v>164</v>
      </c>
      <c r="C84" s="10" t="str">
        <f>VLOOKUP(B84,'[1]who-regions'!$B$1:$D$206,3,FALSE)</f>
        <v>AFR</v>
      </c>
      <c r="D84" s="12" t="str">
        <f>VLOOKUP(B84,'[2]Metadata - Countries'!$A$1:$B$266,2,FALSE)</f>
        <v>Sub-Saharan Africa</v>
      </c>
      <c r="E84" s="12" t="str">
        <f>VLOOKUP(B84,'[2]Metadata - Countries'!$A$1:$C$266,3,FALSE)</f>
        <v>Low income</v>
      </c>
      <c r="F84" s="12"/>
      <c r="G84" s="10">
        <v>27.843818589382799</v>
      </c>
      <c r="H84" s="12">
        <f>VLOOKUP(B84,[4]tas!$A$2:$H$247,5,FALSE)</f>
        <v>28.49</v>
      </c>
      <c r="I84" s="12">
        <f>VLOOKUP(B84,[4]tas!$A$2:$H$247,6,FALSE)</f>
        <v>28.47</v>
      </c>
      <c r="J84" s="12">
        <f>VLOOKUP(B84,[4]tas!$A$2:$H$247,7,FALSE)</f>
        <v>28.54</v>
      </c>
      <c r="K84" s="10">
        <v>1839048747.8767085</v>
      </c>
      <c r="L84" s="10">
        <v>2077816134.6741908</v>
      </c>
      <c r="M84" s="10">
        <v>2119865935.2490857</v>
      </c>
      <c r="N84" s="10">
        <f>VLOOKUP(B84,[2]Data!$B$1:$G$267,4,FALSE)</f>
        <v>883.19913145783119</v>
      </c>
      <c r="O84" s="10">
        <f>VLOOKUP(B84,[2]Data!$B$1:$G$267,5,FALSE)</f>
        <v>988.08788635702194</v>
      </c>
      <c r="P84" s="10">
        <f>VLOOKUP(B84,[2]Data!$B$1:$G$267,6,FALSE)</f>
        <v>1007.7415172802815</v>
      </c>
      <c r="Q84" s="12">
        <f>VLOOKUP(B84,[5]Sheet1!$B$421:$K$628,10,FALSE)</f>
        <v>0</v>
      </c>
      <c r="R84" s="12">
        <f>VLOOKUP(B84,[5]Sheet1!$B$213:$K$420,10,FALSE)</f>
        <v>0</v>
      </c>
      <c r="S84" s="12">
        <f>VLOOKUP(B84,[5]Sheet1!$B$2:$K$207,10,FALSE)</f>
        <v>0</v>
      </c>
      <c r="T84" s="12">
        <f>VLOOKUP(B84,[6]Sheet1!$B$421:$K$628,10,FALSE)</f>
        <v>0</v>
      </c>
      <c r="U84" s="12">
        <f>VLOOKUP(B84,[6]Sheet1!$B$213:$K$420,10,FALSE)</f>
        <v>0</v>
      </c>
      <c r="V84" s="12">
        <f>VLOOKUP(B84,[6]Sheet1!$B$2:$K$212,10,FALSE)</f>
        <v>0</v>
      </c>
      <c r="W84" s="13">
        <v>0</v>
      </c>
      <c r="X84" s="13">
        <v>0</v>
      </c>
      <c r="Y84" s="13">
        <v>0</v>
      </c>
      <c r="Z84" s="10">
        <v>50.212765506030699</v>
      </c>
      <c r="AA84" s="10">
        <v>39.704748782847403</v>
      </c>
      <c r="AB84" s="10">
        <v>39.242358030946399</v>
      </c>
      <c r="AC84" s="10">
        <v>38.785914292671102</v>
      </c>
      <c r="AD84" s="10">
        <v>3.0902922733431799</v>
      </c>
      <c r="AE84" s="10">
        <v>3.1425613895443298</v>
      </c>
      <c r="AF84" s="10">
        <v>3.191856640828</v>
      </c>
      <c r="AG84" s="10">
        <v>74.87656472261736</v>
      </c>
      <c r="AH84" s="10">
        <v>76.576778093883362</v>
      </c>
      <c r="AI84" s="12">
        <f>VLOOKUP(B84,[7]all!$A$2:$I$247,6,FALSE)</f>
        <v>62.48</v>
      </c>
      <c r="AJ84" s="12">
        <f>VLOOKUP(B84,[7]all!$A$2:$I$247,7,FALSE)</f>
        <v>62.35</v>
      </c>
      <c r="AK84" s="12">
        <f>VLOOKUP(B84,[7]all!$A$2:$I$247,8,FALSE)</f>
        <v>62.14</v>
      </c>
      <c r="AL84" s="12"/>
    </row>
    <row r="85" spans="1:38" ht="21.4" x14ac:dyDescent="1.1000000000000001">
      <c r="A85" s="10" t="s">
        <v>165</v>
      </c>
      <c r="B85" s="11" t="s">
        <v>166</v>
      </c>
      <c r="C85" s="10" t="str">
        <f>VLOOKUP(B85,'[1]who-regions'!$B$1:$D$206,3,FALSE)</f>
        <v>AMR</v>
      </c>
      <c r="D85" s="12" t="str">
        <f>VLOOKUP(B85,'[2]Metadata - Countries'!$A$1:$B$266,2,FALSE)</f>
        <v>Latin America &amp; Caribbean</v>
      </c>
      <c r="E85" s="12" t="str">
        <f>VLOOKUP(B85,'[2]Metadata - Countries'!$A$1:$C$266,3,FALSE)</f>
        <v>High income</v>
      </c>
      <c r="F85" s="12"/>
      <c r="G85" s="10">
        <v>90.989207409414604</v>
      </c>
      <c r="H85" s="12">
        <f>VLOOKUP(B85,[4]tas!$A$2:$H$247,5,FALSE)</f>
        <v>26.5</v>
      </c>
      <c r="I85" s="12">
        <f>VLOOKUP(B85,[4]tas!$A$2:$H$247,6,FALSE)</f>
        <v>26.5</v>
      </c>
      <c r="J85" s="12">
        <f>VLOOKUP(B85,[4]tas!$A$2:$H$247,7,FALSE)</f>
        <v>26.53</v>
      </c>
      <c r="K85" s="10">
        <v>14718388489.208633</v>
      </c>
      <c r="L85" s="10">
        <v>16918503597.122303</v>
      </c>
      <c r="M85" s="10">
        <v>24835899825.899281</v>
      </c>
      <c r="N85" s="10">
        <f>VLOOKUP(B85,[2]Data!$B$1:$G$267,4,FALSE)</f>
        <v>17913.492806687907</v>
      </c>
      <c r="O85" s="10">
        <f>VLOOKUP(B85,[2]Data!$B$1:$G$267,5,FALSE)</f>
        <v>20473.700219061713</v>
      </c>
      <c r="P85" s="10">
        <f>VLOOKUP(B85,[2]Data!$B$1:$G$267,6,FALSE)</f>
        <v>29675.244387331641</v>
      </c>
      <c r="Q85" s="12">
        <f>VLOOKUP(B85,[5]Sheet1!$B$421:$K$628,10,FALSE)</f>
        <v>0</v>
      </c>
      <c r="R85" s="12">
        <f>VLOOKUP(B85,[5]Sheet1!$B$213:$K$420,10,FALSE)</f>
        <v>0</v>
      </c>
      <c r="S85" s="12">
        <f>VLOOKUP(B85,[5]Sheet1!$B$2:$K$207,10,FALSE)</f>
        <v>0</v>
      </c>
      <c r="T85" s="12">
        <f>VLOOKUP(B85,[6]Sheet1!$B$421:$K$628,10,FALSE)</f>
        <v>0</v>
      </c>
      <c r="U85" s="12">
        <f>VLOOKUP(B85,[6]Sheet1!$B$213:$K$420,10,FALSE)</f>
        <v>0</v>
      </c>
      <c r="V85" s="12">
        <f>VLOOKUP(B85,[6]Sheet1!$B$2:$K$212,10,FALSE)</f>
        <v>0</v>
      </c>
      <c r="W85" s="13">
        <v>0</v>
      </c>
      <c r="X85" s="13">
        <v>0</v>
      </c>
      <c r="Y85" s="13">
        <v>0</v>
      </c>
      <c r="Z85" s="10">
        <v>25.460668047298999</v>
      </c>
      <c r="AA85" s="10">
        <v>29.403008871314199</v>
      </c>
      <c r="AB85" s="10">
        <v>29.323243214461598</v>
      </c>
      <c r="AC85" s="10">
        <v>29.160562709176499</v>
      </c>
      <c r="AD85" s="10">
        <v>6.2224559020589396</v>
      </c>
      <c r="AE85" s="10">
        <v>6.4795553474120604</v>
      </c>
      <c r="AF85" s="10">
        <v>6.7349186877659504</v>
      </c>
      <c r="AG85" s="10">
        <v>3.8914322250639386</v>
      </c>
      <c r="AH85" s="10">
        <v>3.913768115942029</v>
      </c>
      <c r="AI85" s="12">
        <f>VLOOKUP(B85,[7]all!$A$2:$I$247,6,FALSE)</f>
        <v>78.52</v>
      </c>
      <c r="AJ85" s="12">
        <f>VLOOKUP(B85,[7]all!$A$2:$I$247,7,FALSE)</f>
        <v>78.36</v>
      </c>
      <c r="AK85" s="12">
        <f>VLOOKUP(B85,[7]all!$A$2:$I$247,8,FALSE)</f>
        <v>78.27</v>
      </c>
      <c r="AL85" s="12"/>
    </row>
    <row r="86" spans="1:38" ht="21.4" x14ac:dyDescent="1.1000000000000001">
      <c r="A86" s="10" t="s">
        <v>167</v>
      </c>
      <c r="B86" s="11" t="s">
        <v>168</v>
      </c>
      <c r="C86" s="10" t="str">
        <f>VLOOKUP(B86,'[1]who-regions'!$B$1:$D$206,3,FALSE)</f>
        <v>AMR</v>
      </c>
      <c r="D86" s="12" t="str">
        <f>VLOOKUP(B86,'[2]Metadata - Countries'!$A$1:$B$266,2,FALSE)</f>
        <v>Latin America &amp; Caribbean</v>
      </c>
      <c r="E86" s="12" t="str">
        <f>VLOOKUP(B86,'[2]Metadata - Countries'!$A$1:$C$266,3,FALSE)</f>
        <v>Lower middle income</v>
      </c>
      <c r="F86" s="12"/>
      <c r="G86" s="10">
        <v>37.475878862445001</v>
      </c>
      <c r="H86" s="12">
        <f>VLOOKUP(B86,[4]tas!$A$2:$H$247,5,FALSE)</f>
        <v>25.86</v>
      </c>
      <c r="I86" s="12">
        <f>VLOOKUP(B86,[4]tas!$A$2:$H$247,6,FALSE)</f>
        <v>25.89</v>
      </c>
      <c r="J86" s="12">
        <f>VLOOKUP(B86,[4]tas!$A$2:$H$247,7,FALSE)</f>
        <v>25.9</v>
      </c>
      <c r="K86" s="10">
        <v>20253551920.551617</v>
      </c>
      <c r="L86" s="10">
        <v>19850585722.324139</v>
      </c>
      <c r="M86" s="10">
        <v>25224154990.794556</v>
      </c>
      <c r="N86" s="10">
        <f>VLOOKUP(B86,[2]Data!$B$1:$G$267,4,FALSE)</f>
        <v>1760.626356687774</v>
      </c>
      <c r="O86" s="10">
        <f>VLOOKUP(B86,[2]Data!$B$1:$G$267,5,FALSE)</f>
        <v>1705.7580846099909</v>
      </c>
      <c r="P86" s="10">
        <f>VLOOKUP(B86,[2]Data!$B$1:$G$267,6,FALSE)</f>
        <v>2142.6233052678831</v>
      </c>
      <c r="Q86" s="12">
        <f>VLOOKUP(B86,[5]Sheet1!$B$421:$K$628,10,FALSE)</f>
        <v>0</v>
      </c>
      <c r="R86" s="12">
        <f>VLOOKUP(B86,[5]Sheet1!$B$213:$K$420,10,FALSE)</f>
        <v>0</v>
      </c>
      <c r="S86" s="12">
        <f>VLOOKUP(B86,[5]Sheet1!$B$2:$K$207,10,FALSE)</f>
        <v>0</v>
      </c>
      <c r="T86" s="12">
        <f>VLOOKUP(B86,[6]Sheet1!$B$421:$K$628,10,FALSE)</f>
        <v>0</v>
      </c>
      <c r="U86" s="12">
        <f>VLOOKUP(B86,[6]Sheet1!$B$213:$K$420,10,FALSE)</f>
        <v>0</v>
      </c>
      <c r="V86" s="12">
        <f>VLOOKUP(B86,[6]Sheet1!$B$2:$K$212,10,FALSE)</f>
        <v>0</v>
      </c>
      <c r="W86" s="13">
        <v>0</v>
      </c>
      <c r="X86" s="13">
        <v>0</v>
      </c>
      <c r="Y86" s="13">
        <v>0</v>
      </c>
      <c r="Z86" s="10">
        <v>21.350255444806098</v>
      </c>
      <c r="AA86" s="10">
        <v>31.9324914292092</v>
      </c>
      <c r="AB86" s="10">
        <v>31.5721980303416</v>
      </c>
      <c r="AC86" s="10">
        <v>31.188640666594299</v>
      </c>
      <c r="AD86" s="10">
        <v>4.5407196665115297</v>
      </c>
      <c r="AE86" s="10">
        <v>4.6181541347063098</v>
      </c>
      <c r="AF86" s="10">
        <v>4.7052182461295402</v>
      </c>
      <c r="AG86" s="10">
        <v>417.40224963715531</v>
      </c>
      <c r="AH86" s="10">
        <v>422.25682148040636</v>
      </c>
      <c r="AI86" s="12">
        <f>VLOOKUP(B86,[7]all!$A$2:$I$247,6,FALSE)</f>
        <v>75.680000000000007</v>
      </c>
      <c r="AJ86" s="12">
        <f>VLOOKUP(B86,[7]all!$A$2:$I$247,7,FALSE)</f>
        <v>75.67</v>
      </c>
      <c r="AK86" s="12">
        <f>VLOOKUP(B86,[7]all!$A$2:$I$247,8,FALSE)</f>
        <v>75.7</v>
      </c>
      <c r="AL86" s="12"/>
    </row>
    <row r="87" spans="1:38" ht="21.4" x14ac:dyDescent="1.1000000000000001">
      <c r="A87" s="10" t="s">
        <v>169</v>
      </c>
      <c r="B87" s="11" t="s">
        <v>170</v>
      </c>
      <c r="C87" s="10" t="str">
        <f>VLOOKUP(B87,'[1]who-regions'!$B$1:$D$206,3,FALSE)</f>
        <v>AMR</v>
      </c>
      <c r="D87" s="12" t="str">
        <f>VLOOKUP(B87,'[2]Metadata - Countries'!$A$1:$B$266,2,FALSE)</f>
        <v>Latin America &amp; Caribbean</v>
      </c>
      <c r="E87" s="12" t="str">
        <f>VLOOKUP(B87,'[2]Metadata - Countries'!$A$1:$C$266,3,FALSE)</f>
        <v>Lower middle income</v>
      </c>
      <c r="F87" s="12"/>
      <c r="G87" s="10">
        <v>84.396991371735496</v>
      </c>
      <c r="H87" s="12">
        <f>VLOOKUP(B87,[4]tas!$A$2:$H$247,5,FALSE)</f>
        <v>24.55</v>
      </c>
      <c r="I87" s="12">
        <f>VLOOKUP(B87,[4]tas!$A$2:$H$247,6,FALSE)</f>
        <v>24.6</v>
      </c>
      <c r="J87" s="12">
        <f>VLOOKUP(B87,[4]tas!$A$2:$H$247,7,FALSE)</f>
        <v>24.61</v>
      </c>
      <c r="K87" s="10">
        <v>31426041806.798485</v>
      </c>
      <c r="L87" s="10">
        <v>34355805527.979488</v>
      </c>
      <c r="M87" s="10">
        <v>37093565854.043678</v>
      </c>
      <c r="N87" s="10">
        <f>VLOOKUP(B87,[2]Data!$B$1:$G$267,4,FALSE)</f>
        <v>3003.2899682639932</v>
      </c>
      <c r="O87" s="10">
        <f>VLOOKUP(B87,[2]Data!$B$1:$G$267,5,FALSE)</f>
        <v>3227.4576250977575</v>
      </c>
      <c r="P87" s="10">
        <f>VLOOKUP(B87,[2]Data!$B$1:$G$267,6,FALSE)</f>
        <v>3426.4348332892264</v>
      </c>
      <c r="Q87" s="12">
        <f>VLOOKUP(B87,[5]Sheet1!$B$421:$K$628,10,FALSE)</f>
        <v>0</v>
      </c>
      <c r="R87" s="12">
        <f>VLOOKUP(B87,[5]Sheet1!$B$213:$K$420,10,FALSE)</f>
        <v>0</v>
      </c>
      <c r="S87" s="12">
        <f>VLOOKUP(B87,[5]Sheet1!$B$2:$K$207,10,FALSE)</f>
        <v>0</v>
      </c>
      <c r="T87" s="12">
        <f>VLOOKUP(B87,[6]Sheet1!$B$421:$K$628,10,FALSE)</f>
        <v>103.03</v>
      </c>
      <c r="U87" s="12">
        <f>VLOOKUP(B87,[6]Sheet1!$B$213:$K$420,10,FALSE)</f>
        <v>73.209999999999994</v>
      </c>
      <c r="V87" s="12">
        <f>VLOOKUP(B87,[6]Sheet1!$B$2:$K$212,10,FALSE)</f>
        <v>62.36</v>
      </c>
      <c r="W87" s="13">
        <v>88.206298828125</v>
      </c>
      <c r="X87" s="13">
        <v>79.877021789550795</v>
      </c>
      <c r="Y87" s="13">
        <v>0</v>
      </c>
      <c r="Z87" s="10">
        <v>20.313683389657299</v>
      </c>
      <c r="AA87" s="10">
        <v>31.386369213996499</v>
      </c>
      <c r="AB87" s="10">
        <v>30.996150157479899</v>
      </c>
      <c r="AC87" s="10">
        <v>30.621206280035299</v>
      </c>
      <c r="AD87" s="10">
        <v>4.1666507388469602</v>
      </c>
      <c r="AE87" s="10">
        <v>4.2927233081984904</v>
      </c>
      <c r="AF87" s="10">
        <v>4.41772213694935</v>
      </c>
      <c r="AG87" s="10">
        <v>93.519277862186073</v>
      </c>
      <c r="AH87" s="10">
        <v>95.136750379837338</v>
      </c>
      <c r="AI87" s="12">
        <f>VLOOKUP(B87,[7]all!$A$2:$I$247,6,FALSE)</f>
        <v>76.19</v>
      </c>
      <c r="AJ87" s="12">
        <f>VLOOKUP(B87,[7]all!$A$2:$I$247,7,FALSE)</f>
        <v>75.95</v>
      </c>
      <c r="AK87" s="12">
        <f>VLOOKUP(B87,[7]all!$A$2:$I$247,8,FALSE)</f>
        <v>76.27</v>
      </c>
      <c r="AL87" s="12"/>
    </row>
    <row r="88" spans="1:38" ht="21.4" x14ac:dyDescent="1.1000000000000001">
      <c r="A88" s="10" t="s">
        <v>171</v>
      </c>
      <c r="B88" s="11" t="s">
        <v>172</v>
      </c>
      <c r="C88" s="10" t="str">
        <f>VLOOKUP(B88,'[1]who-regions'!$B$1:$D$206,3,FALSE)</f>
        <v>WPR</v>
      </c>
      <c r="D88" s="12" t="str">
        <f>VLOOKUP(B88,'[2]Metadata - Countries'!$A$1:$B$266,2,FALSE)</f>
        <v>East Asia &amp; Pacific</v>
      </c>
      <c r="E88" s="12" t="str">
        <f>VLOOKUP(B88,'[2]Metadata - Countries'!$A$1:$C$266,3,FALSE)</f>
        <v>High income</v>
      </c>
      <c r="F88" s="12"/>
      <c r="G88" s="10">
        <v>96.504173989455197</v>
      </c>
      <c r="H88" s="12">
        <f>VLOOKUP(B88,[4]tas!$A$2:$H$247,5,FALSE)</f>
        <v>23.57</v>
      </c>
      <c r="I88" s="12">
        <f>VLOOKUP(B88,[4]tas!$A$2:$H$247,6,FALSE)</f>
        <v>23.63</v>
      </c>
      <c r="J88" s="12">
        <f>VLOOKUP(B88,[4]tas!$A$2:$H$247,7,FALSE)</f>
        <v>23.66</v>
      </c>
      <c r="K88" s="10">
        <v>358679533984.7182</v>
      </c>
      <c r="L88" s="10">
        <v>381066399066.20825</v>
      </c>
      <c r="M88" s="10">
        <v>407106738445.06921</v>
      </c>
      <c r="N88" s="10">
        <f>VLOOKUP(B88,[2]Data!$B$1:$G$267,4,FALSE)</f>
        <v>48825.844187353592</v>
      </c>
      <c r="O88" s="10">
        <f>VLOOKUP(B88,[2]Data!$B$1:$G$267,5,FALSE)</f>
        <v>50562.363314437898</v>
      </c>
      <c r="P88" s="10">
        <f>VLOOKUP(B88,[2]Data!$B$1:$G$267,6,FALSE)</f>
        <v>54074.692851947948</v>
      </c>
      <c r="Q88" s="12">
        <f>VLOOKUP(B88,[5]Sheet1!$B$421:$K$628,10,FALSE)</f>
        <v>0</v>
      </c>
      <c r="R88" s="12">
        <f>VLOOKUP(B88,[5]Sheet1!$B$213:$K$420,10,FALSE)</f>
        <v>0</v>
      </c>
      <c r="S88" s="12">
        <f>VLOOKUP(B88,[5]Sheet1!$B$2:$K$207,10,FALSE)</f>
        <v>0</v>
      </c>
      <c r="T88" s="12">
        <f>VLOOKUP(B88,[6]Sheet1!$B$421:$K$628,10,FALSE)</f>
        <v>23.39</v>
      </c>
      <c r="U88" s="12">
        <f>VLOOKUP(B88,[6]Sheet1!$B$213:$K$420,10,FALSE)</f>
        <v>30.95</v>
      </c>
      <c r="V88" s="12">
        <f>VLOOKUP(B88,[6]Sheet1!$B$2:$K$212,10,FALSE)</f>
        <v>33.6</v>
      </c>
      <c r="W88" s="13">
        <v>0</v>
      </c>
      <c r="X88" s="13">
        <v>95.579513549804702</v>
      </c>
      <c r="Y88" s="13">
        <v>0</v>
      </c>
      <c r="Z88" s="10">
        <v>0</v>
      </c>
      <c r="AA88" s="10">
        <v>10.911167619776</v>
      </c>
      <c r="AB88" s="10">
        <v>10.6990246662702</v>
      </c>
      <c r="AC88" s="10">
        <v>10.507822111652199</v>
      </c>
      <c r="AD88" s="10">
        <v>20.684423811414899</v>
      </c>
      <c r="AE88" s="10">
        <v>21.6452568609024</v>
      </c>
      <c r="AF88" s="10">
        <v>22.667147859323201</v>
      </c>
      <c r="AG88" s="10">
        <v>6996.2857142857147</v>
      </c>
      <c r="AH88" s="10">
        <v>7177.2380952380954</v>
      </c>
      <c r="AI88" s="12">
        <f>VLOOKUP(B88,[7]all!$A$2:$I$247,6,FALSE)</f>
        <v>78.680000000000007</v>
      </c>
      <c r="AJ88" s="12">
        <f>VLOOKUP(B88,[7]all!$A$2:$I$247,7,FALSE)</f>
        <v>78.69</v>
      </c>
      <c r="AK88" s="12">
        <f>VLOOKUP(B88,[7]all!$A$2:$I$247,8,FALSE)</f>
        <v>78.64</v>
      </c>
      <c r="AL88" s="12"/>
    </row>
    <row r="89" spans="1:38" ht="21.4" x14ac:dyDescent="1.1000000000000001">
      <c r="A89" s="10" t="s">
        <v>173</v>
      </c>
      <c r="B89" s="11" t="s">
        <v>174</v>
      </c>
      <c r="C89" s="10" t="str">
        <f>VLOOKUP(B89,'[1]who-regions'!$B$1:$D$206,3,FALSE)</f>
        <v>EUR</v>
      </c>
      <c r="D89" s="12" t="str">
        <f>VLOOKUP(B89,'[2]Metadata - Countries'!$A$1:$B$266,2,FALSE)</f>
        <v>Europe &amp; Central Asia</v>
      </c>
      <c r="E89" s="12" t="str">
        <f>VLOOKUP(B89,'[2]Metadata - Countries'!$A$1:$C$266,3,FALSE)</f>
        <v>High income</v>
      </c>
      <c r="F89" s="12"/>
      <c r="G89" s="10">
        <v>97.978737009236198</v>
      </c>
      <c r="H89" s="12">
        <f>VLOOKUP(B89,[4]tas!$A$2:$H$247,5,FALSE)</f>
        <v>12.35</v>
      </c>
      <c r="I89" s="12">
        <f>VLOOKUP(B89,[4]tas!$A$2:$H$247,6,FALSE)</f>
        <v>12.35</v>
      </c>
      <c r="J89" s="12">
        <f>VLOOKUP(B89,[4]tas!$A$2:$H$247,7,FALSE)</f>
        <v>12.34</v>
      </c>
      <c r="K89" s="10">
        <v>177536698164.90179</v>
      </c>
      <c r="L89" s="10">
        <v>214022571311.23959</v>
      </c>
      <c r="M89" s="10">
        <v>222904723252.1098</v>
      </c>
      <c r="N89" s="10">
        <f>VLOOKUP(B89,[2]Data!$B$1:$G$267,4,FALSE)</f>
        <v>18428.02882561399</v>
      </c>
      <c r="O89" s="10">
        <f>VLOOKUP(B89,[2]Data!$B$1:$G$267,5,FALSE)</f>
        <v>22230.627787518693</v>
      </c>
      <c r="P89" s="10">
        <f>VLOOKUP(B89,[2]Data!$B$1:$G$267,6,FALSE)</f>
        <v>23292.326388247828</v>
      </c>
      <c r="Q89" s="12">
        <f>VLOOKUP(B89,[5]Sheet1!$B$421:$K$628,10,FALSE)</f>
        <v>0</v>
      </c>
      <c r="R89" s="12">
        <f>VLOOKUP(B89,[5]Sheet1!$B$213:$K$420,10,FALSE)</f>
        <v>0</v>
      </c>
      <c r="S89" s="12">
        <f>VLOOKUP(B89,[5]Sheet1!$B$2:$K$207,10,FALSE)</f>
        <v>0</v>
      </c>
      <c r="T89" s="12">
        <f>VLOOKUP(B89,[6]Sheet1!$B$421:$K$628,10,FALSE)</f>
        <v>19.79</v>
      </c>
      <c r="U89" s="12">
        <f>VLOOKUP(B89,[6]Sheet1!$B$213:$K$420,10,FALSE)</f>
        <v>20.05</v>
      </c>
      <c r="V89" s="12">
        <f>VLOOKUP(B89,[6]Sheet1!$B$2:$K$212,10,FALSE)</f>
        <v>14.9</v>
      </c>
      <c r="W89" s="13">
        <v>99.018402099609403</v>
      </c>
      <c r="X89" s="13">
        <v>0</v>
      </c>
      <c r="Y89" s="13">
        <v>0</v>
      </c>
      <c r="Z89" s="10">
        <v>14.136499576427299</v>
      </c>
      <c r="AA89" s="10">
        <v>14.550589094902101</v>
      </c>
      <c r="AB89" s="10">
        <v>14.485456947213001</v>
      </c>
      <c r="AC89" s="10">
        <v>14.401381047359401</v>
      </c>
      <c r="AD89" s="10">
        <v>20.6075593133653</v>
      </c>
      <c r="AE89" s="10">
        <v>20.819084281895002</v>
      </c>
      <c r="AF89" s="10">
        <v>20.993197231807802</v>
      </c>
      <c r="AG89" s="10">
        <v>105.24955073416612</v>
      </c>
      <c r="AH89" s="10">
        <v>105.1083278544817</v>
      </c>
      <c r="AI89" s="12">
        <f>VLOOKUP(B89,[7]all!$A$2:$I$247,6,FALSE)</f>
        <v>71.260000000000005</v>
      </c>
      <c r="AJ89" s="12">
        <f>VLOOKUP(B89,[7]all!$A$2:$I$247,7,FALSE)</f>
        <v>71.459999999999994</v>
      </c>
      <c r="AK89" s="12">
        <f>VLOOKUP(B89,[7]all!$A$2:$I$247,8,FALSE)</f>
        <v>71.53</v>
      </c>
      <c r="AL89" s="15">
        <v>45511</v>
      </c>
    </row>
    <row r="90" spans="1:38" ht="21.4" x14ac:dyDescent="1.1000000000000001">
      <c r="A90" s="10" t="s">
        <v>175</v>
      </c>
      <c r="B90" s="11" t="s">
        <v>176</v>
      </c>
      <c r="C90" s="10" t="str">
        <f>VLOOKUP(B90,'[1]who-regions'!$B$1:$D$206,3,FALSE)</f>
        <v>EUR</v>
      </c>
      <c r="D90" s="12" t="str">
        <f>VLOOKUP(B90,'[2]Metadata - Countries'!$A$1:$B$266,2,FALSE)</f>
        <v>Europe &amp; Central Asia</v>
      </c>
      <c r="E90" s="12" t="str">
        <f>VLOOKUP(B90,'[2]Metadata - Countries'!$A$1:$C$266,3,FALSE)</f>
        <v>High income</v>
      </c>
      <c r="F90" s="12"/>
      <c r="G90" s="10">
        <v>98.779326727374894</v>
      </c>
      <c r="H90" s="12">
        <f>VLOOKUP(B90,[4]tas!$A$2:$H$247,5,FALSE)</f>
        <v>1.79</v>
      </c>
      <c r="I90" s="12">
        <f>VLOOKUP(B90,[4]tas!$A$2:$H$247,6,FALSE)</f>
        <v>1.78</v>
      </c>
      <c r="J90" s="12">
        <f>VLOOKUP(B90,[4]tas!$A$2:$H$247,7,FALSE)</f>
        <v>1.93</v>
      </c>
      <c r="K90" s="10">
        <v>28696453180.165657</v>
      </c>
      <c r="L90" s="10">
        <v>31452223861.909103</v>
      </c>
      <c r="M90" s="10">
        <v>33462807982.850002</v>
      </c>
      <c r="N90" s="10">
        <f>VLOOKUP(B90,[2]Data!$B$1:$G$267,4,FALSE)</f>
        <v>76350.455041650246</v>
      </c>
      <c r="O90" s="10">
        <f>VLOOKUP(B90,[2]Data!$B$1:$G$267,5,FALSE)</f>
        <v>82138.789297355674</v>
      </c>
      <c r="P90" s="10">
        <f>VLOOKUP(B90,[2]Data!$B$1:$G$267,6,FALSE)</f>
        <v>86040.530985128789</v>
      </c>
      <c r="Q90" s="12">
        <f>VLOOKUP(B90,[5]Sheet1!$B$421:$K$628,10,FALSE)</f>
        <v>0</v>
      </c>
      <c r="R90" s="12">
        <f>VLOOKUP(B90,[5]Sheet1!$B$213:$K$420,10,FALSE)</f>
        <v>0</v>
      </c>
      <c r="S90" s="12">
        <f>VLOOKUP(B90,[5]Sheet1!$B$2:$K$207,10,FALSE)</f>
        <v>0</v>
      </c>
      <c r="T90" s="12">
        <f>VLOOKUP(B90,[6]Sheet1!$B$421:$K$628,10,FALSE)</f>
        <v>54.39</v>
      </c>
      <c r="U90" s="12">
        <f>VLOOKUP(B90,[6]Sheet1!$B$213:$K$420,10,FALSE)</f>
        <v>54.22</v>
      </c>
      <c r="V90" s="12">
        <f>VLOOKUP(B90,[6]Sheet1!$B$2:$K$212,10,FALSE)</f>
        <v>48.9</v>
      </c>
      <c r="W90" s="13">
        <v>0</v>
      </c>
      <c r="X90" s="13">
        <v>0</v>
      </c>
      <c r="Y90" s="13">
        <v>0</v>
      </c>
      <c r="Z90" s="10">
        <v>5.1055482750018903</v>
      </c>
      <c r="AA90" s="10">
        <v>18.378332901719599</v>
      </c>
      <c r="AB90" s="10">
        <v>18.056030395489699</v>
      </c>
      <c r="AC90" s="10">
        <v>17.763421289770701</v>
      </c>
      <c r="AD90" s="10">
        <v>15.110994845611501</v>
      </c>
      <c r="AE90" s="10">
        <v>15.348303155015699</v>
      </c>
      <c r="AF90" s="10">
        <v>15.6448154592516</v>
      </c>
      <c r="AG90" s="10">
        <v>3.7885847466031937</v>
      </c>
      <c r="AH90" s="10">
        <v>3.90111078052167</v>
      </c>
      <c r="AI90" s="12">
        <f>VLOOKUP(B90,[7]all!$A$2:$I$247,6,FALSE)</f>
        <v>83.1</v>
      </c>
      <c r="AJ90" s="12">
        <f>VLOOKUP(B90,[7]all!$A$2:$I$247,7,FALSE)</f>
        <v>83.22</v>
      </c>
      <c r="AK90" s="12">
        <f>VLOOKUP(B90,[7]all!$A$2:$I$247,8,FALSE)</f>
        <v>83.21</v>
      </c>
      <c r="AL90" s="12"/>
    </row>
    <row r="91" spans="1:38" ht="21.4" x14ac:dyDescent="1.1000000000000001">
      <c r="A91" s="10" t="s">
        <v>177</v>
      </c>
      <c r="B91" s="11" t="s">
        <v>178</v>
      </c>
      <c r="C91" s="10" t="str">
        <f>VLOOKUP(B91,'[1]who-regions'!$B$1:$D$206,3,FALSE)</f>
        <v>SEAR</v>
      </c>
      <c r="D91" s="12" t="str">
        <f>VLOOKUP(B91,'[2]Metadata - Countries'!$A$1:$B$266,2,FALSE)</f>
        <v>South Asia</v>
      </c>
      <c r="E91" s="12" t="str">
        <f>VLOOKUP(B91,'[2]Metadata - Countries'!$A$1:$C$266,3,FALSE)</f>
        <v>Lower middle income</v>
      </c>
      <c r="F91" s="12"/>
      <c r="G91" s="10">
        <v>78.388559946666604</v>
      </c>
      <c r="H91" s="12">
        <f>VLOOKUP(B91,[4]tas!$A$2:$H$247,5,FALSE)</f>
        <v>24.71</v>
      </c>
      <c r="I91" s="12">
        <f>VLOOKUP(B91,[4]tas!$A$2:$H$247,6,FALSE)</f>
        <v>24.76</v>
      </c>
      <c r="J91" s="12">
        <f>VLOOKUP(B91,[4]tas!$A$2:$H$247,7,FALSE)</f>
        <v>24.79</v>
      </c>
      <c r="K91" s="10">
        <v>3346107287730.9272</v>
      </c>
      <c r="L91" s="10">
        <v>3638489096033.8589</v>
      </c>
      <c r="M91" s="10">
        <v>3912686168582.2144</v>
      </c>
      <c r="N91" s="10">
        <f>VLOOKUP(B91,[2]Data!$B$1:$G$267,4,FALSE)</f>
        <v>2347.4482943462317</v>
      </c>
      <c r="O91" s="10">
        <f>VLOOKUP(B91,[2]Data!$B$1:$G$267,5,FALSE)</f>
        <v>2530.1203127820381</v>
      </c>
      <c r="P91" s="10">
        <f>VLOOKUP(B91,[2]Data!$B$1:$G$267,6,FALSE)</f>
        <v>2694.7378085996111</v>
      </c>
      <c r="Q91" s="12">
        <f>VLOOKUP(B91,[5]Sheet1!$B$421:$K$628,10,FALSE)</f>
        <v>0</v>
      </c>
      <c r="R91" s="12">
        <f>VLOOKUP(B91,[5]Sheet1!$B$213:$K$420,10,FALSE)</f>
        <v>0</v>
      </c>
      <c r="S91" s="12">
        <f>VLOOKUP(B91,[5]Sheet1!$B$2:$K$207,10,FALSE)</f>
        <v>0</v>
      </c>
      <c r="T91" s="12">
        <f>VLOOKUP(B91,[6]Sheet1!$B$421:$K$628,10,FALSE)</f>
        <v>0</v>
      </c>
      <c r="U91" s="12">
        <f>VLOOKUP(B91,[6]Sheet1!$B$213:$K$420,10,FALSE)</f>
        <v>0</v>
      </c>
      <c r="V91" s="12">
        <f>VLOOKUP(B91,[6]Sheet1!$B$2:$K$212,10,FALSE)</f>
        <v>0</v>
      </c>
      <c r="W91" s="13">
        <v>0</v>
      </c>
      <c r="X91" s="13">
        <v>74.189956665039105</v>
      </c>
      <c r="Y91" s="13">
        <v>0</v>
      </c>
      <c r="Z91" s="10">
        <v>48.3948115195574</v>
      </c>
      <c r="AA91" s="10">
        <v>25.4877038842946</v>
      </c>
      <c r="AB91" s="10">
        <v>25.057062224407101</v>
      </c>
      <c r="AC91" s="10">
        <v>24.623902705836599</v>
      </c>
      <c r="AD91" s="10">
        <v>6.69899975408181</v>
      </c>
      <c r="AE91" s="10">
        <v>6.9218433013863701</v>
      </c>
      <c r="AF91" s="10">
        <v>7.1465171403990801</v>
      </c>
      <c r="AG91" s="10">
        <v>479.42553688126219</v>
      </c>
      <c r="AH91" s="10">
        <v>483.67901008680911</v>
      </c>
      <c r="AI91" s="12">
        <f>VLOOKUP(B91,[7]all!$A$2:$I$247,6,FALSE)</f>
        <v>62.4</v>
      </c>
      <c r="AJ91" s="12">
        <f>VLOOKUP(B91,[7]all!$A$2:$I$247,7,FALSE)</f>
        <v>62.28</v>
      </c>
      <c r="AK91" s="12">
        <f>VLOOKUP(B91,[7]all!$A$2:$I$247,8,FALSE)</f>
        <v>62.21</v>
      </c>
      <c r="AL91" s="12"/>
    </row>
    <row r="92" spans="1:38" ht="21.4" x14ac:dyDescent="1.1000000000000001">
      <c r="A92" s="10" t="s">
        <v>179</v>
      </c>
      <c r="B92" s="11" t="s">
        <v>180</v>
      </c>
      <c r="C92" s="10" t="str">
        <f>VLOOKUP(B92,'[1]who-regions'!$B$1:$D$206,3,FALSE)</f>
        <v>SEAR</v>
      </c>
      <c r="D92" s="12" t="str">
        <f>VLOOKUP(B92,'[2]Metadata - Countries'!$A$1:$B$266,2,FALSE)</f>
        <v>East Asia &amp; Pacific</v>
      </c>
      <c r="E92" s="12" t="str">
        <f>VLOOKUP(B92,'[2]Metadata - Countries'!$A$1:$C$266,3,FALSE)</f>
        <v>Upper middle income</v>
      </c>
      <c r="F92" s="12"/>
      <c r="G92" s="10">
        <v>88.156880601992995</v>
      </c>
      <c r="H92" s="12">
        <f>VLOOKUP(B92,[4]tas!$A$2:$H$247,5,FALSE)</f>
        <v>25.93</v>
      </c>
      <c r="I92" s="12">
        <f>VLOOKUP(B92,[4]tas!$A$2:$H$247,6,FALSE)</f>
        <v>25.94</v>
      </c>
      <c r="J92" s="12">
        <f>VLOOKUP(B92,[4]tas!$A$2:$H$247,7,FALSE)</f>
        <v>25.98</v>
      </c>
      <c r="K92" s="10">
        <v>1319101183380.1516</v>
      </c>
      <c r="L92" s="10">
        <v>1371169301563.6216</v>
      </c>
      <c r="M92" s="10">
        <v>1396300098190.9734</v>
      </c>
      <c r="N92" s="10">
        <f>VLOOKUP(B92,[2]Data!$B$1:$G$267,4,FALSE)</f>
        <v>4730.8348483610689</v>
      </c>
      <c r="O92" s="10">
        <f>VLOOKUP(B92,[2]Data!$B$1:$G$267,5,FALSE)</f>
        <v>4876.3077451225245</v>
      </c>
      <c r="P92" s="10">
        <f>VLOOKUP(B92,[2]Data!$B$1:$G$267,6,FALSE)</f>
        <v>4925.4304875186144</v>
      </c>
      <c r="Q92" s="12">
        <f>VLOOKUP(B92,[5]Sheet1!$B$421:$K$628,10,FALSE)</f>
        <v>0</v>
      </c>
      <c r="R92" s="12">
        <f>VLOOKUP(B92,[5]Sheet1!$B$213:$K$420,10,FALSE)</f>
        <v>0</v>
      </c>
      <c r="S92" s="12">
        <f>VLOOKUP(B92,[5]Sheet1!$B$2:$K$207,10,FALSE)</f>
        <v>0</v>
      </c>
      <c r="T92" s="12">
        <f>VLOOKUP(B92,[6]Sheet1!$B$421:$K$628,10,FALSE)</f>
        <v>0</v>
      </c>
      <c r="U92" s="12">
        <f>VLOOKUP(B92,[6]Sheet1!$B$213:$K$420,10,FALSE)</f>
        <v>0</v>
      </c>
      <c r="V92" s="12">
        <f>VLOOKUP(B92,[6]Sheet1!$B$2:$K$212,10,FALSE)</f>
        <v>0</v>
      </c>
      <c r="W92" s="13">
        <v>0</v>
      </c>
      <c r="X92" s="13">
        <v>0</v>
      </c>
      <c r="Y92" s="13">
        <v>0</v>
      </c>
      <c r="Z92" s="10">
        <v>17.881499498398501</v>
      </c>
      <c r="AA92" s="10">
        <v>25.274066967885801</v>
      </c>
      <c r="AB92" s="10">
        <v>24.9346390051087</v>
      </c>
      <c r="AC92" s="10">
        <v>24.5977969421876</v>
      </c>
      <c r="AD92" s="10">
        <v>6.8246662595986196</v>
      </c>
      <c r="AE92" s="10">
        <v>7.0485407776664797</v>
      </c>
      <c r="AF92" s="10">
        <v>7.28860130431549</v>
      </c>
      <c r="AG92" s="10">
        <v>147.33017521541919</v>
      </c>
      <c r="AH92" s="10">
        <v>148.57692229226973</v>
      </c>
      <c r="AI92" s="12">
        <f>VLOOKUP(B92,[7]all!$A$2:$I$247,6,FALSE)</f>
        <v>82.26</v>
      </c>
      <c r="AJ92" s="12">
        <f>VLOOKUP(B92,[7]all!$A$2:$I$247,7,FALSE)</f>
        <v>82.27</v>
      </c>
      <c r="AK92" s="12">
        <f>VLOOKUP(B92,[7]all!$A$2:$I$247,8,FALSE)</f>
        <v>82.28</v>
      </c>
      <c r="AL92" s="15">
        <v>734865</v>
      </c>
    </row>
    <row r="93" spans="1:38" ht="21.4" x14ac:dyDescent="1.1000000000000001">
      <c r="A93" s="10" t="s">
        <v>181</v>
      </c>
      <c r="B93" s="11" t="s">
        <v>182</v>
      </c>
      <c r="C93" s="10" t="str">
        <f>VLOOKUP(B93,'[1]who-regions'!$B$1:$D$206,3,FALSE)</f>
        <v>EMR</v>
      </c>
      <c r="D93" s="12" t="str">
        <f>VLOOKUP(B93,'[2]Metadata - Countries'!$A$1:$B$266,2,FALSE)</f>
        <v>Middle East &amp; North Africa</v>
      </c>
      <c r="E93" s="12" t="str">
        <f>VLOOKUP(B93,'[2]Metadata - Countries'!$A$1:$C$266,3,FALSE)</f>
        <v>Upper middle income</v>
      </c>
      <c r="F93" s="12"/>
      <c r="G93" s="10">
        <v>90.364731061125596</v>
      </c>
      <c r="H93" s="12">
        <f>VLOOKUP(B93,[4]tas!$A$2:$H$247,5,FALSE)</f>
        <v>18.72</v>
      </c>
      <c r="I93" s="12">
        <f>VLOOKUP(B93,[4]tas!$A$2:$H$247,6,FALSE)</f>
        <v>18.73</v>
      </c>
      <c r="J93" s="12">
        <f>VLOOKUP(B93,[4]tas!$A$2:$H$247,7,FALSE)</f>
        <v>18.78</v>
      </c>
      <c r="K93" s="10">
        <v>394362621793.03467</v>
      </c>
      <c r="L93" s="10">
        <v>404625655076.27484</v>
      </c>
      <c r="M93" s="10">
        <v>436906331671.85852</v>
      </c>
      <c r="N93" s="10">
        <f>VLOOKUP(B93,[2]Data!$B$1:$G$267,4,FALSE)</f>
        <v>4721.2043709998425</v>
      </c>
      <c r="O93" s="10">
        <f>VLOOKUP(B93,[2]Data!$B$1:$G$267,5,FALSE)</f>
        <v>5049.2993164275395</v>
      </c>
      <c r="P93" s="10">
        <f>VLOOKUP(B93,[2]Data!$B$1:$G$267,6,FALSE)</f>
        <v>5190.1695902482134</v>
      </c>
      <c r="Q93" s="12">
        <f>VLOOKUP(B93,[5]Sheet1!$B$421:$K$628,10,FALSE)</f>
        <v>0</v>
      </c>
      <c r="R93" s="12">
        <f>VLOOKUP(B93,[5]Sheet1!$B$213:$K$420,10,FALSE)</f>
        <v>0</v>
      </c>
      <c r="S93" s="12">
        <f>VLOOKUP(B93,[5]Sheet1!$B$2:$K$207,10,FALSE)</f>
        <v>0</v>
      </c>
      <c r="T93" s="12">
        <f>VLOOKUP(B93,[6]Sheet1!$B$421:$K$628,10,FALSE)</f>
        <v>0</v>
      </c>
      <c r="U93" s="12">
        <f>VLOOKUP(B93,[6]Sheet1!$B$213:$K$420,10,FALSE)</f>
        <v>0</v>
      </c>
      <c r="V93" s="12">
        <f>VLOOKUP(B93,[6]Sheet1!$B$2:$K$212,10,FALSE)</f>
        <v>0</v>
      </c>
      <c r="W93" s="13">
        <v>0</v>
      </c>
      <c r="X93" s="13">
        <v>0</v>
      </c>
      <c r="Y93" s="13">
        <v>0</v>
      </c>
      <c r="Z93" s="10">
        <v>32.2873733599003</v>
      </c>
      <c r="AA93" s="10">
        <v>23.221238170376601</v>
      </c>
      <c r="AB93" s="10">
        <v>22.838783032186999</v>
      </c>
      <c r="AC93" s="10">
        <v>22.440571931789801</v>
      </c>
      <c r="AD93" s="10">
        <v>7.6290002619569703</v>
      </c>
      <c r="AE93" s="10">
        <v>7.9160836055192796</v>
      </c>
      <c r="AF93" s="10">
        <v>8.2390126762714893</v>
      </c>
      <c r="AG93" s="10">
        <v>55.176730970724194</v>
      </c>
      <c r="AH93" s="10">
        <v>55.845119876733435</v>
      </c>
      <c r="AI93" s="12">
        <f>VLOOKUP(B93,[7]all!$A$2:$I$247,6,FALSE)</f>
        <v>41.52</v>
      </c>
      <c r="AJ93" s="12">
        <f>VLOOKUP(B93,[7]all!$A$2:$I$247,7,FALSE)</f>
        <v>41.36</v>
      </c>
      <c r="AK93" s="12">
        <f>VLOOKUP(B93,[7]all!$A$2:$I$247,8,FALSE)</f>
        <v>41.26</v>
      </c>
      <c r="AL93" s="12"/>
    </row>
    <row r="94" spans="1:38" ht="21.4" x14ac:dyDescent="1.1000000000000001">
      <c r="A94" s="10" t="s">
        <v>183</v>
      </c>
      <c r="B94" s="11" t="s">
        <v>184</v>
      </c>
      <c r="C94" s="10" t="str">
        <f>VLOOKUP(B94,'[1]who-regions'!$B$1:$D$206,3,FALSE)</f>
        <v>EMR</v>
      </c>
      <c r="D94" s="12" t="str">
        <f>VLOOKUP(B94,'[2]Metadata - Countries'!$A$1:$B$266,2,FALSE)</f>
        <v>Middle East &amp; North Africa</v>
      </c>
      <c r="E94" s="12" t="str">
        <f>VLOOKUP(B94,'[2]Metadata - Countries'!$A$1:$C$266,3,FALSE)</f>
        <v>Upper middle income</v>
      </c>
      <c r="F94" s="12"/>
      <c r="G94" s="10">
        <v>98.498780545837306</v>
      </c>
      <c r="H94" s="12">
        <f>VLOOKUP(B94,[4]tas!$A$2:$H$247,5,FALSE)</f>
        <v>23.56</v>
      </c>
      <c r="I94" s="12">
        <f>VLOOKUP(B94,[4]tas!$A$2:$H$247,6,FALSE)</f>
        <v>23.56</v>
      </c>
      <c r="J94" s="12">
        <f>VLOOKUP(B94,[4]tas!$A$2:$H$247,7,FALSE)</f>
        <v>23.68</v>
      </c>
      <c r="K94" s="10">
        <v>287372232137.93103</v>
      </c>
      <c r="L94" s="10">
        <v>268881051643.54932</v>
      </c>
      <c r="M94" s="10">
        <v>279641257615.38464</v>
      </c>
      <c r="N94" s="10">
        <f>VLOOKUP(B94,[2]Data!$B$1:$G$267,4,FALSE)</f>
        <v>6520.7315456058404</v>
      </c>
      <c r="O94" s="10">
        <f>VLOOKUP(B94,[2]Data!$B$1:$G$267,5,FALSE)</f>
        <v>5965.318350777613</v>
      </c>
      <c r="P94" s="10">
        <f>VLOOKUP(B94,[2]Data!$B$1:$G$267,6,FALSE)</f>
        <v>6073.610323427084</v>
      </c>
      <c r="Q94" s="12">
        <f>VLOOKUP(B94,[5]Sheet1!$B$421:$K$628,10,FALSE)</f>
        <v>0</v>
      </c>
      <c r="R94" s="12">
        <f>VLOOKUP(B94,[5]Sheet1!$B$213:$K$420,10,FALSE)</f>
        <v>0</v>
      </c>
      <c r="S94" s="12">
        <f>VLOOKUP(B94,[5]Sheet1!$B$2:$K$207,10,FALSE)</f>
        <v>0</v>
      </c>
      <c r="T94" s="12">
        <f>VLOOKUP(B94,[6]Sheet1!$B$421:$K$628,10,FALSE)</f>
        <v>0</v>
      </c>
      <c r="U94" s="12">
        <f>VLOOKUP(B94,[6]Sheet1!$B$213:$K$420,10,FALSE)</f>
        <v>0</v>
      </c>
      <c r="V94" s="12">
        <f>VLOOKUP(B94,[6]Sheet1!$B$2:$K$212,10,FALSE)</f>
        <v>0</v>
      </c>
      <c r="W94" s="13">
        <v>0</v>
      </c>
      <c r="X94" s="13">
        <v>0</v>
      </c>
      <c r="Y94" s="13">
        <v>0</v>
      </c>
      <c r="Z94" s="10">
        <v>38.175069978795399</v>
      </c>
      <c r="AA94" s="10">
        <v>37.587047640951901</v>
      </c>
      <c r="AB94" s="10">
        <v>37.091395982641799</v>
      </c>
      <c r="AC94" s="10">
        <v>36.581348579118398</v>
      </c>
      <c r="AD94" s="10">
        <v>3.3976055801979901</v>
      </c>
      <c r="AE94" s="10">
        <v>3.3967039437703899</v>
      </c>
      <c r="AF94" s="10">
        <v>3.4143879237257502</v>
      </c>
      <c r="AG94" s="10">
        <v>101.51464077580448</v>
      </c>
      <c r="AH94" s="10">
        <v>103.82615575979545</v>
      </c>
      <c r="AI94" s="12">
        <f>VLOOKUP(B94,[7]all!$A$2:$I$247,6,FALSE)</f>
        <v>38.54</v>
      </c>
      <c r="AJ94" s="12">
        <f>VLOOKUP(B94,[7]all!$A$2:$I$247,7,FALSE)</f>
        <v>38.25</v>
      </c>
      <c r="AK94" s="12">
        <f>VLOOKUP(B94,[7]all!$A$2:$I$247,8,FALSE)</f>
        <v>38.54</v>
      </c>
      <c r="AL94" s="12"/>
    </row>
    <row r="95" spans="1:38" ht="21.4" x14ac:dyDescent="1.1000000000000001">
      <c r="A95" s="10" t="s">
        <v>185</v>
      </c>
      <c r="B95" s="11" t="s">
        <v>186</v>
      </c>
      <c r="C95" s="10" t="str">
        <f>VLOOKUP(B95,'[1]who-regions'!$B$1:$D$206,3,FALSE)</f>
        <v>EUR</v>
      </c>
      <c r="D95" s="12" t="str">
        <f>VLOOKUP(B95,'[2]Metadata - Countries'!$A$1:$B$266,2,FALSE)</f>
        <v>Europe &amp; Central Asia</v>
      </c>
      <c r="E95" s="12" t="str">
        <f>VLOOKUP(B95,'[2]Metadata - Countries'!$A$1:$C$266,3,FALSE)</f>
        <v>High income</v>
      </c>
      <c r="F95" s="12"/>
      <c r="G95" s="10">
        <v>89.254870649239095</v>
      </c>
      <c r="H95" s="12">
        <f>VLOOKUP(B95,[4]tas!$A$2:$H$247,5,FALSE)</f>
        <v>10.26</v>
      </c>
      <c r="I95" s="12">
        <f>VLOOKUP(B95,[4]tas!$A$2:$H$247,6,FALSE)</f>
        <v>10.27</v>
      </c>
      <c r="J95" s="12">
        <f>VLOOKUP(B95,[4]tas!$A$2:$H$247,7,FALSE)</f>
        <v>10.31</v>
      </c>
      <c r="K95" s="10">
        <v>548570250341.98657</v>
      </c>
      <c r="L95" s="10">
        <v>551394889339.77832</v>
      </c>
      <c r="M95" s="10">
        <v>577389475009.92175</v>
      </c>
      <c r="N95" s="10">
        <f>VLOOKUP(B95,[2]Data!$B$1:$G$267,4,FALSE)</f>
        <v>105190.68595273084</v>
      </c>
      <c r="O95" s="10">
        <f>VLOOKUP(B95,[2]Data!$B$1:$G$267,5,FALSE)</f>
        <v>106818.91713080389</v>
      </c>
      <c r="P95" s="10">
        <f>VLOOKUP(B95,[2]Data!$B$1:$G$267,6,FALSE)</f>
        <v>112894.95324080539</v>
      </c>
      <c r="Q95" s="12">
        <f>VLOOKUP(B95,[5]Sheet1!$B$421:$K$628,10,FALSE)</f>
        <v>0</v>
      </c>
      <c r="R95" s="12">
        <f>VLOOKUP(B95,[5]Sheet1!$B$213:$K$420,10,FALSE)</f>
        <v>0</v>
      </c>
      <c r="S95" s="12">
        <f>VLOOKUP(B95,[5]Sheet1!$B$2:$K$207,10,FALSE)</f>
        <v>0</v>
      </c>
      <c r="T95" s="12">
        <f>VLOOKUP(B95,[6]Sheet1!$B$421:$K$628,10,FALSE)</f>
        <v>75.8</v>
      </c>
      <c r="U95" s="12">
        <f>VLOOKUP(B95,[6]Sheet1!$B$213:$K$420,10,FALSE)</f>
        <v>75.709999999999994</v>
      </c>
      <c r="V95" s="12">
        <f>VLOOKUP(B95,[6]Sheet1!$B$2:$K$212,10,FALSE)</f>
        <v>75.709999999999994</v>
      </c>
      <c r="W95" s="13">
        <v>0</v>
      </c>
      <c r="X95" s="13">
        <v>0</v>
      </c>
      <c r="Y95" s="13">
        <v>0</v>
      </c>
      <c r="Z95" s="10">
        <v>8.1705860130670693</v>
      </c>
      <c r="AA95" s="10">
        <v>19.455782472675502</v>
      </c>
      <c r="AB95" s="10">
        <v>19.017036040664799</v>
      </c>
      <c r="AC95" s="10">
        <v>18.555485305234502</v>
      </c>
      <c r="AD95" s="10">
        <v>15.16194031114</v>
      </c>
      <c r="AE95" s="10">
        <v>15.541706836930899</v>
      </c>
      <c r="AF95" s="10">
        <v>15.892078380328901</v>
      </c>
      <c r="AG95" s="10">
        <v>75.668979532588182</v>
      </c>
      <c r="AH95" s="10">
        <v>77.044563797358109</v>
      </c>
      <c r="AI95" s="12">
        <f>VLOOKUP(B95,[7]all!$A$2:$I$247,6,FALSE)</f>
        <v>82.99</v>
      </c>
      <c r="AJ95" s="12">
        <f>VLOOKUP(B95,[7]all!$A$2:$I$247,7,FALSE)</f>
        <v>83.04</v>
      </c>
      <c r="AK95" s="12">
        <f>VLOOKUP(B95,[7]all!$A$2:$I$247,8,FALSE)</f>
        <v>82.98</v>
      </c>
      <c r="AL95" s="12"/>
    </row>
    <row r="96" spans="1:38" ht="21.4" x14ac:dyDescent="1.1000000000000001">
      <c r="A96" s="10" t="s">
        <v>187</v>
      </c>
      <c r="B96" s="11" t="s">
        <v>188</v>
      </c>
      <c r="C96" s="10" t="s">
        <v>487</v>
      </c>
      <c r="D96" s="12" t="str">
        <f>VLOOKUP(B96,'[2]Metadata - Countries'!$A$1:$B$266,2,FALSE)</f>
        <v>Europe &amp; Central Asia</v>
      </c>
      <c r="E96" s="12" t="str">
        <f>VLOOKUP(B96,'[2]Metadata - Countries'!$A$1:$C$266,3,FALSE)</f>
        <v>High income</v>
      </c>
      <c r="F96" s="12"/>
      <c r="G96" s="10">
        <v>100</v>
      </c>
      <c r="H96" s="12">
        <f>VLOOKUP(B96,[4]tas!$A$2:$H$247,5,FALSE)</f>
        <v>10.85</v>
      </c>
      <c r="I96" s="12">
        <f>VLOOKUP(B96,[4]tas!$A$2:$H$247,6,FALSE)</f>
        <v>10.75</v>
      </c>
      <c r="J96" s="12">
        <f>VLOOKUP(B96,[4]tas!$A$2:$H$247,7,FALSE)</f>
        <v>10.87</v>
      </c>
      <c r="K96" s="10">
        <v>7431257410.9271269</v>
      </c>
      <c r="L96" s="10">
        <v>0</v>
      </c>
      <c r="M96" s="10">
        <v>0</v>
      </c>
      <c r="N96" s="10">
        <f>VLOOKUP(B96,[2]Data!$B$1:$G$267,4,FALSE)</f>
        <v>88328.548125887028</v>
      </c>
      <c r="O96" s="10">
        <f>VLOOKUP(B96,[2]Data!$B$1:$G$267,5,FALSE)</f>
        <v>0</v>
      </c>
      <c r="P96" s="10">
        <f>VLOOKUP(B96,[2]Data!$B$1:$G$267,6,FALSE)</f>
        <v>0</v>
      </c>
      <c r="Q96" s="12" t="e">
        <f>VLOOKUP(B96,[5]Sheet1!$B$421:$K$628,10,FALSE)</f>
        <v>#N/A</v>
      </c>
      <c r="R96" s="12" t="e">
        <f>VLOOKUP(B96,[5]Sheet1!$B$213:$K$420,10,FALSE)</f>
        <v>#N/A</v>
      </c>
      <c r="S96" s="12" t="e">
        <f>VLOOKUP(B96,[5]Sheet1!$B$2:$K$207,10,FALSE)</f>
        <v>#N/A</v>
      </c>
      <c r="T96" s="12" t="e">
        <f>VLOOKUP(B96,[6]Sheet1!$B$421:$K$628,10,FALSE)</f>
        <v>#N/A</v>
      </c>
      <c r="U96" s="12" t="e">
        <f>VLOOKUP(B96,[6]Sheet1!$B$213:$K$420,10,FALSE)</f>
        <v>#N/A</v>
      </c>
      <c r="V96" s="12" t="e">
        <f>VLOOKUP(B96,[6]Sheet1!$B$2:$K$212,10,FALSE)</f>
        <v>#N/A</v>
      </c>
      <c r="W96" s="13">
        <v>0</v>
      </c>
      <c r="X96" s="13">
        <v>0</v>
      </c>
      <c r="Y96" s="13">
        <v>0</v>
      </c>
      <c r="Z96" s="10">
        <v>0</v>
      </c>
      <c r="AA96" s="10">
        <v>14.780345171872799</v>
      </c>
      <c r="AB96" s="10">
        <v>14.5231716083193</v>
      </c>
      <c r="AC96" s="10">
        <v>14.2234183494632</v>
      </c>
      <c r="AD96" s="10">
        <v>22.300670375124799</v>
      </c>
      <c r="AE96" s="10">
        <v>22.7129881008252</v>
      </c>
      <c r="AF96" s="10">
        <v>23.152785451607301</v>
      </c>
      <c r="AG96" s="10">
        <v>147.6</v>
      </c>
      <c r="AH96" s="10">
        <v>147.65789473684211</v>
      </c>
      <c r="AI96" s="12">
        <f>VLOOKUP(B96,[7]all!$A$2:$I$247,6,FALSE)</f>
        <v>81.34</v>
      </c>
      <c r="AJ96" s="12">
        <f>VLOOKUP(B96,[7]all!$A$2:$I$247,7,FALSE)</f>
        <v>81.31</v>
      </c>
      <c r="AK96" s="12">
        <f>VLOOKUP(B96,[7]all!$A$2:$I$247,8,FALSE)</f>
        <v>81.42</v>
      </c>
      <c r="AL96" s="12"/>
    </row>
    <row r="97" spans="1:38" ht="21.4" x14ac:dyDescent="1.1000000000000001">
      <c r="A97" s="10" t="s">
        <v>189</v>
      </c>
      <c r="B97" s="11" t="s">
        <v>190</v>
      </c>
      <c r="C97" s="10" t="str">
        <f>VLOOKUP(B97,'[1]who-regions'!$B$1:$D$206,3,FALSE)</f>
        <v>EUR</v>
      </c>
      <c r="D97" s="12" t="str">
        <f>VLOOKUP(B97,'[2]Metadata - Countries'!$A$1:$B$266,2,FALSE)</f>
        <v>Middle East &amp; North Africa</v>
      </c>
      <c r="E97" s="12" t="str">
        <f>VLOOKUP(B97,'[2]Metadata - Countries'!$A$1:$C$266,3,FALSE)</f>
        <v>High income</v>
      </c>
      <c r="F97" s="12"/>
      <c r="G97" s="10">
        <v>99.924519397394704</v>
      </c>
      <c r="H97" s="12">
        <f>VLOOKUP(B97,[4]tas!$A$2:$H$247,5,FALSE)</f>
        <v>21.16</v>
      </c>
      <c r="I97" s="12">
        <f>VLOOKUP(B97,[4]tas!$A$2:$H$247,6,FALSE)</f>
        <v>21.14</v>
      </c>
      <c r="J97" s="12">
        <f>VLOOKUP(B97,[4]tas!$A$2:$H$247,7,FALSE)</f>
        <v>21.18</v>
      </c>
      <c r="K97" s="10">
        <v>525181008025.57025</v>
      </c>
      <c r="L97" s="10">
        <v>512184638998.97394</v>
      </c>
      <c r="M97" s="10">
        <v>540379921261.68097</v>
      </c>
      <c r="N97" s="10">
        <f>VLOOKUP(B97,[2]Data!$B$1:$G$267,4,FALSE)</f>
        <v>54949.621556429011</v>
      </c>
      <c r="O97" s="10">
        <f>VLOOKUP(B97,[2]Data!$B$1:$G$267,5,FALSE)</f>
        <v>52003.720072999691</v>
      </c>
      <c r="P97" s="10">
        <f>VLOOKUP(B97,[2]Data!$B$1:$G$267,6,FALSE)</f>
        <v>54176.684438330223</v>
      </c>
      <c r="Q97" s="12">
        <f>VLOOKUP(B97,[5]Sheet1!$B$421:$K$628,10,FALSE)</f>
        <v>19.309999999999999</v>
      </c>
      <c r="R97" s="12" t="e">
        <f>VLOOKUP(B97,[5]Sheet1!$B$213:$K$420,10,FALSE)</f>
        <v>#N/A</v>
      </c>
      <c r="S97" s="12" t="e">
        <f>VLOOKUP(B97,[5]Sheet1!$B$2:$K$207,10,FALSE)</f>
        <v>#N/A</v>
      </c>
      <c r="T97" s="12">
        <f>VLOOKUP(B97,[6]Sheet1!$B$421:$K$628,10,FALSE)</f>
        <v>61.16</v>
      </c>
      <c r="U97" s="12" t="e">
        <f>VLOOKUP(B97,[6]Sheet1!$B$213:$K$420,10,FALSE)</f>
        <v>#N/A</v>
      </c>
      <c r="V97" s="12" t="e">
        <f>VLOOKUP(B97,[6]Sheet1!$B$2:$K$212,10,FALSE)</f>
        <v>#N/A</v>
      </c>
      <c r="W97" s="13">
        <v>99.014328002929702</v>
      </c>
      <c r="X97" s="13">
        <v>0</v>
      </c>
      <c r="Y97" s="13">
        <v>0</v>
      </c>
      <c r="Z97" s="10">
        <v>18.598275634831399</v>
      </c>
      <c r="AA97" s="10">
        <v>27.803531985792599</v>
      </c>
      <c r="AB97" s="10">
        <v>27.614615277744502</v>
      </c>
      <c r="AC97" s="10">
        <v>27.409260083683598</v>
      </c>
      <c r="AD97" s="10">
        <v>12.3030366078735</v>
      </c>
      <c r="AE97" s="10">
        <v>12.415708888008799</v>
      </c>
      <c r="AF97" s="10">
        <v>12.5526937672772</v>
      </c>
      <c r="AG97" s="10">
        <v>441.65896487985214</v>
      </c>
      <c r="AH97" s="10">
        <v>455.12939001848429</v>
      </c>
      <c r="AI97" s="12">
        <f>VLOOKUP(B97,[7]all!$A$2:$I$247,6,FALSE)</f>
        <v>57.72</v>
      </c>
      <c r="AJ97" s="12">
        <f>VLOOKUP(B97,[7]all!$A$2:$I$247,7,FALSE)</f>
        <v>57.62</v>
      </c>
      <c r="AK97" s="12">
        <f>VLOOKUP(B97,[7]all!$A$2:$I$247,8,FALSE)</f>
        <v>57.7</v>
      </c>
      <c r="AL97" s="12"/>
    </row>
    <row r="98" spans="1:38" ht="21.4" x14ac:dyDescent="1.1000000000000001">
      <c r="A98" s="10" t="s">
        <v>191</v>
      </c>
      <c r="B98" s="11" t="s">
        <v>192</v>
      </c>
      <c r="C98" s="10" t="str">
        <f>VLOOKUP(B98,'[1]who-regions'!$B$1:$D$206,3,FALSE)</f>
        <v>EUR</v>
      </c>
      <c r="D98" s="12" t="str">
        <f>VLOOKUP(B98,'[2]Metadata - Countries'!$A$1:$B$266,2,FALSE)</f>
        <v>Europe &amp; Central Asia</v>
      </c>
      <c r="E98" s="12" t="str">
        <f>VLOOKUP(B98,'[2]Metadata - Countries'!$A$1:$C$266,3,FALSE)</f>
        <v>High income</v>
      </c>
      <c r="F98" s="12"/>
      <c r="G98" s="10">
        <v>99.8850365009352</v>
      </c>
      <c r="H98" s="12">
        <f>VLOOKUP(B98,[4]tas!$A$2:$H$247,5,FALSE)</f>
        <v>13.87</v>
      </c>
      <c r="I98" s="12">
        <f>VLOOKUP(B98,[4]tas!$A$2:$H$247,6,FALSE)</f>
        <v>13.79</v>
      </c>
      <c r="J98" s="12">
        <f>VLOOKUP(B98,[4]tas!$A$2:$H$247,7,FALSE)</f>
        <v>13.81</v>
      </c>
      <c r="K98" s="10">
        <v>2104067630319.4634</v>
      </c>
      <c r="L98" s="10">
        <v>2304605139862.7856</v>
      </c>
      <c r="M98" s="10">
        <v>2372774547793.1245</v>
      </c>
      <c r="N98" s="10">
        <f>VLOOKUP(B98,[2]Data!$B$1:$G$267,4,FALSE)</f>
        <v>35653.904210349501</v>
      </c>
      <c r="O98" s="10">
        <f>VLOOKUP(B98,[2]Data!$B$1:$G$267,5,FALSE)</f>
        <v>39277.083878391779</v>
      </c>
      <c r="P98" s="10">
        <f>VLOOKUP(B98,[2]Data!$B$1:$G$267,6,FALSE)</f>
        <v>40385.341395766904</v>
      </c>
      <c r="Q98" s="12">
        <f>VLOOKUP(B98,[5]Sheet1!$B$421:$K$628,10,FALSE)</f>
        <v>0</v>
      </c>
      <c r="R98" s="12">
        <f>VLOOKUP(B98,[5]Sheet1!$B$213:$K$420,10,FALSE)</f>
        <v>0</v>
      </c>
      <c r="S98" s="12">
        <f>VLOOKUP(B98,[5]Sheet1!$B$2:$K$207,10,FALSE)</f>
        <v>0</v>
      </c>
      <c r="T98" s="12">
        <f>VLOOKUP(B98,[6]Sheet1!$B$421:$K$628,10,FALSE)</f>
        <v>58.1</v>
      </c>
      <c r="U98" s="12">
        <f>VLOOKUP(B98,[6]Sheet1!$B$213:$K$420,10,FALSE)</f>
        <v>53.3</v>
      </c>
      <c r="V98" s="12">
        <f>VLOOKUP(B98,[6]Sheet1!$B$2:$K$212,10,FALSE)</f>
        <v>53.3</v>
      </c>
      <c r="W98" s="13">
        <v>99.899009704589801</v>
      </c>
      <c r="X98" s="13">
        <v>0</v>
      </c>
      <c r="Y98" s="13">
        <v>0</v>
      </c>
      <c r="Z98" s="10">
        <v>14.6586386239905</v>
      </c>
      <c r="AA98" s="10">
        <v>12.3897806298347</v>
      </c>
      <c r="AB98" s="10">
        <v>12.144435176572101</v>
      </c>
      <c r="AC98" s="10">
        <v>11.892304596608</v>
      </c>
      <c r="AD98" s="10">
        <v>23.929189689659001</v>
      </c>
      <c r="AE98" s="10">
        <v>24.2187831541913</v>
      </c>
      <c r="AF98" s="10">
        <v>24.624776723376002</v>
      </c>
      <c r="AG98" s="10">
        <v>199.55926890301637</v>
      </c>
      <c r="AH98" s="10">
        <v>199.49098809684838</v>
      </c>
      <c r="AI98" s="12">
        <f>VLOOKUP(B98,[7]all!$A$2:$I$247,6,FALSE)</f>
        <v>72.78</v>
      </c>
      <c r="AJ98" s="12">
        <f>VLOOKUP(B98,[7]all!$A$2:$I$247,7,FALSE)</f>
        <v>73.14</v>
      </c>
      <c r="AK98" s="12">
        <f>VLOOKUP(B98,[7]all!$A$2:$I$247,8,FALSE)</f>
        <v>73.040000000000006</v>
      </c>
      <c r="AL98" s="12"/>
    </row>
    <row r="99" spans="1:38" ht="21.4" x14ac:dyDescent="1.1000000000000001">
      <c r="A99" s="10" t="s">
        <v>193</v>
      </c>
      <c r="B99" s="11" t="s">
        <v>194</v>
      </c>
      <c r="C99" s="10" t="str">
        <f>VLOOKUP(B99,'[1]who-regions'!$B$1:$D$206,3,FALSE)</f>
        <v>AMR</v>
      </c>
      <c r="D99" s="12" t="str">
        <f>VLOOKUP(B99,'[2]Metadata - Countries'!$A$1:$B$266,2,FALSE)</f>
        <v>Latin America &amp; Caribbean</v>
      </c>
      <c r="E99" s="12" t="str">
        <f>VLOOKUP(B99,'[2]Metadata - Countries'!$A$1:$C$266,3,FALSE)</f>
        <v>Upper middle income</v>
      </c>
      <c r="F99" s="12"/>
      <c r="G99" s="10">
        <v>86.552597631728005</v>
      </c>
      <c r="H99" s="12">
        <f>VLOOKUP(B99,[4]tas!$A$2:$H$247,5,FALSE)</f>
        <v>26.32</v>
      </c>
      <c r="I99" s="12">
        <f>VLOOKUP(B99,[4]tas!$A$2:$H$247,6,FALSE)</f>
        <v>26.28</v>
      </c>
      <c r="J99" s="12">
        <f>VLOOKUP(B99,[4]tas!$A$2:$H$247,7,FALSE)</f>
        <v>26.31</v>
      </c>
      <c r="K99" s="10">
        <v>17097760686.777462</v>
      </c>
      <c r="L99" s="10">
        <v>19423355367.237179</v>
      </c>
      <c r="M99" s="10">
        <v>19930288337.027954</v>
      </c>
      <c r="N99" s="10">
        <f>VLOOKUP(B99,[2]Data!$B$1:$G$267,4,FALSE)</f>
        <v>6626.4750238853849</v>
      </c>
      <c r="O99" s="10">
        <f>VLOOKUP(B99,[2]Data!$B$1:$G$267,5,FALSE)</f>
        <v>7542.4008427534518</v>
      </c>
      <c r="P99" s="10">
        <f>VLOOKUP(B99,[2]Data!$B$1:$G$267,6,FALSE)</f>
        <v>7753.8006955431983</v>
      </c>
      <c r="Q99" s="12">
        <f>VLOOKUP(B99,[5]Sheet1!$B$421:$K$628,10,FALSE)</f>
        <v>0</v>
      </c>
      <c r="R99" s="12">
        <f>VLOOKUP(B99,[5]Sheet1!$B$213:$K$420,10,FALSE)</f>
        <v>0</v>
      </c>
      <c r="S99" s="12">
        <f>VLOOKUP(B99,[5]Sheet1!$B$2:$K$207,10,FALSE)</f>
        <v>0</v>
      </c>
      <c r="T99" s="12">
        <f>VLOOKUP(B99,[6]Sheet1!$B$421:$K$628,10,FALSE)</f>
        <v>0</v>
      </c>
      <c r="U99" s="12">
        <f>VLOOKUP(B99,[6]Sheet1!$B$213:$K$420,10,FALSE)</f>
        <v>0</v>
      </c>
      <c r="V99" s="12">
        <f>VLOOKUP(B99,[6]Sheet1!$B$2:$K$212,10,FALSE)</f>
        <v>0</v>
      </c>
      <c r="W99" s="13">
        <v>66.409576416015597</v>
      </c>
      <c r="X99" s="13">
        <v>0</v>
      </c>
      <c r="Y99" s="13">
        <v>0</v>
      </c>
      <c r="Z99" s="10">
        <v>17.413637041590999</v>
      </c>
      <c r="AA99" s="10">
        <v>19.5798451927764</v>
      </c>
      <c r="AB99" s="10">
        <v>19.134117852542399</v>
      </c>
      <c r="AC99" s="10">
        <v>18.702387137108499</v>
      </c>
      <c r="AD99" s="10">
        <v>7.5371132989379896</v>
      </c>
      <c r="AE99" s="10">
        <v>7.8621769386848204</v>
      </c>
      <c r="AF99" s="10">
        <v>8.2096031417577304</v>
      </c>
      <c r="AG99" s="10">
        <v>262.1554939981533</v>
      </c>
      <c r="AH99" s="10">
        <v>262.21477377654662</v>
      </c>
      <c r="AI99" s="12">
        <f>VLOOKUP(B99,[7]all!$A$2:$I$247,6,FALSE)</f>
        <v>77.819999999999993</v>
      </c>
      <c r="AJ99" s="12">
        <f>VLOOKUP(B99,[7]all!$A$2:$I$247,7,FALSE)</f>
        <v>77.73</v>
      </c>
      <c r="AK99" s="12">
        <f>VLOOKUP(B99,[7]all!$A$2:$I$247,8,FALSE)</f>
        <v>77.88</v>
      </c>
      <c r="AL99" s="12"/>
    </row>
    <row r="100" spans="1:38" ht="21.4" x14ac:dyDescent="1.1000000000000001">
      <c r="A100" s="10" t="s">
        <v>195</v>
      </c>
      <c r="B100" s="11" t="s">
        <v>196</v>
      </c>
      <c r="C100" s="10" t="str">
        <f>VLOOKUP(B100,'[1]who-regions'!$B$1:$D$206,3,FALSE)</f>
        <v>WPR</v>
      </c>
      <c r="D100" s="12" t="str">
        <f>VLOOKUP(B100,'[2]Metadata - Countries'!$A$1:$B$266,2,FALSE)</f>
        <v>East Asia &amp; Pacific</v>
      </c>
      <c r="E100" s="12" t="str">
        <f>VLOOKUP(B100,'[2]Metadata - Countries'!$A$1:$C$266,3,FALSE)</f>
        <v>High income</v>
      </c>
      <c r="F100" s="12"/>
      <c r="G100" s="10">
        <v>99.9376889486133</v>
      </c>
      <c r="H100" s="12">
        <f>VLOOKUP(B100,[4]tas!$A$2:$H$247,5,FALSE)</f>
        <v>12.85</v>
      </c>
      <c r="I100" s="12">
        <f>VLOOKUP(B100,[4]tas!$A$2:$H$247,6,FALSE)</f>
        <v>12.99</v>
      </c>
      <c r="J100" s="12">
        <f>VLOOKUP(B100,[4]tas!$A$2:$H$247,7,FALSE)</f>
        <v>13.05</v>
      </c>
      <c r="K100" s="10">
        <v>4262463317796.5278</v>
      </c>
      <c r="L100" s="10">
        <v>4213167237905.8257</v>
      </c>
      <c r="M100" s="10">
        <v>4026210821146.8076</v>
      </c>
      <c r="N100" s="10">
        <f>VLOOKUP(B100,[2]Data!$B$1:$G$267,4,FALSE)</f>
        <v>34065.64389625263</v>
      </c>
      <c r="O100" s="10">
        <f>VLOOKUP(B100,[2]Data!$B$1:$G$267,5,FALSE)</f>
        <v>33836.175627161712</v>
      </c>
      <c r="P100" s="10">
        <f>VLOOKUP(B100,[2]Data!$B$1:$G$267,6,FALSE)</f>
        <v>32487.07780475674</v>
      </c>
      <c r="Q100" s="12">
        <f>VLOOKUP(B100,[5]Sheet1!$B$421:$K$628,10,FALSE)</f>
        <v>0</v>
      </c>
      <c r="R100" s="12">
        <f>VLOOKUP(B100,[5]Sheet1!$B$213:$K$420,10,FALSE)</f>
        <v>0</v>
      </c>
      <c r="S100" s="12">
        <f>VLOOKUP(B100,[5]Sheet1!$B$2:$K$207,10,FALSE)</f>
        <v>0</v>
      </c>
      <c r="T100" s="12">
        <f>VLOOKUP(B100,[6]Sheet1!$B$421:$K$628,10,FALSE)</f>
        <v>0</v>
      </c>
      <c r="U100" s="12">
        <f>VLOOKUP(B100,[6]Sheet1!$B$213:$K$420,10,FALSE)</f>
        <v>0</v>
      </c>
      <c r="V100" s="12">
        <f>VLOOKUP(B100,[6]Sheet1!$B$2:$K$212,10,FALSE)</f>
        <v>0</v>
      </c>
      <c r="W100" s="13">
        <v>0</v>
      </c>
      <c r="X100" s="13">
        <v>0</v>
      </c>
      <c r="Y100" s="13">
        <v>0</v>
      </c>
      <c r="Z100" s="10">
        <v>12.835201662985</v>
      </c>
      <c r="AA100" s="10">
        <v>11.858936178747401</v>
      </c>
      <c r="AB100" s="10">
        <v>11.649290616277501</v>
      </c>
      <c r="AC100" s="10">
        <v>11.436101598505401</v>
      </c>
      <c r="AD100" s="10">
        <v>29.402647305694199</v>
      </c>
      <c r="AE100" s="10">
        <v>29.5618100807812</v>
      </c>
      <c r="AF100" s="10">
        <v>29.780770397391699</v>
      </c>
      <c r="AG100" s="10">
        <v>343.27843347050754</v>
      </c>
      <c r="AH100" s="10">
        <v>341.54455749931964</v>
      </c>
      <c r="AI100" s="12">
        <f>VLOOKUP(B100,[7]all!$A$2:$I$247,6,FALSE)</f>
        <v>73.92</v>
      </c>
      <c r="AJ100" s="12">
        <f>VLOOKUP(B100,[7]all!$A$2:$I$247,7,FALSE)</f>
        <v>73.97</v>
      </c>
      <c r="AK100" s="12">
        <f>VLOOKUP(B100,[7]all!$A$2:$I$247,8,FALSE)</f>
        <v>74.03</v>
      </c>
      <c r="AL100" s="15">
        <v>417854</v>
      </c>
    </row>
    <row r="101" spans="1:38" ht="21.4" x14ac:dyDescent="1.1000000000000001">
      <c r="A101" s="10" t="s">
        <v>197</v>
      </c>
      <c r="B101" s="11" t="s">
        <v>198</v>
      </c>
      <c r="C101" s="10" t="str">
        <f>VLOOKUP(B101,'[1]who-regions'!$B$1:$D$206,3,FALSE)</f>
        <v>EMR</v>
      </c>
      <c r="D101" s="12" t="str">
        <f>VLOOKUP(B101,'[2]Metadata - Countries'!$A$1:$B$266,2,FALSE)</f>
        <v>Middle East &amp; North Africa</v>
      </c>
      <c r="E101" s="12" t="str">
        <f>VLOOKUP(B101,'[2]Metadata - Countries'!$A$1:$C$266,3,FALSE)</f>
        <v>Lower middle income</v>
      </c>
      <c r="F101" s="12"/>
      <c r="G101" s="10">
        <v>97.144885793103597</v>
      </c>
      <c r="H101" s="12">
        <f>VLOOKUP(B101,[4]tas!$A$2:$H$247,5,FALSE)</f>
        <v>20.010000000000002</v>
      </c>
      <c r="I101" s="12">
        <f>VLOOKUP(B101,[4]tas!$A$2:$H$247,6,FALSE)</f>
        <v>20.03</v>
      </c>
      <c r="J101" s="12">
        <f>VLOOKUP(B101,[4]tas!$A$2:$H$247,7,FALSE)</f>
        <v>20.09</v>
      </c>
      <c r="K101" s="10">
        <v>48764963380.281693</v>
      </c>
      <c r="L101" s="10">
        <v>51088476338.028175</v>
      </c>
      <c r="M101" s="10">
        <v>53352289577.46479</v>
      </c>
      <c r="N101" s="10">
        <f>VLOOKUP(B101,[2]Data!$B$1:$G$267,4,FALSE)</f>
        <v>4332.2515989793146</v>
      </c>
      <c r="O101" s="10">
        <f>VLOOKUP(B101,[2]Data!$B$1:$G$267,5,FALSE)</f>
        <v>4466.0831420857512</v>
      </c>
      <c r="P101" s="10">
        <f>VLOOKUP(B101,[2]Data!$B$1:$G$267,6,FALSE)</f>
        <v>4618.0959249856742</v>
      </c>
      <c r="Q101" s="12">
        <f>VLOOKUP(B101,[5]Sheet1!$B$421:$K$628,10,FALSE)</f>
        <v>0</v>
      </c>
      <c r="R101" s="12">
        <f>VLOOKUP(B101,[5]Sheet1!$B$213:$K$420,10,FALSE)</f>
        <v>0</v>
      </c>
      <c r="S101" s="12">
        <f>VLOOKUP(B101,[5]Sheet1!$B$2:$K$207,10,FALSE)</f>
        <v>0</v>
      </c>
      <c r="T101" s="12">
        <f>VLOOKUP(B101,[6]Sheet1!$B$421:$K$628,10,FALSE)</f>
        <v>0</v>
      </c>
      <c r="U101" s="12">
        <f>VLOOKUP(B101,[6]Sheet1!$B$213:$K$420,10,FALSE)</f>
        <v>0</v>
      </c>
      <c r="V101" s="12">
        <f>VLOOKUP(B101,[6]Sheet1!$B$2:$K$212,10,FALSE)</f>
        <v>0.38</v>
      </c>
      <c r="W101" s="13">
        <v>95.862388610839801</v>
      </c>
      <c r="X101" s="13">
        <v>95.189277648925795</v>
      </c>
      <c r="Y101" s="13">
        <v>0</v>
      </c>
      <c r="Z101" s="10">
        <v>28.773763917417899</v>
      </c>
      <c r="AA101" s="10">
        <v>31.853074512692402</v>
      </c>
      <c r="AB101" s="10">
        <v>31.226228971073901</v>
      </c>
      <c r="AC101" s="10">
        <v>30.6684370194919</v>
      </c>
      <c r="AD101" s="10">
        <v>4.1420805403142902</v>
      </c>
      <c r="AE101" s="10">
        <v>4.3223032772314296</v>
      </c>
      <c r="AF101" s="10">
        <v>4.5231637559340196</v>
      </c>
      <c r="AG101" s="10">
        <v>126.76828389305584</v>
      </c>
      <c r="AH101" s="10">
        <v>128.82867085613893</v>
      </c>
      <c r="AI101" s="12">
        <f>VLOOKUP(B101,[7]all!$A$2:$I$247,6,FALSE)</f>
        <v>43.23</v>
      </c>
      <c r="AJ101" s="12">
        <f>VLOOKUP(B101,[7]all!$A$2:$I$247,7,FALSE)</f>
        <v>43.02</v>
      </c>
      <c r="AK101" s="12">
        <f>VLOOKUP(B101,[7]all!$A$2:$I$247,8,FALSE)</f>
        <v>43.25</v>
      </c>
      <c r="AL101" s="12"/>
    </row>
    <row r="102" spans="1:38" ht="21.4" x14ac:dyDescent="1.1000000000000001">
      <c r="A102" s="10" t="s">
        <v>199</v>
      </c>
      <c r="B102" s="11" t="s">
        <v>200</v>
      </c>
      <c r="C102" s="10" t="str">
        <f>VLOOKUP(B102,'[1]who-regions'!$B$1:$D$206,3,FALSE)</f>
        <v>EUR</v>
      </c>
      <c r="D102" s="12" t="str">
        <f>VLOOKUP(B102,'[2]Metadata - Countries'!$A$1:$B$266,2,FALSE)</f>
        <v>Europe &amp; Central Asia</v>
      </c>
      <c r="E102" s="12" t="str">
        <f>VLOOKUP(B102,'[2]Metadata - Countries'!$A$1:$C$266,3,FALSE)</f>
        <v>Upper middle income</v>
      </c>
      <c r="F102" s="12"/>
      <c r="G102" s="10">
        <v>97.860845796832706</v>
      </c>
      <c r="H102" s="12">
        <f>VLOOKUP(B102,[4]tas!$A$2:$H$247,5,FALSE)</f>
        <v>7.81</v>
      </c>
      <c r="I102" s="12">
        <f>VLOOKUP(B102,[4]tas!$A$2:$H$247,6,FALSE)</f>
        <v>7.65</v>
      </c>
      <c r="J102" s="12">
        <f>VLOOKUP(B102,[4]tas!$A$2:$H$247,7,FALSE)</f>
        <v>7.66</v>
      </c>
      <c r="K102" s="10">
        <v>225496328925.49411</v>
      </c>
      <c r="L102" s="10">
        <v>261840101059.92349</v>
      </c>
      <c r="M102" s="10">
        <v>288406138230.66876</v>
      </c>
      <c r="N102" s="10">
        <f>VLOOKUP(B102,[2]Data!$B$1:$G$267,4,FALSE)</f>
        <v>11255.339643788113</v>
      </c>
      <c r="O102" s="10">
        <f>VLOOKUP(B102,[2]Data!$B$1:$G$267,5,FALSE)</f>
        <v>12879.427525797384</v>
      </c>
      <c r="P102" s="10">
        <f>VLOOKUP(B102,[2]Data!$B$1:$G$267,6,FALSE)</f>
        <v>14154.632495807635</v>
      </c>
      <c r="Q102" s="12">
        <f>VLOOKUP(B102,[5]Sheet1!$B$421:$K$628,10,FALSE)</f>
        <v>13.91</v>
      </c>
      <c r="R102" s="12">
        <f>VLOOKUP(B102,[5]Sheet1!$B$213:$K$420,10,FALSE)</f>
        <v>12.09</v>
      </c>
      <c r="S102" s="12">
        <f>VLOOKUP(B102,[5]Sheet1!$B$2:$K$207,10,FALSE)</f>
        <v>11.43</v>
      </c>
      <c r="T102" s="12">
        <f>VLOOKUP(B102,[6]Sheet1!$B$421:$K$628,10,FALSE)</f>
        <v>28.5</v>
      </c>
      <c r="U102" s="12">
        <f>VLOOKUP(B102,[6]Sheet1!$B$213:$K$420,10,FALSE)</f>
        <v>30.03</v>
      </c>
      <c r="V102" s="12">
        <f>VLOOKUP(B102,[6]Sheet1!$B$2:$K$212,10,FALSE)</f>
        <v>24.77</v>
      </c>
      <c r="W102" s="13">
        <v>0</v>
      </c>
      <c r="X102" s="13">
        <v>0</v>
      </c>
      <c r="Y102" s="13">
        <v>0</v>
      </c>
      <c r="Z102" s="10">
        <v>20.027872425916499</v>
      </c>
      <c r="AA102" s="10">
        <v>29.626525279330401</v>
      </c>
      <c r="AB102" s="10">
        <v>29.5390864699954</v>
      </c>
      <c r="AC102" s="10">
        <v>29.373279810471502</v>
      </c>
      <c r="AD102" s="10">
        <v>7.9854166357826104</v>
      </c>
      <c r="AE102" s="10">
        <v>8.3081670413491207</v>
      </c>
      <c r="AF102" s="10">
        <v>8.6532347029421395</v>
      </c>
      <c r="AG102" s="10">
        <v>7.4210501166796314</v>
      </c>
      <c r="AH102" s="10">
        <v>7.5305048709115825</v>
      </c>
      <c r="AI102" s="12">
        <f>VLOOKUP(B102,[7]all!$A$2:$I$247,6,FALSE)</f>
        <v>61.23</v>
      </c>
      <c r="AJ102" s="12">
        <f>VLOOKUP(B102,[7]all!$A$2:$I$247,7,FALSE)</f>
        <v>61.36</v>
      </c>
      <c r="AK102" s="12">
        <f>VLOOKUP(B102,[7]all!$A$2:$I$247,8,FALSE)</f>
        <v>61.54</v>
      </c>
      <c r="AL102" s="15">
        <v>8868</v>
      </c>
    </row>
    <row r="103" spans="1:38" ht="21.4" x14ac:dyDescent="1.1000000000000001">
      <c r="A103" s="10" t="s">
        <v>201</v>
      </c>
      <c r="B103" s="11" t="s">
        <v>202</v>
      </c>
      <c r="C103" s="10" t="str">
        <f>VLOOKUP(B103,'[1]who-regions'!$B$1:$D$206,3,FALSE)</f>
        <v>AFR</v>
      </c>
      <c r="D103" s="12" t="str">
        <f>VLOOKUP(B103,'[2]Metadata - Countries'!$A$1:$B$266,2,FALSE)</f>
        <v>Sub-Saharan Africa</v>
      </c>
      <c r="E103" s="12" t="str">
        <f>VLOOKUP(B103,'[2]Metadata - Countries'!$A$1:$C$266,3,FALSE)</f>
        <v>Lower middle income</v>
      </c>
      <c r="F103" s="12"/>
      <c r="G103" s="10">
        <v>36.528720029266999</v>
      </c>
      <c r="H103" s="12">
        <f>VLOOKUP(B103,[4]tas!$A$2:$H$247,5,FALSE)</f>
        <v>25.87</v>
      </c>
      <c r="I103" s="12">
        <f>VLOOKUP(B103,[4]tas!$A$2:$H$247,6,FALSE)</f>
        <v>25.94</v>
      </c>
      <c r="J103" s="12">
        <f>VLOOKUP(B103,[4]tas!$A$2:$H$247,7,FALSE)</f>
        <v>26</v>
      </c>
      <c r="K103" s="10">
        <v>114448978152.63741</v>
      </c>
      <c r="L103" s="10">
        <v>108038588970.59505</v>
      </c>
      <c r="M103" s="10">
        <v>124498691699.12495</v>
      </c>
      <c r="N103" s="10">
        <f>VLOOKUP(B103,[2]Data!$B$1:$G$267,4,FALSE)</f>
        <v>2109.562885131375</v>
      </c>
      <c r="O103" s="10">
        <f>VLOOKUP(B103,[2]Data!$B$1:$G$267,5,FALSE)</f>
        <v>1942.5880275619108</v>
      </c>
      <c r="P103" s="10">
        <f>VLOOKUP(B103,[2]Data!$B$1:$G$267,6,FALSE)</f>
        <v>2132.4345209764665</v>
      </c>
      <c r="Q103" s="12">
        <f>VLOOKUP(B103,[5]Sheet1!$B$421:$K$628,10,FALSE)</f>
        <v>0</v>
      </c>
      <c r="R103" s="12">
        <f>VLOOKUP(B103,[5]Sheet1!$B$213:$K$420,10,FALSE)</f>
        <v>0</v>
      </c>
      <c r="S103" s="12">
        <f>VLOOKUP(B103,[5]Sheet1!$B$2:$K$207,10,FALSE)</f>
        <v>0</v>
      </c>
      <c r="T103" s="12">
        <f>VLOOKUP(B103,[6]Sheet1!$B$421:$K$628,10,FALSE)</f>
        <v>0</v>
      </c>
      <c r="U103" s="12">
        <f>VLOOKUP(B103,[6]Sheet1!$B$213:$K$420,10,FALSE)</f>
        <v>0</v>
      </c>
      <c r="V103" s="12">
        <f>VLOOKUP(B103,[6]Sheet1!$B$2:$K$212,10,FALSE)</f>
        <v>0</v>
      </c>
      <c r="W103" s="13">
        <v>0</v>
      </c>
      <c r="X103" s="13">
        <v>0</v>
      </c>
      <c r="Y103" s="13">
        <v>0</v>
      </c>
      <c r="Z103" s="10">
        <v>24.391790651751801</v>
      </c>
      <c r="AA103" s="10">
        <v>38.0712456350252</v>
      </c>
      <c r="AB103" s="10">
        <v>37.447130529683797</v>
      </c>
      <c r="AC103" s="10">
        <v>36.836057703847104</v>
      </c>
      <c r="AD103" s="10">
        <v>2.8639198769611598</v>
      </c>
      <c r="AE103" s="10">
        <v>2.91330784287267</v>
      </c>
      <c r="AF103" s="10">
        <v>2.9661689901720401</v>
      </c>
      <c r="AG103" s="10">
        <v>93.397614948311713</v>
      </c>
      <c r="AH103" s="10">
        <v>95.268137123170618</v>
      </c>
      <c r="AI103" s="12">
        <f>VLOOKUP(B103,[7]all!$A$2:$I$247,6,FALSE)</f>
        <v>60.2</v>
      </c>
      <c r="AJ103" s="12">
        <f>VLOOKUP(B103,[7]all!$A$2:$I$247,7,FALSE)</f>
        <v>60</v>
      </c>
      <c r="AK103" s="12">
        <f>VLOOKUP(B103,[7]all!$A$2:$I$247,8,FALSE)</f>
        <v>59.75</v>
      </c>
      <c r="AL103" s="12"/>
    </row>
    <row r="104" spans="1:38" ht="21.4" x14ac:dyDescent="1.1000000000000001">
      <c r="A104" s="10" t="s">
        <v>203</v>
      </c>
      <c r="B104" s="11" t="s">
        <v>204</v>
      </c>
      <c r="C104" s="10" t="str">
        <f>VLOOKUP(B104,'[1]who-regions'!$B$1:$D$206,3,FALSE)</f>
        <v>WPR</v>
      </c>
      <c r="D104" s="12" t="str">
        <f>VLOOKUP(B104,'[2]Metadata - Countries'!$A$1:$B$266,2,FALSE)</f>
        <v>East Asia &amp; Pacific</v>
      </c>
      <c r="E104" s="12" t="str">
        <f>VLOOKUP(B104,'[2]Metadata - Countries'!$A$1:$C$266,3,FALSE)</f>
        <v>Lower middle income</v>
      </c>
      <c r="F104" s="12"/>
      <c r="G104" s="10">
        <v>45.182053881510299</v>
      </c>
      <c r="H104" s="12">
        <f>VLOOKUP(B104,[4]tas!$A$2:$H$247,5,FALSE)</f>
        <v>27.15</v>
      </c>
      <c r="I104" s="12">
        <f>VLOOKUP(B104,[4]tas!$A$2:$H$247,6,FALSE)</f>
        <v>27.2</v>
      </c>
      <c r="J104" s="12">
        <f>VLOOKUP(B104,[4]tas!$A$2:$H$247,7,FALSE)</f>
        <v>27.19</v>
      </c>
      <c r="K104" s="10">
        <v>270040456.96104503</v>
      </c>
      <c r="L104" s="10">
        <v>288610732.19077516</v>
      </c>
      <c r="M104" s="10">
        <v>307862546.78962725</v>
      </c>
      <c r="N104" s="10">
        <f>VLOOKUP(B104,[2]Data!$B$1:$G$267,4,FALSE)</f>
        <v>2069.7671726924987</v>
      </c>
      <c r="O104" s="10">
        <f>VLOOKUP(B104,[2]Data!$B$1:$G$267,5,FALSE)</f>
        <v>2177.7012581226231</v>
      </c>
      <c r="P104" s="10">
        <f>VLOOKUP(B104,[2]Data!$B$1:$G$267,6,FALSE)</f>
        <v>2288.6347142368409</v>
      </c>
      <c r="Q104" s="12">
        <f>VLOOKUP(B104,[5]Sheet1!$B$421:$K$628,10,FALSE)</f>
        <v>0</v>
      </c>
      <c r="R104" s="12">
        <f>VLOOKUP(B104,[5]Sheet1!$B$213:$K$420,10,FALSE)</f>
        <v>0</v>
      </c>
      <c r="S104" s="12">
        <f>VLOOKUP(B104,[5]Sheet1!$B$2:$K$207,10,FALSE)</f>
        <v>0</v>
      </c>
      <c r="T104" s="12">
        <f>VLOOKUP(B104,[6]Sheet1!$B$421:$K$628,10,FALSE)</f>
        <v>0</v>
      </c>
      <c r="U104" s="12">
        <f>VLOOKUP(B104,[6]Sheet1!$B$213:$K$420,10,FALSE)</f>
        <v>0</v>
      </c>
      <c r="V104" s="12">
        <f>VLOOKUP(B104,[6]Sheet1!$B$2:$K$212,10,FALSE)</f>
        <v>0</v>
      </c>
      <c r="W104" s="13">
        <v>82.126403808593807</v>
      </c>
      <c r="X104" s="13">
        <v>87.872726440429702</v>
      </c>
      <c r="Y104" s="13">
        <v>0</v>
      </c>
      <c r="Z104" s="10">
        <v>11.256827254511199</v>
      </c>
      <c r="AA104" s="10">
        <v>35.079731889306601</v>
      </c>
      <c r="AB104" s="10">
        <v>34.9289408853056</v>
      </c>
      <c r="AC104" s="10">
        <v>34.693869965357798</v>
      </c>
      <c r="AD104" s="10">
        <v>4.0155286525099898</v>
      </c>
      <c r="AE104" s="10">
        <v>4.1182972976031902</v>
      </c>
      <c r="AF104" s="10">
        <v>4.2366077402280702</v>
      </c>
      <c r="AG104" s="10">
        <v>161.07283950617284</v>
      </c>
      <c r="AH104" s="10">
        <v>163.61728395061729</v>
      </c>
      <c r="AI104" s="12">
        <f>VLOOKUP(B104,[7]all!$A$2:$I$247,6,FALSE)</f>
        <v>81.680000000000007</v>
      </c>
      <c r="AJ104" s="12">
        <f>VLOOKUP(B104,[7]all!$A$2:$I$247,7,FALSE)</f>
        <v>81.84</v>
      </c>
      <c r="AK104" s="12">
        <f>VLOOKUP(B104,[7]all!$A$2:$I$247,8,FALSE)</f>
        <v>81.75</v>
      </c>
      <c r="AL104" s="12"/>
    </row>
    <row r="105" spans="1:38" ht="21.4" x14ac:dyDescent="1.1000000000000001">
      <c r="A105" s="10" t="s">
        <v>205</v>
      </c>
      <c r="B105" s="11" t="s">
        <v>206</v>
      </c>
      <c r="C105" s="10" t="str">
        <f>VLOOKUP(B105,'[1]who-regions'!$B$1:$D$206,3,FALSE)</f>
        <v>SEAR</v>
      </c>
      <c r="D105" s="12" t="str">
        <f>VLOOKUP(B105,'[2]Metadata - Countries'!$A$1:$B$266,2,FALSE)</f>
        <v>East Asia &amp; Pacific</v>
      </c>
      <c r="E105" s="12" t="str">
        <f>VLOOKUP(B105,'[2]Metadata - Countries'!$A$1:$C$266,3,FALSE)</f>
        <v>Low income</v>
      </c>
      <c r="F105" s="12"/>
      <c r="G105" s="10">
        <v>84.765038840301798</v>
      </c>
      <c r="H105" s="12">
        <f>VLOOKUP(B105,[4]tas!$A$2:$H$247,5,FALSE)</f>
        <v>8.18</v>
      </c>
      <c r="I105" s="12">
        <f>VLOOKUP(B105,[4]tas!$A$2:$H$247,6,FALSE)</f>
        <v>8.35</v>
      </c>
      <c r="J105" s="12">
        <f>VLOOKUP(B105,[4]tas!$A$2:$H$247,7,FALSE)</f>
        <v>8.2200000000000006</v>
      </c>
      <c r="K105" s="10">
        <v>0</v>
      </c>
      <c r="L105" s="10">
        <v>0</v>
      </c>
      <c r="M105" s="10">
        <v>0</v>
      </c>
      <c r="N105" s="10">
        <f>VLOOKUP(B105,[2]Data!$B$1:$G$267,4,FALSE)</f>
        <v>0</v>
      </c>
      <c r="O105" s="10">
        <f>VLOOKUP(B105,[2]Data!$B$1:$G$267,5,FALSE)</f>
        <v>0</v>
      </c>
      <c r="P105" s="10">
        <f>VLOOKUP(B105,[2]Data!$B$1:$G$267,6,FALSE)</f>
        <v>0</v>
      </c>
      <c r="Q105" s="12">
        <f>VLOOKUP(B105,[5]Sheet1!$B$421:$K$628,10,FALSE)</f>
        <v>0</v>
      </c>
      <c r="R105" s="12">
        <f>VLOOKUP(B105,[5]Sheet1!$B$213:$K$420,10,FALSE)</f>
        <v>0</v>
      </c>
      <c r="S105" s="12">
        <f>VLOOKUP(B105,[5]Sheet1!$B$2:$K$207,10,FALSE)</f>
        <v>0</v>
      </c>
      <c r="T105" s="12">
        <f>VLOOKUP(B105,[6]Sheet1!$B$421:$K$628,10,FALSE)</f>
        <v>96.4</v>
      </c>
      <c r="U105" s="12">
        <f>VLOOKUP(B105,[6]Sheet1!$B$213:$K$420,10,FALSE)</f>
        <v>0</v>
      </c>
      <c r="V105" s="12">
        <f>VLOOKUP(B105,[6]Sheet1!$B$2:$K$212,10,FALSE)</f>
        <v>0</v>
      </c>
      <c r="W105" s="13">
        <v>0</v>
      </c>
      <c r="X105" s="13">
        <v>0</v>
      </c>
      <c r="Y105" s="13">
        <v>0</v>
      </c>
      <c r="Z105" s="10">
        <v>29.9291062464217</v>
      </c>
      <c r="AA105" s="10">
        <v>19.0238196928122</v>
      </c>
      <c r="AB105" s="10">
        <v>18.980618440223999</v>
      </c>
      <c r="AC105" s="10">
        <v>18.9471019146775</v>
      </c>
      <c r="AD105" s="10">
        <v>11.593053170391601</v>
      </c>
      <c r="AE105" s="10">
        <v>12.028597780530401</v>
      </c>
      <c r="AF105" s="10">
        <v>12.399869609303</v>
      </c>
      <c r="AG105" s="10">
        <v>218.65995349223488</v>
      </c>
      <c r="AH105" s="10">
        <v>219.402076239515</v>
      </c>
      <c r="AI105" s="12">
        <f>VLOOKUP(B105,[7]all!$A$2:$I$247,6,FALSE)</f>
        <v>70.25</v>
      </c>
      <c r="AJ105" s="12">
        <f>VLOOKUP(B105,[7]all!$A$2:$I$247,7,FALSE)</f>
        <v>70.31</v>
      </c>
      <c r="AK105" s="12">
        <f>VLOOKUP(B105,[7]all!$A$2:$I$247,8,FALSE)</f>
        <v>70.650000000000006</v>
      </c>
      <c r="AL105" s="12"/>
    </row>
    <row r="106" spans="1:38" ht="21.4" x14ac:dyDescent="1.1000000000000001">
      <c r="A106" s="10" t="s">
        <v>207</v>
      </c>
      <c r="B106" s="11" t="s">
        <v>208</v>
      </c>
      <c r="C106" s="10" t="str">
        <f>VLOOKUP(B106,'[1]who-regions'!$B$1:$D$206,3,FALSE)</f>
        <v>WPR</v>
      </c>
      <c r="D106" s="12" t="str">
        <f>VLOOKUP(B106,'[2]Metadata - Countries'!$A$1:$B$266,2,FALSE)</f>
        <v>East Asia &amp; Pacific</v>
      </c>
      <c r="E106" s="12" t="str">
        <f>VLOOKUP(B106,'[2]Metadata - Countries'!$A$1:$C$266,3,FALSE)</f>
        <v>High income</v>
      </c>
      <c r="F106" s="12"/>
      <c r="G106" s="10">
        <v>99.816782255034298</v>
      </c>
      <c r="H106" s="12">
        <f>VLOOKUP(B106,[4]tas!$A$2:$H$247,5,FALSE)</f>
        <v>13.36</v>
      </c>
      <c r="I106" s="12">
        <f>VLOOKUP(B106,[4]tas!$A$2:$H$247,6,FALSE)</f>
        <v>13.5</v>
      </c>
      <c r="J106" s="12">
        <f>VLOOKUP(B106,[4]tas!$A$2:$H$247,7,FALSE)</f>
        <v>13.48</v>
      </c>
      <c r="K106" s="10">
        <v>1673916511799.7087</v>
      </c>
      <c r="L106" s="10">
        <v>1712792854202.3687</v>
      </c>
      <c r="M106" s="10">
        <v>0</v>
      </c>
      <c r="N106" s="10">
        <f>VLOOKUP(B106,[2]Data!$B$1:$G$267,4,FALSE)</f>
        <v>34822.404840497111</v>
      </c>
      <c r="O106" s="10">
        <f>VLOOKUP(B106,[2]Data!$B$1:$G$267,5,FALSE)</f>
        <v>35674.095995632029</v>
      </c>
      <c r="P106" s="10">
        <f>VLOOKUP(B106,[2]Data!$B$1:$G$267,6,FALSE)</f>
        <v>36238.639908314988</v>
      </c>
      <c r="Q106" s="12">
        <f>VLOOKUP(B106,[5]Sheet1!$B$421:$K$628,10,FALSE)</f>
        <v>0</v>
      </c>
      <c r="R106" s="12">
        <f>VLOOKUP(B106,[5]Sheet1!$B$213:$K$420,10,FALSE)</f>
        <v>0</v>
      </c>
      <c r="S106" s="12">
        <f>VLOOKUP(B106,[5]Sheet1!$B$2:$K$207,10,FALSE)</f>
        <v>0</v>
      </c>
      <c r="T106" s="12">
        <f>VLOOKUP(B106,[6]Sheet1!$B$421:$K$628,10,FALSE)</f>
        <v>80.459999999999994</v>
      </c>
      <c r="U106" s="12">
        <f>VLOOKUP(B106,[6]Sheet1!$B$213:$K$420,10,FALSE)</f>
        <v>81.94</v>
      </c>
      <c r="V106" s="12">
        <f>VLOOKUP(B106,[6]Sheet1!$B$2:$K$212,10,FALSE)</f>
        <v>82.52</v>
      </c>
      <c r="W106" s="13">
        <v>98.630950927734403</v>
      </c>
      <c r="X106" s="13">
        <v>0</v>
      </c>
      <c r="Y106" s="13">
        <v>0</v>
      </c>
      <c r="Z106" s="10">
        <v>25.9439899531653</v>
      </c>
      <c r="AA106" s="10">
        <v>11.4142590399463</v>
      </c>
      <c r="AB106" s="10">
        <v>10.970817085997</v>
      </c>
      <c r="AC106" s="10">
        <v>10.568126821068001</v>
      </c>
      <c r="AD106" s="10">
        <v>17.484646336630501</v>
      </c>
      <c r="AE106" s="10">
        <v>18.335023583859702</v>
      </c>
      <c r="AF106" s="10">
        <v>19.2735131316057</v>
      </c>
      <c r="AG106" s="10">
        <v>529.43205942622956</v>
      </c>
      <c r="AH106" s="10">
        <v>529.84240778688525</v>
      </c>
      <c r="AI106" s="12">
        <f>VLOOKUP(B106,[7]all!$A$2:$I$247,6,FALSE)</f>
        <v>69.400000000000006</v>
      </c>
      <c r="AJ106" s="12">
        <f>VLOOKUP(B106,[7]all!$A$2:$I$247,7,FALSE)</f>
        <v>69.36</v>
      </c>
      <c r="AK106" s="12">
        <f>VLOOKUP(B106,[7]all!$A$2:$I$247,8,FALSE)</f>
        <v>69.569999999999993</v>
      </c>
      <c r="AL106" s="15">
        <v>283722</v>
      </c>
    </row>
    <row r="107" spans="1:38" ht="21.4" x14ac:dyDescent="1.1000000000000001">
      <c r="A107" s="10" t="s">
        <v>209</v>
      </c>
      <c r="B107" s="11" t="s">
        <v>210</v>
      </c>
      <c r="C107" s="10" t="s">
        <v>487</v>
      </c>
      <c r="D107" s="12" t="str">
        <f>VLOOKUP(B107,'[2]Metadata - Countries'!$A$1:$B$266,2,FALSE)</f>
        <v>Europe &amp; Central Asia</v>
      </c>
      <c r="E107" s="12" t="str">
        <f>VLOOKUP(B107,'[2]Metadata - Countries'!$A$1:$C$266,3,FALSE)</f>
        <v>Upper middle income</v>
      </c>
      <c r="F107" s="12"/>
      <c r="G107" s="10">
        <v>0</v>
      </c>
      <c r="H107" s="12" t="e">
        <f>VLOOKUP(B107,[4]tas!$A$2:$H$247,5,FALSE)</f>
        <v>#N/A</v>
      </c>
      <c r="I107" s="12" t="e">
        <f>VLOOKUP(B107,[4]tas!$A$2:$H$247,6,FALSE)</f>
        <v>#N/A</v>
      </c>
      <c r="J107" s="12" t="e">
        <f>VLOOKUP(B107,[4]tas!$A$2:$H$247,7,FALSE)</f>
        <v>#N/A</v>
      </c>
      <c r="K107" s="10">
        <v>9354903061.8897991</v>
      </c>
      <c r="L107" s="10">
        <v>10468220306.90703</v>
      </c>
      <c r="M107" s="10">
        <v>11148602232.663</v>
      </c>
      <c r="N107" s="10">
        <f>VLOOKUP(B107,[2]Data!$B$1:$G$267,4,FALSE)</f>
        <v>5290.9500650970576</v>
      </c>
      <c r="O107" s="10">
        <f>VLOOKUP(B107,[2]Data!$B$1:$G$267,5,FALSE)</f>
        <v>6221.2061884779905</v>
      </c>
      <c r="P107" s="10">
        <f>VLOOKUP(B107,[2]Data!$B$1:$G$267,6,FALSE)</f>
        <v>7023.0659851287764</v>
      </c>
      <c r="Q107" s="12">
        <f>VLOOKUP(B107,[5]Sheet1!$B$421:$K$628,10,FALSE)</f>
        <v>0</v>
      </c>
      <c r="R107" s="12">
        <f>VLOOKUP(B107,[5]Sheet1!$B$213:$K$420,10,FALSE)</f>
        <v>0</v>
      </c>
      <c r="S107" s="12">
        <f>VLOOKUP(B107,[5]Sheet1!$B$2:$K$207,10,FALSE)</f>
        <v>0</v>
      </c>
      <c r="T107" s="12">
        <f>VLOOKUP(B107,[6]Sheet1!$B$421:$K$628,10,FALSE)</f>
        <v>30.99</v>
      </c>
      <c r="U107" s="12">
        <f>VLOOKUP(B107,[6]Sheet1!$B$213:$K$420,10,FALSE)</f>
        <v>30.14</v>
      </c>
      <c r="V107" s="12">
        <f>VLOOKUP(B107,[6]Sheet1!$B$2:$K$212,10,FALSE)</f>
        <v>0</v>
      </c>
      <c r="W107" s="13">
        <v>0</v>
      </c>
      <c r="X107" s="13">
        <v>0</v>
      </c>
      <c r="Y107" s="13">
        <v>0</v>
      </c>
      <c r="Z107" s="10">
        <v>0</v>
      </c>
      <c r="AA107" s="10">
        <v>21.7480060490842</v>
      </c>
      <c r="AB107" s="10">
        <v>21.294294425894101</v>
      </c>
      <c r="AC107" s="10">
        <v>20.710830429905201</v>
      </c>
      <c r="AD107" s="10">
        <v>9.2392019306776803</v>
      </c>
      <c r="AE107" s="10">
        <v>9.64385638963536</v>
      </c>
      <c r="AF107" s="10">
        <v>10.0741041910268</v>
      </c>
      <c r="AG107" s="10">
        <v>0</v>
      </c>
      <c r="AH107" s="10">
        <v>0</v>
      </c>
      <c r="AI107" s="12" t="e">
        <f>VLOOKUP(B107,[7]all!$A$2:$I$247,6,FALSE)</f>
        <v>#N/A</v>
      </c>
      <c r="AJ107" s="12" t="e">
        <f>VLOOKUP(B107,[7]all!$A$2:$I$247,7,FALSE)</f>
        <v>#N/A</v>
      </c>
      <c r="AK107" s="12" t="e">
        <f>VLOOKUP(B107,[7]all!$A$2:$I$247,8,FALSE)</f>
        <v>#N/A</v>
      </c>
      <c r="AL107" s="12"/>
    </row>
    <row r="108" spans="1:38" ht="21.4" x14ac:dyDescent="1.1000000000000001">
      <c r="A108" s="10" t="s">
        <v>211</v>
      </c>
      <c r="B108" s="11" t="s">
        <v>212</v>
      </c>
      <c r="C108" s="10" t="str">
        <f>VLOOKUP(B108,'[1]who-regions'!$B$1:$D$206,3,FALSE)</f>
        <v>EMR</v>
      </c>
      <c r="D108" s="12" t="str">
        <f>VLOOKUP(B108,'[2]Metadata - Countries'!$A$1:$B$266,2,FALSE)</f>
        <v>Middle East &amp; North Africa</v>
      </c>
      <c r="E108" s="12" t="str">
        <f>VLOOKUP(B108,'[2]Metadata - Countries'!$A$1:$C$266,3,FALSE)</f>
        <v>High income</v>
      </c>
      <c r="F108" s="12"/>
      <c r="G108" s="10">
        <v>100</v>
      </c>
      <c r="H108" s="12">
        <f>VLOOKUP(B108,[4]tas!$A$2:$H$247,5,FALSE)</f>
        <v>26.84</v>
      </c>
      <c r="I108" s="12">
        <f>VLOOKUP(B108,[4]tas!$A$2:$H$247,6,FALSE)</f>
        <v>26.84</v>
      </c>
      <c r="J108" s="12">
        <f>VLOOKUP(B108,[4]tas!$A$2:$H$247,7,FALSE)</f>
        <v>26.86</v>
      </c>
      <c r="K108" s="10">
        <v>183502046669.15036</v>
      </c>
      <c r="L108" s="10">
        <v>165384407267.056</v>
      </c>
      <c r="M108" s="10">
        <v>160227273001.34827</v>
      </c>
      <c r="N108" s="10">
        <f>VLOOKUP(B108,[2]Data!$B$1:$G$267,4,FALSE)</f>
        <v>39981.769103583334</v>
      </c>
      <c r="O108" s="10">
        <f>VLOOKUP(B108,[2]Data!$B$1:$G$267,5,FALSE)</f>
        <v>34075.849012909021</v>
      </c>
      <c r="P108" s="10">
        <f>VLOOKUP(B108,[2]Data!$B$1:$G$267,6,FALSE)</f>
        <v>32717.718663125463</v>
      </c>
      <c r="Q108" s="12">
        <f>VLOOKUP(B108,[5]Sheet1!$B$421:$K$628,10,FALSE)</f>
        <v>0</v>
      </c>
      <c r="R108" s="12">
        <f>VLOOKUP(B108,[5]Sheet1!$B$213:$K$420,10,FALSE)</f>
        <v>0</v>
      </c>
      <c r="S108" s="12">
        <f>VLOOKUP(B108,[5]Sheet1!$B$2:$K$207,10,FALSE)</f>
        <v>0</v>
      </c>
      <c r="T108" s="12">
        <f>VLOOKUP(B108,[6]Sheet1!$B$421:$K$628,10,FALSE)</f>
        <v>0</v>
      </c>
      <c r="U108" s="12">
        <f>VLOOKUP(B108,[6]Sheet1!$B$213:$K$420,10,FALSE)</f>
        <v>0</v>
      </c>
      <c r="V108" s="12">
        <f>VLOOKUP(B108,[6]Sheet1!$B$2:$K$212,10,FALSE)</f>
        <v>0</v>
      </c>
      <c r="W108" s="13">
        <v>0</v>
      </c>
      <c r="X108" s="13">
        <v>0</v>
      </c>
      <c r="Y108" s="13">
        <v>0</v>
      </c>
      <c r="Z108" s="10">
        <v>53.7151434413218</v>
      </c>
      <c r="AA108" s="10">
        <v>19.215905487088399</v>
      </c>
      <c r="AB108" s="10">
        <v>18.602844538444199</v>
      </c>
      <c r="AC108" s="10">
        <v>18.2188090706114</v>
      </c>
      <c r="AD108" s="10">
        <v>2.74657831156504</v>
      </c>
      <c r="AE108" s="10">
        <v>2.9527578378978299</v>
      </c>
      <c r="AF108" s="10">
        <v>3.1048387301062998</v>
      </c>
      <c r="AG108" s="10">
        <v>257.55572390572388</v>
      </c>
      <c r="AH108" s="10">
        <v>272.35802469135803</v>
      </c>
      <c r="AI108" s="12">
        <f>VLOOKUP(B108,[7]all!$A$2:$I$247,6,FALSE)</f>
        <v>35.18</v>
      </c>
      <c r="AJ108" s="12">
        <f>VLOOKUP(B108,[7]all!$A$2:$I$247,7,FALSE)</f>
        <v>35.01</v>
      </c>
      <c r="AK108" s="12">
        <f>VLOOKUP(B108,[7]all!$A$2:$I$247,8,FALSE)</f>
        <v>35.47</v>
      </c>
      <c r="AL108" s="12"/>
    </row>
    <row r="109" spans="1:38" ht="21.4" x14ac:dyDescent="1.1000000000000001">
      <c r="A109" s="10" t="s">
        <v>213</v>
      </c>
      <c r="B109" s="11" t="s">
        <v>214</v>
      </c>
      <c r="C109" s="10" t="str">
        <f>VLOOKUP(B109,'[1]who-regions'!$B$1:$D$206,3,FALSE)</f>
        <v>EUR</v>
      </c>
      <c r="D109" s="12" t="str">
        <f>VLOOKUP(B109,'[2]Metadata - Countries'!$A$1:$B$266,2,FALSE)</f>
        <v>Europe &amp; Central Asia</v>
      </c>
      <c r="E109" s="12" t="str">
        <f>VLOOKUP(B109,'[2]Metadata - Countries'!$A$1:$C$266,3,FALSE)</f>
        <v>Lower middle income</v>
      </c>
      <c r="F109" s="12"/>
      <c r="G109" s="10">
        <v>97.8645711028921</v>
      </c>
      <c r="H109" s="12">
        <f>VLOOKUP(B109,[4]tas!$A$2:$H$247,5,FALSE)</f>
        <v>1.37</v>
      </c>
      <c r="I109" s="12">
        <f>VLOOKUP(B109,[4]tas!$A$2:$H$247,6,FALSE)</f>
        <v>1.36</v>
      </c>
      <c r="J109" s="12">
        <f>VLOOKUP(B109,[4]tas!$A$2:$H$247,7,FALSE)</f>
        <v>1.44</v>
      </c>
      <c r="K109" s="10">
        <v>12134931017.946526</v>
      </c>
      <c r="L109" s="10">
        <v>15180842369.489408</v>
      </c>
      <c r="M109" s="10">
        <v>17478259659.262497</v>
      </c>
      <c r="N109" s="10">
        <f>VLOOKUP(B109,[2]Data!$B$1:$G$267,4,FALSE)</f>
        <v>1739.7201834417447</v>
      </c>
      <c r="O109" s="10">
        <f>VLOOKUP(B109,[2]Data!$B$1:$G$267,5,FALSE)</f>
        <v>2138.2221021147798</v>
      </c>
      <c r="P109" s="10">
        <f>VLOOKUP(B109,[2]Data!$B$1:$G$267,6,FALSE)</f>
        <v>2420.1854228383149</v>
      </c>
      <c r="Q109" s="12">
        <f>VLOOKUP(B109,[5]Sheet1!$B$421:$K$628,10,FALSE)</f>
        <v>0</v>
      </c>
      <c r="R109" s="12">
        <f>VLOOKUP(B109,[5]Sheet1!$B$213:$K$420,10,FALSE)</f>
        <v>0</v>
      </c>
      <c r="S109" s="12">
        <f>VLOOKUP(B109,[5]Sheet1!$B$2:$K$207,10,FALSE)</f>
        <v>0</v>
      </c>
      <c r="T109" s="12">
        <f>VLOOKUP(B109,[6]Sheet1!$B$421:$K$628,10,FALSE)</f>
        <v>0</v>
      </c>
      <c r="U109" s="12">
        <f>VLOOKUP(B109,[6]Sheet1!$B$213:$K$420,10,FALSE)</f>
        <v>3.47</v>
      </c>
      <c r="V109" s="12">
        <f>VLOOKUP(B109,[6]Sheet1!$B$2:$K$212,10,FALSE)</f>
        <v>6</v>
      </c>
      <c r="W109" s="13">
        <v>0</v>
      </c>
      <c r="X109" s="13">
        <v>0</v>
      </c>
      <c r="Y109" s="13">
        <v>0</v>
      </c>
      <c r="Z109" s="10">
        <v>24.3817252281764</v>
      </c>
      <c r="AA109" s="10">
        <v>32.922093082767901</v>
      </c>
      <c r="AB109" s="10">
        <v>32.6716750673693</v>
      </c>
      <c r="AC109" s="10">
        <v>32.3415612198649</v>
      </c>
      <c r="AD109" s="10">
        <v>5.19936059005824</v>
      </c>
      <c r="AE109" s="10">
        <v>5.4270327109624601</v>
      </c>
      <c r="AF109" s="10">
        <v>5.6819438995971199</v>
      </c>
      <c r="AG109" s="10">
        <v>36.367153284671531</v>
      </c>
      <c r="AH109" s="10">
        <v>37.01642335766423</v>
      </c>
      <c r="AI109" s="12">
        <f>VLOOKUP(B109,[7]all!$A$2:$I$247,6,FALSE)</f>
        <v>68.400000000000006</v>
      </c>
      <c r="AJ109" s="12">
        <f>VLOOKUP(B109,[7]all!$A$2:$I$247,7,FALSE)</f>
        <v>68.260000000000005</v>
      </c>
      <c r="AK109" s="12">
        <f>VLOOKUP(B109,[7]all!$A$2:$I$247,8,FALSE)</f>
        <v>67.97</v>
      </c>
      <c r="AL109" s="15">
        <v>5959</v>
      </c>
    </row>
    <row r="110" spans="1:38" ht="21.4" x14ac:dyDescent="1.1000000000000001">
      <c r="A110" s="10" t="s">
        <v>215</v>
      </c>
      <c r="B110" s="11" t="s">
        <v>216</v>
      </c>
      <c r="C110" s="10" t="str">
        <f>VLOOKUP(B110,'[1]who-regions'!$B$1:$D$206,3,FALSE)</f>
        <v>WPR</v>
      </c>
      <c r="D110" s="12" t="str">
        <f>VLOOKUP(B110,'[2]Metadata - Countries'!$A$1:$B$266,2,FALSE)</f>
        <v>East Asia &amp; Pacific</v>
      </c>
      <c r="E110" s="12" t="str">
        <f>VLOOKUP(B110,'[2]Metadata - Countries'!$A$1:$C$266,3,FALSE)</f>
        <v>Lower middle income</v>
      </c>
      <c r="F110" s="12"/>
      <c r="G110" s="10">
        <v>79.513633849649807</v>
      </c>
      <c r="H110" s="12">
        <f>VLOOKUP(B110,[4]tas!$A$2:$H$247,5,FALSE)</f>
        <v>23.95</v>
      </c>
      <c r="I110" s="12">
        <f>VLOOKUP(B110,[4]tas!$A$2:$H$247,6,FALSE)</f>
        <v>23.95</v>
      </c>
      <c r="J110" s="12">
        <f>VLOOKUP(B110,[4]tas!$A$2:$H$247,7,FALSE)</f>
        <v>24.01</v>
      </c>
      <c r="K110" s="10">
        <v>15468785203.753174</v>
      </c>
      <c r="L110" s="10">
        <v>15843155731.25518</v>
      </c>
      <c r="M110" s="10">
        <v>16502933121.080585</v>
      </c>
      <c r="N110" s="10">
        <f>VLOOKUP(B110,[2]Data!$B$1:$G$267,4,FALSE)</f>
        <v>2046.4044025562052</v>
      </c>
      <c r="O110" s="10">
        <f>VLOOKUP(B110,[2]Data!$B$1:$G$267,5,FALSE)</f>
        <v>2066.9497977695714</v>
      </c>
      <c r="P110" s="10">
        <f>VLOOKUP(B110,[2]Data!$B$1:$G$267,6,FALSE)</f>
        <v>2123.9790941510914</v>
      </c>
      <c r="Q110" s="12">
        <f>VLOOKUP(B110,[5]Sheet1!$B$421:$K$628,10,FALSE)</f>
        <v>0</v>
      </c>
      <c r="R110" s="12">
        <f>VLOOKUP(B110,[5]Sheet1!$B$213:$K$420,10,FALSE)</f>
        <v>0</v>
      </c>
      <c r="S110" s="12">
        <f>VLOOKUP(B110,[5]Sheet1!$B$2:$K$207,10,FALSE)</f>
        <v>0</v>
      </c>
      <c r="T110" s="12">
        <f>VLOOKUP(B110,[6]Sheet1!$B$421:$K$628,10,FALSE)</f>
        <v>0</v>
      </c>
      <c r="U110" s="12">
        <f>VLOOKUP(B110,[6]Sheet1!$B$213:$K$420,10,FALSE)</f>
        <v>0</v>
      </c>
      <c r="V110" s="12">
        <f>VLOOKUP(B110,[6]Sheet1!$B$2:$K$212,10,FALSE)</f>
        <v>0</v>
      </c>
      <c r="W110" s="13">
        <v>0</v>
      </c>
      <c r="X110" s="13">
        <v>0</v>
      </c>
      <c r="Y110" s="13">
        <v>0</v>
      </c>
      <c r="Z110" s="10">
        <v>22.3176670505669</v>
      </c>
      <c r="AA110" s="10">
        <v>30.916909395843302</v>
      </c>
      <c r="AB110" s="10">
        <v>30.557668516962</v>
      </c>
      <c r="AC110" s="10">
        <v>30.198406166218302</v>
      </c>
      <c r="AD110" s="10">
        <v>4.4171076692277396</v>
      </c>
      <c r="AE110" s="10">
        <v>4.5354708435787803</v>
      </c>
      <c r="AF110" s="10">
        <v>4.6657843638313796</v>
      </c>
      <c r="AG110" s="10">
        <v>32.751330155979204</v>
      </c>
      <c r="AH110" s="10">
        <v>33.210541594454071</v>
      </c>
      <c r="AI110" s="12">
        <f>VLOOKUP(B110,[7]all!$A$2:$I$247,6,FALSE)</f>
        <v>76.44</v>
      </c>
      <c r="AJ110" s="12">
        <f>VLOOKUP(B110,[7]all!$A$2:$I$247,7,FALSE)</f>
        <v>76.44</v>
      </c>
      <c r="AK110" s="12">
        <f>VLOOKUP(B110,[7]all!$A$2:$I$247,8,FALSE)</f>
        <v>76.36</v>
      </c>
      <c r="AL110" s="12"/>
    </row>
    <row r="111" spans="1:38" ht="21.4" x14ac:dyDescent="1.1000000000000001">
      <c r="A111" s="10" t="s">
        <v>217</v>
      </c>
      <c r="B111" s="11" t="s">
        <v>218</v>
      </c>
      <c r="C111" s="10" t="str">
        <f>VLOOKUP(B111,'[1]who-regions'!$B$1:$D$206,3,FALSE)</f>
        <v>EUR</v>
      </c>
      <c r="D111" s="12" t="str">
        <f>VLOOKUP(B111,'[2]Metadata - Countries'!$A$1:$B$266,2,FALSE)</f>
        <v>Europe &amp; Central Asia</v>
      </c>
      <c r="E111" s="12" t="str">
        <f>VLOOKUP(B111,'[2]Metadata - Countries'!$A$1:$C$266,3,FALSE)</f>
        <v>High income</v>
      </c>
      <c r="F111" s="12"/>
      <c r="G111" s="10">
        <v>0</v>
      </c>
      <c r="H111" s="12">
        <f>VLOOKUP(B111,[4]tas!$A$2:$H$247,5,FALSE)</f>
        <v>7.62</v>
      </c>
      <c r="I111" s="12">
        <f>VLOOKUP(B111,[4]tas!$A$2:$H$247,6,FALSE)</f>
        <v>7.29</v>
      </c>
      <c r="J111" s="12">
        <f>VLOOKUP(B111,[4]tas!$A$2:$H$247,7,FALSE)</f>
        <v>7.31</v>
      </c>
      <c r="K111" s="10">
        <v>38014713595.768631</v>
      </c>
      <c r="L111" s="10">
        <v>42572151720.138008</v>
      </c>
      <c r="M111" s="10">
        <v>43520773851.121864</v>
      </c>
      <c r="N111" s="10">
        <f>VLOOKUP(B111,[2]Data!$B$1:$G$267,4,FALSE)</f>
        <v>20221.103686109032</v>
      </c>
      <c r="O111" s="10">
        <f>VLOOKUP(B111,[2]Data!$B$1:$G$267,5,FALSE)</f>
        <v>22710.263754419742</v>
      </c>
      <c r="P111" s="10">
        <f>VLOOKUP(B111,[2]Data!$B$1:$G$267,6,FALSE)</f>
        <v>23409.084515477498</v>
      </c>
      <c r="Q111" s="12">
        <f>VLOOKUP(B111,[5]Sheet1!$B$421:$K$628,10,FALSE)</f>
        <v>0</v>
      </c>
      <c r="R111" s="12">
        <f>VLOOKUP(B111,[5]Sheet1!$B$213:$K$420,10,FALSE)</f>
        <v>0</v>
      </c>
      <c r="S111" s="12">
        <f>VLOOKUP(B111,[5]Sheet1!$B$2:$K$207,10,FALSE)</f>
        <v>0</v>
      </c>
      <c r="T111" s="12">
        <f>VLOOKUP(B111,[6]Sheet1!$B$421:$K$628,10,FALSE)</f>
        <v>7.71</v>
      </c>
      <c r="U111" s="12">
        <f>VLOOKUP(B111,[6]Sheet1!$B$213:$K$420,10,FALSE)</f>
        <v>16.87</v>
      </c>
      <c r="V111" s="12">
        <f>VLOOKUP(B111,[6]Sheet1!$B$2:$K$212,10,FALSE)</f>
        <v>16.32</v>
      </c>
      <c r="W111" s="13">
        <v>0</v>
      </c>
      <c r="X111" s="13">
        <v>0</v>
      </c>
      <c r="Y111" s="13">
        <v>0</v>
      </c>
      <c r="Z111" s="10">
        <v>11.6020322023647</v>
      </c>
      <c r="AA111" s="10">
        <v>15.925995035785601</v>
      </c>
      <c r="AB111" s="10">
        <v>15.692048856882399</v>
      </c>
      <c r="AC111" s="10">
        <v>15.413290923014699</v>
      </c>
      <c r="AD111" s="10">
        <v>21.0117630297337</v>
      </c>
      <c r="AE111" s="10">
        <v>21.3320948408305</v>
      </c>
      <c r="AF111" s="10">
        <v>21.7358403074143</v>
      </c>
      <c r="AG111" s="10">
        <v>30.200594568536076</v>
      </c>
      <c r="AH111" s="10">
        <v>30.169452032781617</v>
      </c>
      <c r="AI111" s="12">
        <f>VLOOKUP(B111,[7]all!$A$2:$I$247,6,FALSE)</f>
        <v>79.97</v>
      </c>
      <c r="AJ111" s="12">
        <f>VLOOKUP(B111,[7]all!$A$2:$I$247,7,FALSE)</f>
        <v>80.03</v>
      </c>
      <c r="AK111" s="12">
        <f>VLOOKUP(B111,[7]all!$A$2:$I$247,8,FALSE)</f>
        <v>80.14</v>
      </c>
      <c r="AL111" s="15">
        <v>9296</v>
      </c>
    </row>
    <row r="112" spans="1:38" ht="21.4" x14ac:dyDescent="1.1000000000000001">
      <c r="A112" s="10" t="s">
        <v>219</v>
      </c>
      <c r="B112" s="11" t="s">
        <v>220</v>
      </c>
      <c r="C112" s="10" t="str">
        <f>VLOOKUP(B112,'[1]who-regions'!$B$1:$D$206,3,FALSE)</f>
        <v>EMR</v>
      </c>
      <c r="D112" s="12" t="str">
        <f>VLOOKUP(B112,'[2]Metadata - Countries'!$A$1:$B$266,2,FALSE)</f>
        <v>Middle East &amp; North Africa</v>
      </c>
      <c r="E112" s="12" t="str">
        <f>VLOOKUP(B112,'[2]Metadata - Countries'!$A$1:$C$266,3,FALSE)</f>
        <v>Lower middle income</v>
      </c>
      <c r="F112" s="12"/>
      <c r="G112" s="10">
        <v>99.2</v>
      </c>
      <c r="H112" s="12">
        <f>VLOOKUP(B112,[4]tas!$A$2:$H$247,5,FALSE)</f>
        <v>16.16</v>
      </c>
      <c r="I112" s="12">
        <f>VLOOKUP(B112,[4]tas!$A$2:$H$247,6,FALSE)</f>
        <v>16.149999999999999</v>
      </c>
      <c r="J112" s="12">
        <f>VLOOKUP(B112,[4]tas!$A$2:$H$247,7,FALSE)</f>
        <v>16.23</v>
      </c>
      <c r="K112" s="10">
        <v>20992421948.808086</v>
      </c>
      <c r="L112" s="10">
        <v>20078620356.993057</v>
      </c>
      <c r="M112" s="10">
        <v>0</v>
      </c>
      <c r="N112" s="10">
        <f>VLOOKUP(B112,[2]Data!$B$1:$G$267,4,FALSE)</f>
        <v>3654.3584553487849</v>
      </c>
      <c r="O112" s="10">
        <f>VLOOKUP(B112,[2]Data!$B$1:$G$267,5,FALSE)</f>
        <v>3477.7248984268376</v>
      </c>
      <c r="P112" s="10">
        <f>VLOOKUP(B112,[2]Data!$B$1:$G$267,6,FALSE)</f>
        <v>0</v>
      </c>
      <c r="Q112" s="12">
        <f>VLOOKUP(B112,[5]Sheet1!$B$421:$K$628,10,FALSE)</f>
        <v>0</v>
      </c>
      <c r="R112" s="12">
        <f>VLOOKUP(B112,[5]Sheet1!$B$213:$K$420,10,FALSE)</f>
        <v>0</v>
      </c>
      <c r="S112" s="12">
        <f>VLOOKUP(B112,[5]Sheet1!$B$2:$K$207,10,FALSE)</f>
        <v>0</v>
      </c>
      <c r="T112" s="12">
        <f>VLOOKUP(B112,[6]Sheet1!$B$421:$K$628,10,FALSE)</f>
        <v>0</v>
      </c>
      <c r="U112" s="12">
        <f>VLOOKUP(B112,[6]Sheet1!$B$213:$K$420,10,FALSE)</f>
        <v>100</v>
      </c>
      <c r="V112" s="12">
        <f>VLOOKUP(B112,[6]Sheet1!$B$2:$K$212,10,FALSE)</f>
        <v>0</v>
      </c>
      <c r="W112" s="13">
        <v>92.704086303710895</v>
      </c>
      <c r="X112" s="13">
        <v>0</v>
      </c>
      <c r="Y112" s="13">
        <v>0</v>
      </c>
      <c r="Z112" s="10">
        <v>19.231017288123599</v>
      </c>
      <c r="AA112" s="10">
        <v>27.185379516383399</v>
      </c>
      <c r="AB112" s="10">
        <v>26.715831015628801</v>
      </c>
      <c r="AC112" s="10">
        <v>26.1864378535752</v>
      </c>
      <c r="AD112" s="10">
        <v>9.5134666907245098</v>
      </c>
      <c r="AE112" s="10">
        <v>9.8244260298250996</v>
      </c>
      <c r="AF112" s="10">
        <v>10.1385877257367</v>
      </c>
      <c r="AG112" s="10">
        <v>561.53362658846527</v>
      </c>
      <c r="AH112" s="10">
        <v>564.36881720430108</v>
      </c>
      <c r="AI112" s="12">
        <f>VLOOKUP(B112,[7]all!$A$2:$I$247,6,FALSE)</f>
        <v>63.57</v>
      </c>
      <c r="AJ112" s="12">
        <f>VLOOKUP(B112,[7]all!$A$2:$I$247,7,FALSE)</f>
        <v>63.3</v>
      </c>
      <c r="AK112" s="12">
        <f>VLOOKUP(B112,[7]all!$A$2:$I$247,8,FALSE)</f>
        <v>63.43</v>
      </c>
      <c r="AL112" s="12"/>
    </row>
    <row r="113" spans="1:38" ht="21.4" x14ac:dyDescent="1.1000000000000001">
      <c r="A113" s="10" t="s">
        <v>221</v>
      </c>
      <c r="B113" s="11" t="s">
        <v>222</v>
      </c>
      <c r="C113" s="10" t="str">
        <f>VLOOKUP(B113,'[1]who-regions'!$B$1:$D$206,3,FALSE)</f>
        <v>AFR</v>
      </c>
      <c r="D113" s="12" t="str">
        <f>VLOOKUP(B113,'[2]Metadata - Countries'!$A$1:$B$266,2,FALSE)</f>
        <v>Sub-Saharan Africa</v>
      </c>
      <c r="E113" s="12" t="str">
        <f>VLOOKUP(B113,'[2]Metadata - Countries'!$A$1:$C$266,3,FALSE)</f>
        <v>Lower middle income</v>
      </c>
      <c r="F113" s="12"/>
      <c r="G113" s="10">
        <v>50.279192985030903</v>
      </c>
      <c r="H113" s="12">
        <f>VLOOKUP(B113,[4]tas!$A$2:$H$247,5,FALSE)</f>
        <v>12.26</v>
      </c>
      <c r="I113" s="12">
        <f>VLOOKUP(B113,[4]tas!$A$2:$H$247,6,FALSE)</f>
        <v>12.35</v>
      </c>
      <c r="J113" s="12">
        <f>VLOOKUP(B113,[4]tas!$A$2:$H$247,7,FALSE)</f>
        <v>12.41</v>
      </c>
      <c r="K113" s="10">
        <v>2354980884.1527104</v>
      </c>
      <c r="L113" s="10">
        <v>2117962430.3041036</v>
      </c>
      <c r="M113" s="10">
        <v>2271541845.6200151</v>
      </c>
      <c r="N113" s="10">
        <f>VLOOKUP(B113,[2]Data!$B$1:$G$267,4,FALSE)</f>
        <v>1030.1258294775712</v>
      </c>
      <c r="O113" s="10">
        <f>VLOOKUP(B113,[2]Data!$B$1:$G$267,5,FALSE)</f>
        <v>916.28297698380345</v>
      </c>
      <c r="P113" s="10">
        <f>VLOOKUP(B113,[2]Data!$B$1:$G$267,6,FALSE)</f>
        <v>971.90771824828971</v>
      </c>
      <c r="Q113" s="12">
        <f>VLOOKUP(B113,[5]Sheet1!$B$421:$K$628,10,FALSE)</f>
        <v>0</v>
      </c>
      <c r="R113" s="12">
        <f>VLOOKUP(B113,[5]Sheet1!$B$213:$K$420,10,FALSE)</f>
        <v>0</v>
      </c>
      <c r="S113" s="12">
        <f>VLOOKUP(B113,[5]Sheet1!$B$2:$K$207,10,FALSE)</f>
        <v>0</v>
      </c>
      <c r="T113" s="12">
        <f>VLOOKUP(B113,[6]Sheet1!$B$421:$K$628,10,FALSE)</f>
        <v>0</v>
      </c>
      <c r="U113" s="12">
        <f>VLOOKUP(B113,[6]Sheet1!$B$213:$K$420,10,FALSE)</f>
        <v>0</v>
      </c>
      <c r="V113" s="12">
        <f>VLOOKUP(B113,[6]Sheet1!$B$2:$K$212,10,FALSE)</f>
        <v>0</v>
      </c>
      <c r="W113" s="13">
        <v>69.907852172851605</v>
      </c>
      <c r="X113" s="13">
        <v>0</v>
      </c>
      <c r="Y113" s="13">
        <v>0</v>
      </c>
      <c r="Z113" s="10">
        <v>23.4391013240086</v>
      </c>
      <c r="AA113" s="10">
        <v>35.296740905568697</v>
      </c>
      <c r="AB113" s="10">
        <v>34.923633078834598</v>
      </c>
      <c r="AC113" s="10">
        <v>34.519283527047399</v>
      </c>
      <c r="AD113" s="10">
        <v>3.7929706372460998</v>
      </c>
      <c r="AE113" s="10">
        <v>3.8268038721645801</v>
      </c>
      <c r="AF113" s="10">
        <v>3.8564059343144002</v>
      </c>
      <c r="AG113" s="10">
        <v>75.300065876152829</v>
      </c>
      <c r="AH113" s="10">
        <v>76.135441370223973</v>
      </c>
      <c r="AI113" s="12">
        <f>VLOOKUP(B113,[7]all!$A$2:$I$247,6,FALSE)</f>
        <v>58.99</v>
      </c>
      <c r="AJ113" s="12">
        <f>VLOOKUP(B113,[7]all!$A$2:$I$247,7,FALSE)</f>
        <v>58.75</v>
      </c>
      <c r="AK113" s="12">
        <f>VLOOKUP(B113,[7]all!$A$2:$I$247,8,FALSE)</f>
        <v>58.88</v>
      </c>
      <c r="AL113" s="12"/>
    </row>
    <row r="114" spans="1:38" ht="21.4" x14ac:dyDescent="1.1000000000000001">
      <c r="A114" s="10" t="s">
        <v>223</v>
      </c>
      <c r="B114" s="11" t="s">
        <v>224</v>
      </c>
      <c r="C114" s="10" t="str">
        <f>VLOOKUP(B114,'[1]who-regions'!$B$1:$D$206,3,FALSE)</f>
        <v>AFR</v>
      </c>
      <c r="D114" s="12" t="str">
        <f>VLOOKUP(B114,'[2]Metadata - Countries'!$A$1:$B$266,2,FALSE)</f>
        <v>Sub-Saharan Africa</v>
      </c>
      <c r="E114" s="12" t="str">
        <f>VLOOKUP(B114,'[2]Metadata - Countries'!$A$1:$C$266,3,FALSE)</f>
        <v>Low income</v>
      </c>
      <c r="F114" s="12"/>
      <c r="G114" s="10">
        <v>22.523382497250498</v>
      </c>
      <c r="H114" s="12">
        <f>VLOOKUP(B114,[4]tas!$A$2:$H$247,5,FALSE)</f>
        <v>26.18</v>
      </c>
      <c r="I114" s="12">
        <f>VLOOKUP(B114,[4]tas!$A$2:$H$247,6,FALSE)</f>
        <v>26.21</v>
      </c>
      <c r="J114" s="12">
        <f>VLOOKUP(B114,[4]tas!$A$2:$H$247,7,FALSE)</f>
        <v>26.25</v>
      </c>
      <c r="K114" s="10">
        <v>4001047000</v>
      </c>
      <c r="L114" s="10">
        <v>4390000000</v>
      </c>
      <c r="M114" s="10">
        <v>4750000000</v>
      </c>
      <c r="N114" s="10">
        <f>VLOOKUP(B114,[2]Data!$B$1:$G$267,4,FALSE)</f>
        <v>744.61717523738696</v>
      </c>
      <c r="O114" s="10">
        <f>VLOOKUP(B114,[2]Data!$B$1:$G$267,5,FALSE)</f>
        <v>799.19447022964187</v>
      </c>
      <c r="P114" s="10">
        <f>VLOOKUP(B114,[2]Data!$B$1:$G$267,6,FALSE)</f>
        <v>851.4977238702063</v>
      </c>
      <c r="Q114" s="12">
        <f>VLOOKUP(B114,[5]Sheet1!$B$421:$K$628,10,FALSE)</f>
        <v>0</v>
      </c>
      <c r="R114" s="12">
        <f>VLOOKUP(B114,[5]Sheet1!$B$213:$K$420,10,FALSE)</f>
        <v>0</v>
      </c>
      <c r="S114" s="12">
        <f>VLOOKUP(B114,[5]Sheet1!$B$2:$K$207,10,FALSE)</f>
        <v>0</v>
      </c>
      <c r="T114" s="12">
        <f>VLOOKUP(B114,[6]Sheet1!$B$421:$K$628,10,FALSE)</f>
        <v>0</v>
      </c>
      <c r="U114" s="12">
        <f>VLOOKUP(B114,[6]Sheet1!$B$213:$K$420,10,FALSE)</f>
        <v>0</v>
      </c>
      <c r="V114" s="12">
        <f>VLOOKUP(B114,[6]Sheet1!$B$2:$K$212,10,FALSE)</f>
        <v>0</v>
      </c>
      <c r="W114" s="13">
        <v>0</v>
      </c>
      <c r="X114" s="13">
        <v>0</v>
      </c>
      <c r="Y114" s="13">
        <v>0</v>
      </c>
      <c r="Z114" s="10">
        <v>42.361659027928702</v>
      </c>
      <c r="AA114" s="10">
        <v>40.4841052806714</v>
      </c>
      <c r="AB114" s="10">
        <v>39.996770453325297</v>
      </c>
      <c r="AC114" s="10">
        <v>39.529589152826503</v>
      </c>
      <c r="AD114" s="10">
        <v>3.2525393175955002</v>
      </c>
      <c r="AE114" s="10">
        <v>3.2775620599992998</v>
      </c>
      <c r="AF114" s="10">
        <v>3.3049981854031598</v>
      </c>
      <c r="AG114" s="10">
        <v>55.785859634551493</v>
      </c>
      <c r="AH114" s="10">
        <v>57.028976328903653</v>
      </c>
      <c r="AI114" s="12">
        <f>VLOOKUP(B114,[7]all!$A$2:$I$247,6,FALSE)</f>
        <v>81.14</v>
      </c>
      <c r="AJ114" s="12">
        <f>VLOOKUP(B114,[7]all!$A$2:$I$247,7,FALSE)</f>
        <v>81.25</v>
      </c>
      <c r="AK114" s="12">
        <f>VLOOKUP(B114,[7]all!$A$2:$I$247,8,FALSE)</f>
        <v>81.209999999999994</v>
      </c>
      <c r="AL114" s="12"/>
    </row>
    <row r="115" spans="1:38" ht="21.4" x14ac:dyDescent="1.1000000000000001">
      <c r="A115" s="10" t="s">
        <v>225</v>
      </c>
      <c r="B115" s="11" t="s">
        <v>226</v>
      </c>
      <c r="C115" s="10" t="str">
        <f>VLOOKUP(B115,'[1]who-regions'!$B$1:$D$206,3,FALSE)</f>
        <v>EMR</v>
      </c>
      <c r="D115" s="12" t="str">
        <f>VLOOKUP(B115,'[2]Metadata - Countries'!$A$1:$B$266,2,FALSE)</f>
        <v>Middle East &amp; North Africa</v>
      </c>
      <c r="E115" s="12" t="str">
        <f>VLOOKUP(B115,'[2]Metadata - Countries'!$A$1:$C$266,3,FALSE)</f>
        <v>Upper middle income</v>
      </c>
      <c r="F115" s="12"/>
      <c r="G115" s="10">
        <v>92.106002208955502</v>
      </c>
      <c r="H115" s="12">
        <f>VLOOKUP(B115,[4]tas!$A$2:$H$247,5,FALSE)</f>
        <v>22.86</v>
      </c>
      <c r="I115" s="12">
        <f>VLOOKUP(B115,[4]tas!$A$2:$H$247,6,FALSE)</f>
        <v>22.85</v>
      </c>
      <c r="J115" s="12">
        <f>VLOOKUP(B115,[4]tas!$A$2:$H$247,7,FALSE)</f>
        <v>22.96</v>
      </c>
      <c r="K115" s="10">
        <v>43246297921.849922</v>
      </c>
      <c r="L115" s="10">
        <v>45096462972.40136</v>
      </c>
      <c r="M115" s="10">
        <v>46636278901.901581</v>
      </c>
      <c r="N115" s="10">
        <f>VLOOKUP(B115,[2]Data!$B$1:$G$267,4,FALSE)</f>
        <v>5986.6369485125806</v>
      </c>
      <c r="O115" s="10">
        <f>VLOOKUP(B115,[2]Data!$B$1:$G$267,5,FALSE)</f>
        <v>6026.5151870881191</v>
      </c>
      <c r="P115" s="10">
        <f>VLOOKUP(B115,[2]Data!$B$1:$G$267,6,FALSE)</f>
        <v>6569.1640867864844</v>
      </c>
      <c r="Q115" s="12">
        <f>VLOOKUP(B115,[5]Sheet1!$B$421:$K$628,10,FALSE)</f>
        <v>0</v>
      </c>
      <c r="R115" s="12">
        <f>VLOOKUP(B115,[5]Sheet1!$B$213:$K$420,10,FALSE)</f>
        <v>0</v>
      </c>
      <c r="S115" s="12">
        <f>VLOOKUP(B115,[5]Sheet1!$B$2:$K$207,10,FALSE)</f>
        <v>0</v>
      </c>
      <c r="T115" s="12">
        <f>VLOOKUP(B115,[6]Sheet1!$B$421:$K$628,10,FALSE)</f>
        <v>0</v>
      </c>
      <c r="U115" s="12">
        <f>VLOOKUP(B115,[6]Sheet1!$B$213:$K$420,10,FALSE)</f>
        <v>0</v>
      </c>
      <c r="V115" s="12">
        <f>VLOOKUP(B115,[6]Sheet1!$B$2:$K$212,10,FALSE)</f>
        <v>0</v>
      </c>
      <c r="W115" s="13">
        <v>0</v>
      </c>
      <c r="X115" s="13">
        <v>0</v>
      </c>
      <c r="Y115" s="13">
        <v>0</v>
      </c>
      <c r="Z115" s="10">
        <v>32.970706500274197</v>
      </c>
      <c r="AA115" s="10">
        <v>28.5102123126394</v>
      </c>
      <c r="AB115" s="10">
        <v>27.961187348054398</v>
      </c>
      <c r="AC115" s="10">
        <v>27.412426434655501</v>
      </c>
      <c r="AD115" s="10">
        <v>4.74866117985336</v>
      </c>
      <c r="AE115" s="10">
        <v>4.8781294062588998</v>
      </c>
      <c r="AF115" s="10">
        <v>5.01919584859714</v>
      </c>
      <c r="AG115" s="10">
        <v>4.105507689509758</v>
      </c>
      <c r="AH115" s="10">
        <v>4.1520278027211655</v>
      </c>
      <c r="AI115" s="12">
        <f>VLOOKUP(B115,[7]all!$A$2:$I$247,6,FALSE)</f>
        <v>36.51</v>
      </c>
      <c r="AJ115" s="12">
        <f>VLOOKUP(B115,[7]all!$A$2:$I$247,7,FALSE)</f>
        <v>36.25</v>
      </c>
      <c r="AK115" s="12">
        <f>VLOOKUP(B115,[7]all!$A$2:$I$247,8,FALSE)</f>
        <v>36.53</v>
      </c>
      <c r="AL115" s="12"/>
    </row>
    <row r="116" spans="1:38" ht="21.4" x14ac:dyDescent="1.1000000000000001">
      <c r="A116" s="10" t="s">
        <v>227</v>
      </c>
      <c r="B116" s="11" t="s">
        <v>228</v>
      </c>
      <c r="C116" s="10" t="s">
        <v>487</v>
      </c>
      <c r="D116" s="12" t="str">
        <f>VLOOKUP(B116,'[2]Metadata - Countries'!$A$1:$B$266,2,FALSE)</f>
        <v>Europe &amp; Central Asia</v>
      </c>
      <c r="E116" s="12" t="str">
        <f>VLOOKUP(B116,'[2]Metadata - Countries'!$A$1:$C$266,3,FALSE)</f>
        <v>High income</v>
      </c>
      <c r="F116" s="12"/>
      <c r="G116" s="10">
        <v>99.95</v>
      </c>
      <c r="H116" s="12">
        <f>VLOOKUP(B116,[4]tas!$A$2:$H$247,5,FALSE)</f>
        <v>6.7</v>
      </c>
      <c r="I116" s="12">
        <f>VLOOKUP(B116,[4]tas!$A$2:$H$247,6,FALSE)</f>
        <v>6.58</v>
      </c>
      <c r="J116" s="12">
        <f>VLOOKUP(B116,[4]tas!$A$2:$H$247,7,FALSE)</f>
        <v>6.57</v>
      </c>
      <c r="K116" s="10">
        <v>7378156576.2354002</v>
      </c>
      <c r="L116" s="10">
        <v>8287748667.2083158</v>
      </c>
      <c r="M116" s="10">
        <v>0</v>
      </c>
      <c r="N116" s="10">
        <f>VLOOKUP(B116,[2]Data!$B$1:$G$267,4,FALSE)</f>
        <v>188055.00323534798</v>
      </c>
      <c r="O116" s="10">
        <f>VLOOKUP(B116,[2]Data!$B$1:$G$267,5,FALSE)</f>
        <v>206780.59035338453</v>
      </c>
      <c r="P116" s="10">
        <f>VLOOKUP(B116,[2]Data!$B$1:$G$267,6,FALSE)</f>
        <v>0</v>
      </c>
      <c r="Q116" s="12" t="e">
        <f>VLOOKUP(B116,[5]Sheet1!$B$421:$K$628,10,FALSE)</f>
        <v>#N/A</v>
      </c>
      <c r="R116" s="12" t="e">
        <f>VLOOKUP(B116,[5]Sheet1!$B$213:$K$420,10,FALSE)</f>
        <v>#N/A</v>
      </c>
      <c r="S116" s="12" t="e">
        <f>VLOOKUP(B116,[5]Sheet1!$B$2:$K$207,10,FALSE)</f>
        <v>#N/A</v>
      </c>
      <c r="T116" s="12" t="e">
        <f>VLOOKUP(B116,[6]Sheet1!$B$421:$K$628,10,FALSE)</f>
        <v>#N/A</v>
      </c>
      <c r="U116" s="12" t="e">
        <f>VLOOKUP(B116,[6]Sheet1!$B$213:$K$420,10,FALSE)</f>
        <v>#N/A</v>
      </c>
      <c r="V116" s="12" t="e">
        <f>VLOOKUP(B116,[6]Sheet1!$B$2:$K$212,10,FALSE)</f>
        <v>#N/A</v>
      </c>
      <c r="W116" s="13">
        <v>0</v>
      </c>
      <c r="X116" s="13">
        <v>0</v>
      </c>
      <c r="Y116" s="13">
        <v>0</v>
      </c>
      <c r="Z116" s="10">
        <v>0</v>
      </c>
      <c r="AA116" s="10">
        <v>14.407253859653601</v>
      </c>
      <c r="AB116" s="10">
        <v>14.3466841759685</v>
      </c>
      <c r="AC116" s="10">
        <v>14.2626034612491</v>
      </c>
      <c r="AD116" s="10">
        <v>19.6263702724012</v>
      </c>
      <c r="AE116" s="10">
        <v>20.162634476488702</v>
      </c>
      <c r="AF116" s="10">
        <v>20.7261098570354</v>
      </c>
      <c r="AG116" s="10">
        <v>246.83125000000001</v>
      </c>
      <c r="AH116" s="10">
        <v>249.0625</v>
      </c>
      <c r="AI116" s="12">
        <f>VLOOKUP(B116,[7]all!$A$2:$I$247,6,FALSE)</f>
        <v>77.47</v>
      </c>
      <c r="AJ116" s="12">
        <f>VLOOKUP(B116,[7]all!$A$2:$I$247,7,FALSE)</f>
        <v>77.739999999999995</v>
      </c>
      <c r="AK116" s="12">
        <f>VLOOKUP(B116,[7]all!$A$2:$I$247,8,FALSE)</f>
        <v>77.349999999999994</v>
      </c>
      <c r="AL116" s="12"/>
    </row>
    <row r="117" spans="1:38" ht="21.4" x14ac:dyDescent="1.1000000000000001">
      <c r="A117" s="10" t="s">
        <v>229</v>
      </c>
      <c r="B117" s="11" t="s">
        <v>230</v>
      </c>
      <c r="C117" s="10" t="str">
        <f>VLOOKUP(B117,'[1]who-regions'!$B$1:$D$206,3,FALSE)</f>
        <v>EUR</v>
      </c>
      <c r="D117" s="12" t="str">
        <f>VLOOKUP(B117,'[2]Metadata - Countries'!$A$1:$B$266,2,FALSE)</f>
        <v>Europe &amp; Central Asia</v>
      </c>
      <c r="E117" s="12" t="str">
        <f>VLOOKUP(B117,'[2]Metadata - Countries'!$A$1:$C$266,3,FALSE)</f>
        <v>High income</v>
      </c>
      <c r="F117" s="12"/>
      <c r="G117" s="10">
        <v>95.3067363442577</v>
      </c>
      <c r="H117" s="12">
        <f>VLOOKUP(B117,[4]tas!$A$2:$H$247,5,FALSE)</f>
        <v>8.1199999999999992</v>
      </c>
      <c r="I117" s="12">
        <f>VLOOKUP(B117,[4]tas!$A$2:$H$247,6,FALSE)</f>
        <v>7.82</v>
      </c>
      <c r="J117" s="12">
        <f>VLOOKUP(B117,[4]tas!$A$2:$H$247,7,FALSE)</f>
        <v>7.81</v>
      </c>
      <c r="K117" s="10">
        <v>71033884499.782379</v>
      </c>
      <c r="L117" s="10">
        <v>79789877416.168076</v>
      </c>
      <c r="M117" s="10">
        <v>84869215513.364822</v>
      </c>
      <c r="N117" s="10">
        <f>VLOOKUP(B117,[2]Data!$B$1:$G$267,4,FALSE)</f>
        <v>25085.784063499046</v>
      </c>
      <c r="O117" s="10">
        <f>VLOOKUP(B117,[2]Data!$B$1:$G$267,5,FALSE)</f>
        <v>27786.005782927572</v>
      </c>
      <c r="P117" s="10">
        <f>VLOOKUP(B117,[2]Data!$B$1:$G$267,6,FALSE)</f>
        <v>29384.018959866335</v>
      </c>
      <c r="Q117" s="12">
        <f>VLOOKUP(B117,[5]Sheet1!$B$421:$K$628,10,FALSE)</f>
        <v>8.2899999999999991</v>
      </c>
      <c r="R117" s="12">
        <f>VLOOKUP(B117,[5]Sheet1!$B$213:$K$420,10,FALSE)</f>
        <v>10.119999999999999</v>
      </c>
      <c r="S117" s="12">
        <f>VLOOKUP(B117,[5]Sheet1!$B$2:$K$207,10,FALSE)</f>
        <v>8.7200000000000006</v>
      </c>
      <c r="T117" s="12">
        <f>VLOOKUP(B117,[6]Sheet1!$B$421:$K$628,10,FALSE)</f>
        <v>21.54</v>
      </c>
      <c r="U117" s="12">
        <f>VLOOKUP(B117,[6]Sheet1!$B$213:$K$420,10,FALSE)</f>
        <v>24.29</v>
      </c>
      <c r="V117" s="12">
        <f>VLOOKUP(B117,[6]Sheet1!$B$2:$K$212,10,FALSE)</f>
        <v>22.71</v>
      </c>
      <c r="W117" s="13">
        <v>0</v>
      </c>
      <c r="X117" s="13">
        <v>0</v>
      </c>
      <c r="Y117" s="13">
        <v>0</v>
      </c>
      <c r="Z117" s="10">
        <v>9.2189386036094394</v>
      </c>
      <c r="AA117" s="10">
        <v>15.0489745979606</v>
      </c>
      <c r="AB117" s="10">
        <v>14.8871500252794</v>
      </c>
      <c r="AC117" s="10">
        <v>14.7059775080318</v>
      </c>
      <c r="AD117" s="10">
        <v>19.8607556942966</v>
      </c>
      <c r="AE117" s="10">
        <v>19.856178780063299</v>
      </c>
      <c r="AF117" s="10">
        <v>20.1664889015269</v>
      </c>
      <c r="AG117" s="10">
        <v>45.230959683087342</v>
      </c>
      <c r="AH117" s="10">
        <v>45.871964856230029</v>
      </c>
      <c r="AI117" s="12">
        <f>VLOOKUP(B117,[7]all!$A$2:$I$247,6,FALSE)</f>
        <v>79.53</v>
      </c>
      <c r="AJ117" s="12">
        <f>VLOOKUP(B117,[7]all!$A$2:$I$247,7,FALSE)</f>
        <v>79.48</v>
      </c>
      <c r="AK117" s="12">
        <f>VLOOKUP(B117,[7]all!$A$2:$I$247,8,FALSE)</f>
        <v>79.53</v>
      </c>
      <c r="AL117" s="15">
        <v>12185</v>
      </c>
    </row>
    <row r="118" spans="1:38" ht="21.4" x14ac:dyDescent="1.1000000000000001">
      <c r="A118" s="10" t="s">
        <v>231</v>
      </c>
      <c r="B118" s="11" t="s">
        <v>232</v>
      </c>
      <c r="C118" s="10" t="str">
        <f>VLOOKUP(B118,'[1]who-regions'!$B$1:$D$206,3,FALSE)</f>
        <v>EUR</v>
      </c>
      <c r="D118" s="12" t="str">
        <f>VLOOKUP(B118,'[2]Metadata - Countries'!$A$1:$B$266,2,FALSE)</f>
        <v>Europe &amp; Central Asia</v>
      </c>
      <c r="E118" s="12" t="str">
        <f>VLOOKUP(B118,'[2]Metadata - Countries'!$A$1:$C$266,3,FALSE)</f>
        <v>High income</v>
      </c>
      <c r="F118" s="12"/>
      <c r="G118" s="10">
        <v>97.585929408821002</v>
      </c>
      <c r="H118" s="12">
        <f>VLOOKUP(B118,[4]tas!$A$2:$H$247,5,FALSE)</f>
        <v>9.98</v>
      </c>
      <c r="I118" s="12">
        <f>VLOOKUP(B118,[4]tas!$A$2:$H$247,6,FALSE)</f>
        <v>9.82</v>
      </c>
      <c r="J118" s="12">
        <f>VLOOKUP(B118,[4]tas!$A$2:$H$247,7,FALSE)</f>
        <v>9.8800000000000008</v>
      </c>
      <c r="K118" s="10">
        <v>80801680397.013931</v>
      </c>
      <c r="L118" s="10">
        <v>87574021091.752533</v>
      </c>
      <c r="M118" s="10">
        <v>93197329011.707794</v>
      </c>
      <c r="N118" s="10">
        <f>VLOOKUP(B118,[2]Data!$B$1:$G$267,4,FALSE)</f>
        <v>123719.6589159963</v>
      </c>
      <c r="O118" s="10">
        <f>VLOOKUP(B118,[2]Data!$B$1:$G$267,5,FALSE)</f>
        <v>133230.6191788991</v>
      </c>
      <c r="P118" s="10">
        <f>VLOOKUP(B118,[2]Data!$B$1:$G$267,6,FALSE)</f>
        <v>137781.68165912307</v>
      </c>
      <c r="Q118" s="12">
        <f>VLOOKUP(B118,[5]Sheet1!$B$421:$K$628,10,FALSE)</f>
        <v>0</v>
      </c>
      <c r="R118" s="12">
        <f>VLOOKUP(B118,[5]Sheet1!$B$213:$K$420,10,FALSE)</f>
        <v>0</v>
      </c>
      <c r="S118" s="12">
        <f>VLOOKUP(B118,[5]Sheet1!$B$2:$K$207,10,FALSE)</f>
        <v>0</v>
      </c>
      <c r="T118" s="12">
        <f>VLOOKUP(B118,[6]Sheet1!$B$421:$K$628,10,FALSE)</f>
        <v>44.83</v>
      </c>
      <c r="U118" s="12">
        <f>VLOOKUP(B118,[6]Sheet1!$B$213:$K$420,10,FALSE)</f>
        <v>44.44</v>
      </c>
      <c r="V118" s="12">
        <f>VLOOKUP(B118,[6]Sheet1!$B$2:$K$212,10,FALSE)</f>
        <v>42.23</v>
      </c>
      <c r="W118" s="13">
        <v>0</v>
      </c>
      <c r="X118" s="13">
        <v>0</v>
      </c>
      <c r="Y118" s="13">
        <v>0</v>
      </c>
      <c r="Z118" s="10">
        <v>8.6747618954024599</v>
      </c>
      <c r="AA118" s="10">
        <v>15.8788481775567</v>
      </c>
      <c r="AB118" s="10">
        <v>15.819924281835201</v>
      </c>
      <c r="AC118" s="10">
        <v>15.7772392561468</v>
      </c>
      <c r="AD118" s="10">
        <v>14.8424375777289</v>
      </c>
      <c r="AE118" s="10">
        <v>15.1061948765445</v>
      </c>
      <c r="AF118" s="10">
        <v>15.476363820063099</v>
      </c>
      <c r="AG118" s="10">
        <v>253.68543306169062</v>
      </c>
      <c r="AH118" s="10">
        <v>258.86205262462806</v>
      </c>
      <c r="AI118" s="12">
        <f>VLOOKUP(B118,[7]all!$A$2:$I$247,6,FALSE)</f>
        <v>79.849999999999994</v>
      </c>
      <c r="AJ118" s="12">
        <f>VLOOKUP(B118,[7]all!$A$2:$I$247,7,FALSE)</f>
        <v>80</v>
      </c>
      <c r="AK118" s="12">
        <f>VLOOKUP(B118,[7]all!$A$2:$I$247,8,FALSE)</f>
        <v>79.75</v>
      </c>
      <c r="AL118" s="12"/>
    </row>
    <row r="119" spans="1:38" ht="21.4" x14ac:dyDescent="1.1000000000000001">
      <c r="A119" s="10" t="s">
        <v>233</v>
      </c>
      <c r="B119" s="11" t="s">
        <v>234</v>
      </c>
      <c r="C119" s="10" t="str">
        <f>VLOOKUP(B119,'[1]who-regions'!$B$1:$D$206,3,FALSE)</f>
        <v>WPR</v>
      </c>
      <c r="D119" s="12" t="str">
        <f>VLOOKUP(B119,'[2]Metadata - Countries'!$A$1:$B$266,2,FALSE)</f>
        <v>East Asia &amp; Pacific</v>
      </c>
      <c r="E119" s="12" t="str">
        <f>VLOOKUP(B119,'[2]Metadata - Countries'!$A$1:$C$266,3,FALSE)</f>
        <v>High income</v>
      </c>
      <c r="F119" s="12"/>
      <c r="G119" s="10">
        <v>100</v>
      </c>
      <c r="H119" s="12">
        <f>VLOOKUP(B119,[4]tas!$A$2:$H$247,5,FALSE)</f>
        <v>23.77</v>
      </c>
      <c r="I119" s="12">
        <f>VLOOKUP(B119,[4]tas!$A$2:$H$247,6,FALSE)</f>
        <v>23.83</v>
      </c>
      <c r="J119" s="12">
        <f>VLOOKUP(B119,[4]tas!$A$2:$H$247,7,FALSE)</f>
        <v>23.86</v>
      </c>
      <c r="K119" s="10">
        <v>24999113475.836823</v>
      </c>
      <c r="L119" s="10">
        <v>45803067940.407196</v>
      </c>
      <c r="M119" s="10">
        <v>50183212761.348351</v>
      </c>
      <c r="N119" s="10">
        <f>VLOOKUP(B119,[2]Data!$B$1:$G$267,4,FALSE)</f>
        <v>36806.891255460985</v>
      </c>
      <c r="O119" s="10">
        <f>VLOOKUP(B119,[2]Data!$B$1:$G$267,5,FALSE)</f>
        <v>67216.363111212369</v>
      </c>
      <c r="P119" s="10">
        <f>VLOOKUP(B119,[2]Data!$B$1:$G$267,6,FALSE)</f>
        <v>72004.743702073349</v>
      </c>
      <c r="Q119" s="12">
        <f>VLOOKUP(B119,[5]Sheet1!$B$421:$K$628,10,FALSE)</f>
        <v>24.4</v>
      </c>
      <c r="R119" s="12">
        <f>VLOOKUP(B119,[5]Sheet1!$B$213:$K$420,10,FALSE)</f>
        <v>29.87</v>
      </c>
      <c r="S119" s="12">
        <f>VLOOKUP(B119,[5]Sheet1!$B$2:$K$207,10,FALSE)</f>
        <v>40.67</v>
      </c>
      <c r="T119" s="12">
        <f>VLOOKUP(B119,[6]Sheet1!$B$421:$K$628,10,FALSE)</f>
        <v>40.409999999999997</v>
      </c>
      <c r="U119" s="12">
        <f>VLOOKUP(B119,[6]Sheet1!$B$213:$K$420,10,FALSE)</f>
        <v>49.42</v>
      </c>
      <c r="V119" s="12">
        <f>VLOOKUP(B119,[6]Sheet1!$B$2:$K$212,10,FALSE)</f>
        <v>65.09</v>
      </c>
      <c r="W119" s="13">
        <v>98.415206909179702</v>
      </c>
      <c r="X119" s="13">
        <v>99.326271057128906</v>
      </c>
      <c r="Y119" s="13">
        <v>0</v>
      </c>
      <c r="Z119" s="10">
        <v>0</v>
      </c>
      <c r="AA119" s="10">
        <v>14.2756544448727</v>
      </c>
      <c r="AB119" s="10">
        <v>14.094534126428799</v>
      </c>
      <c r="AC119" s="10">
        <v>13.910146585548</v>
      </c>
      <c r="AD119" s="10">
        <v>12.7420560469024</v>
      </c>
      <c r="AE119" s="10">
        <v>13.479471895326</v>
      </c>
      <c r="AF119" s="10">
        <v>14.268418991977899</v>
      </c>
      <c r="AG119" s="10">
        <v>20524.242424242424</v>
      </c>
      <c r="AH119" s="10">
        <v>20569.696969696968</v>
      </c>
      <c r="AI119" s="12">
        <f>VLOOKUP(B119,[7]all!$A$2:$I$247,6,FALSE)</f>
        <v>79.27</v>
      </c>
      <c r="AJ119" s="12">
        <f>VLOOKUP(B119,[7]all!$A$2:$I$247,7,FALSE)</f>
        <v>79.33</v>
      </c>
      <c r="AK119" s="12">
        <f>VLOOKUP(B119,[7]all!$A$2:$I$247,8,FALSE)</f>
        <v>79.209999999999994</v>
      </c>
      <c r="AL119" s="12"/>
    </row>
    <row r="120" spans="1:38" ht="21.4" x14ac:dyDescent="1.1000000000000001">
      <c r="A120" s="10" t="s">
        <v>235</v>
      </c>
      <c r="B120" s="11" t="s">
        <v>236</v>
      </c>
      <c r="C120" s="10" t="str">
        <f>VLOOKUP(B120,'[1]who-regions'!$B$1:$D$206,3,FALSE)</f>
        <v>AFR</v>
      </c>
      <c r="D120" s="12" t="str">
        <f>VLOOKUP(B120,'[2]Metadata - Countries'!$A$1:$B$266,2,FALSE)</f>
        <v>Sub-Saharan Africa</v>
      </c>
      <c r="E120" s="12" t="str">
        <f>VLOOKUP(B120,'[2]Metadata - Countries'!$A$1:$C$266,3,FALSE)</f>
        <v>Low income</v>
      </c>
      <c r="F120" s="12"/>
      <c r="G120" s="10">
        <v>14.754285111118801</v>
      </c>
      <c r="H120" s="12">
        <f>VLOOKUP(B120,[4]tas!$A$2:$H$247,5,FALSE)</f>
        <v>23.38</v>
      </c>
      <c r="I120" s="12">
        <f>VLOOKUP(B120,[4]tas!$A$2:$H$247,6,FALSE)</f>
        <v>23.39</v>
      </c>
      <c r="J120" s="12">
        <f>VLOOKUP(B120,[4]tas!$A$2:$H$247,7,FALSE)</f>
        <v>23.4</v>
      </c>
      <c r="K120" s="10">
        <v>15325603272.607267</v>
      </c>
      <c r="L120" s="10">
        <v>15869945477.855042</v>
      </c>
      <c r="M120" s="10">
        <v>17420814800.704494</v>
      </c>
      <c r="N120" s="10">
        <f>VLOOKUP(B120,[2]Data!$B$1:$G$267,4,FALSE)</f>
        <v>503.51453347295961</v>
      </c>
      <c r="O120" s="10">
        <f>VLOOKUP(B120,[2]Data!$B$1:$G$267,5,FALSE)</f>
        <v>508.71842770559078</v>
      </c>
      <c r="P120" s="10">
        <f>VLOOKUP(B120,[2]Data!$B$1:$G$267,6,FALSE)</f>
        <v>544.98750100338384</v>
      </c>
      <c r="Q120" s="12">
        <f>VLOOKUP(B120,[5]Sheet1!$B$421:$K$628,10,FALSE)</f>
        <v>0</v>
      </c>
      <c r="R120" s="12">
        <f>VLOOKUP(B120,[5]Sheet1!$B$213:$K$420,10,FALSE)</f>
        <v>0</v>
      </c>
      <c r="S120" s="12">
        <f>VLOOKUP(B120,[5]Sheet1!$B$2:$K$207,10,FALSE)</f>
        <v>0</v>
      </c>
      <c r="T120" s="12">
        <f>VLOOKUP(B120,[6]Sheet1!$B$421:$K$628,10,FALSE)</f>
        <v>0</v>
      </c>
      <c r="U120" s="12">
        <f>VLOOKUP(B120,[6]Sheet1!$B$213:$K$420,10,FALSE)</f>
        <v>0</v>
      </c>
      <c r="V120" s="12">
        <f>VLOOKUP(B120,[6]Sheet1!$B$2:$K$212,10,FALSE)</f>
        <v>0</v>
      </c>
      <c r="W120" s="13">
        <v>0</v>
      </c>
      <c r="X120" s="13">
        <v>0</v>
      </c>
      <c r="Y120" s="13">
        <v>0</v>
      </c>
      <c r="Z120" s="10">
        <v>12.753519951019101</v>
      </c>
      <c r="AA120" s="10">
        <v>39.866135455915902</v>
      </c>
      <c r="AB120" s="10">
        <v>39.572133322188698</v>
      </c>
      <c r="AC120" s="10">
        <v>39.256856790292503</v>
      </c>
      <c r="AD120" s="10">
        <v>3.2676248902229599</v>
      </c>
      <c r="AE120" s="10">
        <v>3.3351623645165902</v>
      </c>
      <c r="AF120" s="10">
        <v>3.40515250513719</v>
      </c>
      <c r="AG120" s="10">
        <v>52.31567720866277</v>
      </c>
      <c r="AH120" s="10">
        <v>53.619683740116876</v>
      </c>
      <c r="AI120" s="12">
        <f>VLOOKUP(B120,[7]all!$A$2:$I$247,6,FALSE)</f>
        <v>70.11</v>
      </c>
      <c r="AJ120" s="12">
        <f>VLOOKUP(B120,[7]all!$A$2:$I$247,7,FALSE)</f>
        <v>69.98</v>
      </c>
      <c r="AK120" s="12">
        <f>VLOOKUP(B120,[7]all!$A$2:$I$247,8,FALSE)</f>
        <v>70.23</v>
      </c>
      <c r="AL120" s="12"/>
    </row>
    <row r="121" spans="1:38" ht="21.4" x14ac:dyDescent="1.1000000000000001">
      <c r="A121" s="10" t="s">
        <v>237</v>
      </c>
      <c r="B121" s="11" t="s">
        <v>238</v>
      </c>
      <c r="C121" s="10" t="str">
        <f>VLOOKUP(B121,'[1]who-regions'!$B$1:$D$206,3,FALSE)</f>
        <v>AFR</v>
      </c>
      <c r="D121" s="12" t="str">
        <f>VLOOKUP(B121,'[2]Metadata - Countries'!$A$1:$B$266,2,FALSE)</f>
        <v>Sub-Saharan Africa</v>
      </c>
      <c r="E121" s="12" t="str">
        <f>VLOOKUP(B121,'[2]Metadata - Countries'!$A$1:$C$266,3,FALSE)</f>
        <v>Low income</v>
      </c>
      <c r="F121" s="12"/>
      <c r="G121" s="10">
        <v>49.241288812948902</v>
      </c>
      <c r="H121" s="12">
        <f>VLOOKUP(B121,[4]tas!$A$2:$H$247,5,FALSE)</f>
        <v>22.88</v>
      </c>
      <c r="I121" s="12">
        <f>VLOOKUP(B121,[4]tas!$A$2:$H$247,6,FALSE)</f>
        <v>22.87</v>
      </c>
      <c r="J121" s="12">
        <f>VLOOKUP(B121,[4]tas!$A$2:$H$247,7,FALSE)</f>
        <v>22.87</v>
      </c>
      <c r="K121" s="10">
        <v>12429060150.741961</v>
      </c>
      <c r="L121" s="10">
        <v>12712150082.079203</v>
      </c>
      <c r="M121" s="10">
        <v>11008925322.513369</v>
      </c>
      <c r="N121" s="10">
        <f>VLOOKUP(B121,[2]Data!$B$1:$G$267,4,FALSE)</f>
        <v>604.26974036031731</v>
      </c>
      <c r="O121" s="10">
        <f>VLOOKUP(B121,[2]Data!$B$1:$G$267,5,FALSE)</f>
        <v>633.21476797869502</v>
      </c>
      <c r="P121" s="10">
        <f>VLOOKUP(B121,[2]Data!$B$1:$G$267,6,FALSE)</f>
        <v>522.57039364254717</v>
      </c>
      <c r="Q121" s="12">
        <f>VLOOKUP(B121,[5]Sheet1!$B$421:$K$628,10,FALSE)</f>
        <v>0</v>
      </c>
      <c r="R121" s="12">
        <f>VLOOKUP(B121,[5]Sheet1!$B$213:$K$420,10,FALSE)</f>
        <v>0</v>
      </c>
      <c r="S121" s="12">
        <f>VLOOKUP(B121,[5]Sheet1!$B$2:$K$207,10,FALSE)</f>
        <v>0</v>
      </c>
      <c r="T121" s="12">
        <f>VLOOKUP(B121,[6]Sheet1!$B$421:$K$628,10,FALSE)</f>
        <v>0</v>
      </c>
      <c r="U121" s="12">
        <f>VLOOKUP(B121,[6]Sheet1!$B$213:$K$420,10,FALSE)</f>
        <v>0</v>
      </c>
      <c r="V121" s="12">
        <f>VLOOKUP(B121,[6]Sheet1!$B$2:$K$212,10,FALSE)</f>
        <v>0</v>
      </c>
      <c r="W121" s="13">
        <v>0</v>
      </c>
      <c r="X121" s="13">
        <v>0</v>
      </c>
      <c r="Y121" s="13">
        <v>0</v>
      </c>
      <c r="Z121" s="10">
        <v>23.698319435346399</v>
      </c>
      <c r="AA121" s="10">
        <v>41.933429232959902</v>
      </c>
      <c r="AB121" s="10">
        <v>41.316080600412697</v>
      </c>
      <c r="AC121" s="10">
        <v>40.705553369279002</v>
      </c>
      <c r="AD121" s="10">
        <v>2.6132194465306799</v>
      </c>
      <c r="AE121" s="10">
        <v>2.5925677163607301</v>
      </c>
      <c r="AF121" s="10">
        <v>2.58611915815843</v>
      </c>
      <c r="AG121" s="10">
        <v>218.16639796351294</v>
      </c>
      <c r="AH121" s="10">
        <v>223.8489817564701</v>
      </c>
      <c r="AI121" s="12">
        <f>VLOOKUP(B121,[7]all!$A$2:$I$247,6,FALSE)</f>
        <v>67.739999999999995</v>
      </c>
      <c r="AJ121" s="12">
        <f>VLOOKUP(B121,[7]all!$A$2:$I$247,7,FALSE)</f>
        <v>67.92</v>
      </c>
      <c r="AK121" s="12">
        <f>VLOOKUP(B121,[7]all!$A$2:$I$247,8,FALSE)</f>
        <v>68.040000000000006</v>
      </c>
      <c r="AL121" s="12"/>
    </row>
    <row r="122" spans="1:38" ht="21.4" x14ac:dyDescent="1.1000000000000001">
      <c r="A122" s="10" t="s">
        <v>239</v>
      </c>
      <c r="B122" s="11" t="s">
        <v>240</v>
      </c>
      <c r="C122" s="10" t="str">
        <f>VLOOKUP(B122,'[1]who-regions'!$B$1:$D$206,3,FALSE)</f>
        <v>WPR</v>
      </c>
      <c r="D122" s="12" t="str">
        <f>VLOOKUP(B122,'[2]Metadata - Countries'!$A$1:$B$266,2,FALSE)</f>
        <v>East Asia &amp; Pacific</v>
      </c>
      <c r="E122" s="12" t="str">
        <f>VLOOKUP(B122,'[2]Metadata - Countries'!$A$1:$C$266,3,FALSE)</f>
        <v>Upper middle income</v>
      </c>
      <c r="F122" s="12"/>
      <c r="G122" s="10">
        <v>95.996135200180206</v>
      </c>
      <c r="H122" s="12">
        <f>VLOOKUP(B122,[4]tas!$A$2:$H$247,5,FALSE)</f>
        <v>26.41</v>
      </c>
      <c r="I122" s="12">
        <f>VLOOKUP(B122,[4]tas!$A$2:$H$247,6,FALSE)</f>
        <v>26.44</v>
      </c>
      <c r="J122" s="12">
        <f>VLOOKUP(B122,[4]tas!$A$2:$H$247,7,FALSE)</f>
        <v>26.47</v>
      </c>
      <c r="K122" s="10">
        <v>407605841348.2348</v>
      </c>
      <c r="L122" s="10">
        <v>399705137434.07428</v>
      </c>
      <c r="M122" s="10">
        <v>421972102253.57031</v>
      </c>
      <c r="N122" s="10">
        <f>VLOOKUP(B122,[2]Data!$B$1:$G$267,4,FALSE)</f>
        <v>11754.567833624773</v>
      </c>
      <c r="O122" s="10">
        <f>VLOOKUP(B122,[2]Data!$B$1:$G$267,5,FALSE)</f>
        <v>11386.039563652774</v>
      </c>
      <c r="P122" s="10">
        <f>VLOOKUP(B122,[2]Data!$B$1:$G$267,6,FALSE)</f>
        <v>11874.427368424476</v>
      </c>
      <c r="Q122" s="12">
        <f>VLOOKUP(B122,[5]Sheet1!$B$421:$K$628,10,FALSE)</f>
        <v>0</v>
      </c>
      <c r="R122" s="12">
        <f>VLOOKUP(B122,[5]Sheet1!$B$213:$K$420,10,FALSE)</f>
        <v>0</v>
      </c>
      <c r="S122" s="12">
        <f>VLOOKUP(B122,[5]Sheet1!$B$2:$K$207,10,FALSE)</f>
        <v>0</v>
      </c>
      <c r="T122" s="12">
        <f>VLOOKUP(B122,[6]Sheet1!$B$421:$K$628,10,FALSE)</f>
        <v>0</v>
      </c>
      <c r="U122" s="12">
        <f>VLOOKUP(B122,[6]Sheet1!$B$213:$K$420,10,FALSE)</f>
        <v>0</v>
      </c>
      <c r="V122" s="12">
        <f>VLOOKUP(B122,[6]Sheet1!$B$2:$K$212,10,FALSE)</f>
        <v>0</v>
      </c>
      <c r="W122" s="13">
        <v>0</v>
      </c>
      <c r="X122" s="13">
        <v>85.217979431152301</v>
      </c>
      <c r="Y122" s="13">
        <v>0</v>
      </c>
      <c r="Z122" s="10">
        <v>16.1938532237922</v>
      </c>
      <c r="AA122" s="10">
        <v>22.833670355973901</v>
      </c>
      <c r="AB122" s="10">
        <v>22.287992033774799</v>
      </c>
      <c r="AC122" s="10">
        <v>21.786393027091599</v>
      </c>
      <c r="AD122" s="10">
        <v>7.1856393566737902</v>
      </c>
      <c r="AE122" s="10">
        <v>7.4511737616073299</v>
      </c>
      <c r="AF122" s="10">
        <v>7.7378515779442099</v>
      </c>
      <c r="AG122" s="10">
        <v>105.60186577385481</v>
      </c>
      <c r="AH122" s="10">
        <v>106.91309694110485</v>
      </c>
      <c r="AI122" s="12">
        <f>VLOOKUP(B122,[7]all!$A$2:$I$247,6,FALSE)</f>
        <v>81.63</v>
      </c>
      <c r="AJ122" s="12">
        <f>VLOOKUP(B122,[7]all!$A$2:$I$247,7,FALSE)</f>
        <v>81.650000000000006</v>
      </c>
      <c r="AK122" s="12">
        <f>VLOOKUP(B122,[7]all!$A$2:$I$247,8,FALSE)</f>
        <v>81.64</v>
      </c>
      <c r="AL122" s="15">
        <v>207785</v>
      </c>
    </row>
    <row r="123" spans="1:38" ht="21.4" x14ac:dyDescent="1.1000000000000001">
      <c r="A123" s="10" t="s">
        <v>241</v>
      </c>
      <c r="B123" s="11" t="s">
        <v>242</v>
      </c>
      <c r="C123" s="10" t="str">
        <f>VLOOKUP(B123,'[1]who-regions'!$B$1:$D$206,3,FALSE)</f>
        <v>SEAR</v>
      </c>
      <c r="D123" s="12" t="str">
        <f>VLOOKUP(B123,'[2]Metadata - Countries'!$A$1:$B$266,2,FALSE)</f>
        <v>South Asia</v>
      </c>
      <c r="E123" s="12" t="str">
        <f>VLOOKUP(B123,'[2]Metadata - Countries'!$A$1:$C$266,3,FALSE)</f>
        <v>Upper middle income</v>
      </c>
      <c r="F123" s="12"/>
      <c r="G123" s="10">
        <v>99.700538860316001</v>
      </c>
      <c r="H123" s="12">
        <f>VLOOKUP(B123,[4]tas!$A$2:$H$247,5,FALSE)</f>
        <v>27.41</v>
      </c>
      <c r="I123" s="12">
        <f>VLOOKUP(B123,[4]tas!$A$2:$H$247,6,FALSE)</f>
        <v>27.43</v>
      </c>
      <c r="J123" s="12">
        <f>VLOOKUP(B123,[4]tas!$A$2:$H$247,7,FALSE)</f>
        <v>27.5</v>
      </c>
      <c r="K123" s="10">
        <v>6177118113.9463654</v>
      </c>
      <c r="L123" s="10">
        <v>6590894301.9579</v>
      </c>
      <c r="M123" s="10">
        <v>6975146349.4259214</v>
      </c>
      <c r="N123" s="10">
        <f>VLOOKUP(B123,[2]Data!$B$1:$G$267,4,FALSE)</f>
        <v>11786.019149298254</v>
      </c>
      <c r="O123" s="10">
        <f>VLOOKUP(B123,[2]Data!$B$1:$G$267,5,FALSE)</f>
        <v>12587.612603865125</v>
      </c>
      <c r="P123" s="10">
        <f>VLOOKUP(B123,[2]Data!$B$1:$G$267,6,FALSE)</f>
        <v>13379.351357722368</v>
      </c>
      <c r="Q123" s="12">
        <f>VLOOKUP(B123,[5]Sheet1!$B$421:$K$628,10,FALSE)</f>
        <v>0</v>
      </c>
      <c r="R123" s="12">
        <f>VLOOKUP(B123,[5]Sheet1!$B$213:$K$420,10,FALSE)</f>
        <v>0</v>
      </c>
      <c r="S123" s="12">
        <f>VLOOKUP(B123,[5]Sheet1!$B$2:$K$207,10,FALSE)</f>
        <v>0</v>
      </c>
      <c r="T123" s="12">
        <f>VLOOKUP(B123,[6]Sheet1!$B$421:$K$628,10,FALSE)</f>
        <v>0</v>
      </c>
      <c r="U123" s="12">
        <f>VLOOKUP(B123,[6]Sheet1!$B$213:$K$420,10,FALSE)</f>
        <v>0</v>
      </c>
      <c r="V123" s="12">
        <f>VLOOKUP(B123,[6]Sheet1!$B$2:$K$212,10,FALSE)</f>
        <v>0</v>
      </c>
      <c r="W123" s="13">
        <v>0</v>
      </c>
      <c r="X123" s="13">
        <v>91.941543579101605</v>
      </c>
      <c r="Y123" s="13">
        <v>0</v>
      </c>
      <c r="Z123" s="10">
        <v>12.012391166851099</v>
      </c>
      <c r="AA123" s="10">
        <v>20.3824031947705</v>
      </c>
      <c r="AB123" s="10">
        <v>20.048992954292299</v>
      </c>
      <c r="AC123" s="10">
        <v>19.592022720770601</v>
      </c>
      <c r="AD123" s="10">
        <v>4.0816131835800498</v>
      </c>
      <c r="AE123" s="10">
        <v>4.3451065981741204</v>
      </c>
      <c r="AF123" s="10">
        <v>4.6402134145763796</v>
      </c>
      <c r="AG123" s="10">
        <v>1747.02</v>
      </c>
      <c r="AH123" s="10">
        <v>1765.0805369127518</v>
      </c>
      <c r="AI123" s="12">
        <f>VLOOKUP(B123,[7]all!$A$2:$I$247,6,FALSE)</f>
        <v>81.37</v>
      </c>
      <c r="AJ123" s="12">
        <f>VLOOKUP(B123,[7]all!$A$2:$I$247,7,FALSE)</f>
        <v>81.36</v>
      </c>
      <c r="AK123" s="12">
        <f>VLOOKUP(B123,[7]all!$A$2:$I$247,8,FALSE)</f>
        <v>81.38</v>
      </c>
      <c r="AL123" s="12"/>
    </row>
    <row r="124" spans="1:38" ht="21.4" x14ac:dyDescent="1.1000000000000001">
      <c r="A124" s="10" t="s">
        <v>243</v>
      </c>
      <c r="B124" s="11" t="s">
        <v>244</v>
      </c>
      <c r="C124" s="10" t="str">
        <f>VLOOKUP(B124,'[1]who-regions'!$B$1:$D$206,3,FALSE)</f>
        <v>AFR</v>
      </c>
      <c r="D124" s="12" t="str">
        <f>VLOOKUP(B124,'[2]Metadata - Countries'!$A$1:$B$266,2,FALSE)</f>
        <v>Sub-Saharan Africa</v>
      </c>
      <c r="E124" s="12" t="str">
        <f>VLOOKUP(B124,'[2]Metadata - Countries'!$A$1:$C$266,3,FALSE)</f>
        <v>Low income</v>
      </c>
      <c r="F124" s="12"/>
      <c r="G124" s="10">
        <v>50.208551122290103</v>
      </c>
      <c r="H124" s="12">
        <f>VLOOKUP(B124,[4]tas!$A$2:$H$247,5,FALSE)</f>
        <v>29.24</v>
      </c>
      <c r="I124" s="12">
        <f>VLOOKUP(B124,[4]tas!$A$2:$H$247,6,FALSE)</f>
        <v>29.2</v>
      </c>
      <c r="J124" s="12">
        <f>VLOOKUP(B124,[4]tas!$A$2:$H$247,7,FALSE)</f>
        <v>29.35</v>
      </c>
      <c r="K124" s="10">
        <v>22374051349.944458</v>
      </c>
      <c r="L124" s="10">
        <v>24621545564.875267</v>
      </c>
      <c r="M124" s="10">
        <v>26588067731.169247</v>
      </c>
      <c r="N124" s="10">
        <f>VLOOKUP(B124,[2]Data!$B$1:$G$267,4,FALSE)</f>
        <v>976.91411640645185</v>
      </c>
      <c r="O124" s="10">
        <f>VLOOKUP(B124,[2]Data!$B$1:$G$267,5,FALSE)</f>
        <v>1043.9533853528012</v>
      </c>
      <c r="P124" s="10">
        <f>VLOOKUP(B124,[2]Data!$B$1:$G$267,6,FALSE)</f>
        <v>1094.6194926579924</v>
      </c>
      <c r="Q124" s="12">
        <f>VLOOKUP(B124,[5]Sheet1!$B$421:$K$628,10,FALSE)</f>
        <v>0</v>
      </c>
      <c r="R124" s="12">
        <f>VLOOKUP(B124,[5]Sheet1!$B$213:$K$420,10,FALSE)</f>
        <v>0</v>
      </c>
      <c r="S124" s="12">
        <f>VLOOKUP(B124,[5]Sheet1!$B$2:$K$207,10,FALSE)</f>
        <v>0</v>
      </c>
      <c r="T124" s="12">
        <f>VLOOKUP(B124,[6]Sheet1!$B$421:$K$628,10,FALSE)</f>
        <v>0</v>
      </c>
      <c r="U124" s="12">
        <f>VLOOKUP(B124,[6]Sheet1!$B$213:$K$420,10,FALSE)</f>
        <v>0</v>
      </c>
      <c r="V124" s="12">
        <f>VLOOKUP(B124,[6]Sheet1!$B$2:$K$212,10,FALSE)</f>
        <v>0</v>
      </c>
      <c r="W124" s="13">
        <v>0</v>
      </c>
      <c r="X124" s="13">
        <v>0</v>
      </c>
      <c r="Y124" s="13">
        <v>0</v>
      </c>
      <c r="Z124" s="10">
        <v>56.783048922298804</v>
      </c>
      <c r="AA124" s="10">
        <v>46.750072813514201</v>
      </c>
      <c r="AB124" s="10">
        <v>46.460201368350603</v>
      </c>
      <c r="AC124" s="10">
        <v>46.142281733443397</v>
      </c>
      <c r="AD124" s="10">
        <v>2.4262091377493</v>
      </c>
      <c r="AE124" s="10">
        <v>2.4053154664595899</v>
      </c>
      <c r="AF124" s="10">
        <v>2.3840174980627502</v>
      </c>
      <c r="AG124" s="10">
        <v>18.909055147149214</v>
      </c>
      <c r="AH124" s="10">
        <v>19.479857235348593</v>
      </c>
      <c r="AI124" s="12">
        <f>VLOOKUP(B124,[7]all!$A$2:$I$247,6,FALSE)</f>
        <v>30.82</v>
      </c>
      <c r="AJ124" s="12">
        <f>VLOOKUP(B124,[7]all!$A$2:$I$247,7,FALSE)</f>
        <v>30.92</v>
      </c>
      <c r="AK124" s="12">
        <f>VLOOKUP(B124,[7]all!$A$2:$I$247,8,FALSE)</f>
        <v>30.71</v>
      </c>
      <c r="AL124" s="12"/>
    </row>
    <row r="125" spans="1:38" ht="21.4" x14ac:dyDescent="1.1000000000000001">
      <c r="A125" s="10" t="s">
        <v>245</v>
      </c>
      <c r="B125" s="11" t="s">
        <v>246</v>
      </c>
      <c r="C125" s="10" t="str">
        <f>VLOOKUP(B125,'[1]who-regions'!$B$1:$D$206,3,FALSE)</f>
        <v>EUR</v>
      </c>
      <c r="D125" s="12" t="str">
        <f>VLOOKUP(B125,'[2]Metadata - Countries'!$A$1:$B$266,2,FALSE)</f>
        <v>Middle East &amp; North Africa</v>
      </c>
      <c r="E125" s="12" t="str">
        <f>VLOOKUP(B125,'[2]Metadata - Countries'!$A$1:$C$266,3,FALSE)</f>
        <v>High income</v>
      </c>
      <c r="F125" s="12"/>
      <c r="G125" s="10">
        <v>99.964422815225007</v>
      </c>
      <c r="H125" s="12">
        <f>VLOOKUP(B125,[4]tas!$A$2:$H$247,5,FALSE)</f>
        <v>20</v>
      </c>
      <c r="I125" s="12">
        <f>VLOOKUP(B125,[4]tas!$A$2:$H$247,6,FALSE)</f>
        <v>20.05</v>
      </c>
      <c r="J125" s="12">
        <f>VLOOKUP(B125,[4]tas!$A$2:$H$247,7,FALSE)</f>
        <v>20.079999999999998</v>
      </c>
      <c r="K125" s="10">
        <v>19239187083.519371</v>
      </c>
      <c r="L125" s="10">
        <v>22210718401.020718</v>
      </c>
      <c r="M125" s="10">
        <v>24322006607.929516</v>
      </c>
      <c r="N125" s="10">
        <f>VLOOKUP(B125,[2]Data!$B$1:$G$267,4,FALSE)</f>
        <v>35638.886945740596</v>
      </c>
      <c r="O125" s="10">
        <f>VLOOKUP(B125,[2]Data!$B$1:$G$267,5,FALSE)</f>
        <v>40905.805958505691</v>
      </c>
      <c r="P125" s="10">
        <f>VLOOKUP(B125,[2]Data!$B$1:$G$267,6,FALSE)</f>
        <v>43898.578180859666</v>
      </c>
      <c r="Q125" s="12">
        <f>VLOOKUP(B125,[5]Sheet1!$B$421:$K$628,10,FALSE)</f>
        <v>0</v>
      </c>
      <c r="R125" s="12">
        <f>VLOOKUP(B125,[5]Sheet1!$B$213:$K$420,10,FALSE)</f>
        <v>0</v>
      </c>
      <c r="S125" s="12">
        <f>VLOOKUP(B125,[5]Sheet1!$B$2:$K$207,10,FALSE)</f>
        <v>0</v>
      </c>
      <c r="T125" s="12">
        <f>VLOOKUP(B125,[6]Sheet1!$B$421:$K$628,10,FALSE)</f>
        <v>50.47</v>
      </c>
      <c r="U125" s="12">
        <f>VLOOKUP(B125,[6]Sheet1!$B$213:$K$420,10,FALSE)</f>
        <v>54.7</v>
      </c>
      <c r="V125" s="12">
        <f>VLOOKUP(B125,[6]Sheet1!$B$2:$K$212,10,FALSE)</f>
        <v>87.89</v>
      </c>
      <c r="W125" s="13">
        <v>0</v>
      </c>
      <c r="X125" s="13">
        <v>0</v>
      </c>
      <c r="Y125" s="13">
        <v>0</v>
      </c>
      <c r="Z125" s="10">
        <v>11.722664877414701</v>
      </c>
      <c r="AA125" s="10">
        <v>13.211483702895899</v>
      </c>
      <c r="AB125" s="10">
        <v>13.1518361740932</v>
      </c>
      <c r="AC125" s="10">
        <v>13.0305018281824</v>
      </c>
      <c r="AD125" s="10">
        <v>19.284370077547599</v>
      </c>
      <c r="AE125" s="10">
        <v>19.800039778142999</v>
      </c>
      <c r="AF125" s="10">
        <v>20.212302657304299</v>
      </c>
      <c r="AG125" s="10">
        <v>1659.7281250000001</v>
      </c>
      <c r="AH125" s="10">
        <v>1727.3343749999999</v>
      </c>
      <c r="AI125" s="12">
        <f>VLOOKUP(B125,[7]all!$A$2:$I$247,6,FALSE)</f>
        <v>75.989999999999995</v>
      </c>
      <c r="AJ125" s="12">
        <f>VLOOKUP(B125,[7]all!$A$2:$I$247,7,FALSE)</f>
        <v>76.11</v>
      </c>
      <c r="AK125" s="12">
        <f>VLOOKUP(B125,[7]all!$A$2:$I$247,8,FALSE)</f>
        <v>76.14</v>
      </c>
      <c r="AL125" s="12"/>
    </row>
    <row r="126" spans="1:38" ht="21.4" x14ac:dyDescent="1.1000000000000001">
      <c r="A126" s="10" t="s">
        <v>247</v>
      </c>
      <c r="B126" s="11" t="s">
        <v>248</v>
      </c>
      <c r="C126" s="10" t="str">
        <f>VLOOKUP(B126,'[1]who-regions'!$B$1:$D$206,3,FALSE)</f>
        <v>WPR</v>
      </c>
      <c r="D126" s="12" t="str">
        <f>VLOOKUP(B126,'[2]Metadata - Countries'!$A$1:$B$266,2,FALSE)</f>
        <v>East Asia &amp; Pacific</v>
      </c>
      <c r="E126" s="12" t="str">
        <f>VLOOKUP(B126,'[2]Metadata - Countries'!$A$1:$C$266,3,FALSE)</f>
        <v>Upper middle income</v>
      </c>
      <c r="F126" s="12"/>
      <c r="G126" s="10">
        <v>81.459674355676597</v>
      </c>
      <c r="H126" s="12">
        <f>VLOOKUP(B126,[4]tas!$A$2:$H$247,5,FALSE)</f>
        <v>27.32</v>
      </c>
      <c r="I126" s="12">
        <f>VLOOKUP(B126,[4]tas!$A$2:$H$247,6,FALSE)</f>
        <v>27.34</v>
      </c>
      <c r="J126" s="12">
        <f>VLOOKUP(B126,[4]tas!$A$2:$H$247,7,FALSE)</f>
        <v>27.37</v>
      </c>
      <c r="K126" s="10">
        <v>253400000</v>
      </c>
      <c r="L126" s="10">
        <v>259300000</v>
      </c>
      <c r="M126" s="10">
        <v>280357844.22980201</v>
      </c>
      <c r="N126" s="10">
        <f>VLOOKUP(B126,[2]Data!$B$1:$G$267,4,FALSE)</f>
        <v>6455.6606218576244</v>
      </c>
      <c r="O126" s="10">
        <f>VLOOKUP(B126,[2]Data!$B$1:$G$267,5,FALSE)</f>
        <v>6793.2449589585594</v>
      </c>
      <c r="P126" s="10">
        <f>VLOOKUP(B126,[2]Data!$B$1:$G$267,6,FALSE)</f>
        <v>7726.3366887779366</v>
      </c>
      <c r="Q126" s="12">
        <f>VLOOKUP(B126,[5]Sheet1!$B$421:$K$628,10,FALSE)</f>
        <v>0</v>
      </c>
      <c r="R126" s="12">
        <f>VLOOKUP(B126,[5]Sheet1!$B$213:$K$420,10,FALSE)</f>
        <v>0</v>
      </c>
      <c r="S126" s="12">
        <f>VLOOKUP(B126,[5]Sheet1!$B$2:$K$207,10,FALSE)</f>
        <v>0</v>
      </c>
      <c r="T126" s="12">
        <f>VLOOKUP(B126,[6]Sheet1!$B$421:$K$628,10,FALSE)</f>
        <v>0</v>
      </c>
      <c r="U126" s="12">
        <f>VLOOKUP(B126,[6]Sheet1!$B$213:$K$420,10,FALSE)</f>
        <v>0</v>
      </c>
      <c r="V126" s="12">
        <f>VLOOKUP(B126,[6]Sheet1!$B$2:$K$212,10,FALSE)</f>
        <v>0</v>
      </c>
      <c r="W126" s="13">
        <v>0</v>
      </c>
      <c r="X126" s="13">
        <v>0</v>
      </c>
      <c r="Y126" s="13">
        <v>0</v>
      </c>
      <c r="Z126" s="10">
        <v>10.7256194470999</v>
      </c>
      <c r="AA126" s="10">
        <v>34.618359657658999</v>
      </c>
      <c r="AB126" s="10">
        <v>34.705230896026002</v>
      </c>
      <c r="AC126" s="10">
        <v>34.474539256418502</v>
      </c>
      <c r="AD126" s="10">
        <v>4.1120842378421498</v>
      </c>
      <c r="AE126" s="10">
        <v>4.3822597676874304</v>
      </c>
      <c r="AF126" s="10">
        <v>4.6407265366996899</v>
      </c>
      <c r="AG126" s="10">
        <v>222.65</v>
      </c>
      <c r="AH126" s="10">
        <v>215.70555555555555</v>
      </c>
      <c r="AI126" s="12">
        <f>VLOOKUP(B126,[7]all!$A$2:$I$247,6,FALSE)</f>
        <v>82.92</v>
      </c>
      <c r="AJ126" s="12">
        <f>VLOOKUP(B126,[7]all!$A$2:$I$247,7,FALSE)</f>
        <v>82.96</v>
      </c>
      <c r="AK126" s="12">
        <f>VLOOKUP(B126,[7]all!$A$2:$I$247,8,FALSE)</f>
        <v>82.96</v>
      </c>
      <c r="AL126" s="12"/>
    </row>
    <row r="127" spans="1:38" ht="21.4" x14ac:dyDescent="1.1000000000000001">
      <c r="A127" s="10" t="s">
        <v>249</v>
      </c>
      <c r="B127" s="11" t="s">
        <v>250</v>
      </c>
      <c r="C127" s="10" t="str">
        <f>VLOOKUP(B127,'[1]who-regions'!$B$1:$D$206,3,FALSE)</f>
        <v>AFR</v>
      </c>
      <c r="D127" s="12" t="str">
        <f>VLOOKUP(B127,'[2]Metadata - Countries'!$A$1:$B$266,2,FALSE)</f>
        <v>Sub-Saharan Africa</v>
      </c>
      <c r="E127" s="12" t="str">
        <f>VLOOKUP(B127,'[2]Metadata - Countries'!$A$1:$C$266,3,FALSE)</f>
        <v>Lower middle income</v>
      </c>
      <c r="F127" s="12"/>
      <c r="G127" s="10">
        <v>55.929894395425698</v>
      </c>
      <c r="H127" s="12">
        <f>VLOOKUP(B127,[4]tas!$A$2:$H$247,5,FALSE)</f>
        <v>28.28</v>
      </c>
      <c r="I127" s="12">
        <f>VLOOKUP(B127,[4]tas!$A$2:$H$247,6,FALSE)</f>
        <v>28.22</v>
      </c>
      <c r="J127" s="12">
        <f>VLOOKUP(B127,[4]tas!$A$2:$H$247,7,FALSE)</f>
        <v>28.34</v>
      </c>
      <c r="K127" s="10">
        <v>9557966698.2536888</v>
      </c>
      <c r="L127" s="10">
        <v>10651709314.164392</v>
      </c>
      <c r="M127" s="10">
        <v>10766731873.540733</v>
      </c>
      <c r="N127" s="10">
        <f>VLOOKUP(B127,[2]Data!$B$1:$G$267,4,FALSE)</f>
        <v>1960.3524007742351</v>
      </c>
      <c r="O127" s="10">
        <f>VLOOKUP(B127,[2]Data!$B$1:$G$267,5,FALSE)</f>
        <v>2135.7818760635901</v>
      </c>
      <c r="P127" s="10">
        <f>VLOOKUP(B127,[2]Data!$B$1:$G$267,6,FALSE)</f>
        <v>2110.1203693818711</v>
      </c>
      <c r="Q127" s="12">
        <f>VLOOKUP(B127,[5]Sheet1!$B$421:$K$628,10,FALSE)</f>
        <v>0</v>
      </c>
      <c r="R127" s="12">
        <f>VLOOKUP(B127,[5]Sheet1!$B$213:$K$420,10,FALSE)</f>
        <v>0</v>
      </c>
      <c r="S127" s="12">
        <f>VLOOKUP(B127,[5]Sheet1!$B$2:$K$207,10,FALSE)</f>
        <v>0</v>
      </c>
      <c r="T127" s="12">
        <f>VLOOKUP(B127,[6]Sheet1!$B$421:$K$628,10,FALSE)</f>
        <v>0</v>
      </c>
      <c r="U127" s="12">
        <f>VLOOKUP(B127,[6]Sheet1!$B$213:$K$420,10,FALSE)</f>
        <v>0</v>
      </c>
      <c r="V127" s="12">
        <f>VLOOKUP(B127,[6]Sheet1!$B$2:$K$212,10,FALSE)</f>
        <v>0</v>
      </c>
      <c r="W127" s="13">
        <v>0</v>
      </c>
      <c r="X127" s="13">
        <v>0</v>
      </c>
      <c r="Y127" s="13">
        <v>0</v>
      </c>
      <c r="Z127" s="10">
        <v>70.822444210368701</v>
      </c>
      <c r="AA127" s="10">
        <v>43.352320593973602</v>
      </c>
      <c r="AB127" s="10">
        <v>43.036081156943297</v>
      </c>
      <c r="AC127" s="10">
        <v>42.711212558605702</v>
      </c>
      <c r="AD127" s="10">
        <v>3.20850350338802</v>
      </c>
      <c r="AE127" s="10">
        <v>3.2153286404630101</v>
      </c>
      <c r="AF127" s="10">
        <v>3.2284142314125499</v>
      </c>
      <c r="AG127" s="10">
        <v>4.730413311341807</v>
      </c>
      <c r="AH127" s="10">
        <v>4.8728446686717763</v>
      </c>
      <c r="AI127" s="12">
        <f>VLOOKUP(B127,[7]all!$A$2:$I$247,6,FALSE)</f>
        <v>28.54</v>
      </c>
      <c r="AJ127" s="12">
        <f>VLOOKUP(B127,[7]all!$A$2:$I$247,7,FALSE)</f>
        <v>28.76</v>
      </c>
      <c r="AK127" s="12">
        <f>VLOOKUP(B127,[7]all!$A$2:$I$247,8,FALSE)</f>
        <v>28.54</v>
      </c>
      <c r="AL127" s="12"/>
    </row>
    <row r="128" spans="1:38" ht="21.4" x14ac:dyDescent="1.1000000000000001">
      <c r="A128" s="10" t="s">
        <v>251</v>
      </c>
      <c r="B128" s="11" t="s">
        <v>252</v>
      </c>
      <c r="C128" s="10" t="str">
        <f>VLOOKUP(B128,'[1]who-regions'!$B$1:$D$206,3,FALSE)</f>
        <v>AFR</v>
      </c>
      <c r="D128" s="12" t="str">
        <f>VLOOKUP(B128,'[2]Metadata - Countries'!$A$1:$B$266,2,FALSE)</f>
        <v>Sub-Saharan Africa</v>
      </c>
      <c r="E128" s="12" t="str">
        <f>VLOOKUP(B128,'[2]Metadata - Countries'!$A$1:$C$266,3,FALSE)</f>
        <v>Upper middle income</v>
      </c>
      <c r="F128" s="12"/>
      <c r="G128" s="10">
        <v>0</v>
      </c>
      <c r="H128" s="12">
        <f>VLOOKUP(B128,[4]tas!$A$2:$H$247,5,FALSE)</f>
        <v>24.06</v>
      </c>
      <c r="I128" s="12">
        <f>VLOOKUP(B128,[4]tas!$A$2:$H$247,6,FALSE)</f>
        <v>24.14</v>
      </c>
      <c r="J128" s="12">
        <f>VLOOKUP(B128,[4]tas!$A$2:$H$247,7,FALSE)</f>
        <v>24.13</v>
      </c>
      <c r="K128" s="10">
        <v>12907767789.596737</v>
      </c>
      <c r="L128" s="10">
        <v>14101195732.674135</v>
      </c>
      <c r="M128" s="10">
        <v>14952555414.855322</v>
      </c>
      <c r="N128" s="10">
        <f>VLOOKUP(B128,[2]Data!$B$1:$G$267,4,FALSE)</f>
        <v>10246.501745555295</v>
      </c>
      <c r="O128" s="10">
        <f>VLOOKUP(B128,[2]Data!$B$1:$G$267,5,FALSE)</f>
        <v>11269.968446213859</v>
      </c>
      <c r="P128" s="10">
        <f>VLOOKUP(B128,[2]Data!$B$1:$G$267,6,FALSE)</f>
        <v>11990.77989448369</v>
      </c>
      <c r="Q128" s="12">
        <f>VLOOKUP(B128,[5]Sheet1!$B$421:$K$628,10,FALSE)</f>
        <v>0</v>
      </c>
      <c r="R128" s="12">
        <f>VLOOKUP(B128,[5]Sheet1!$B$213:$K$420,10,FALSE)</f>
        <v>0</v>
      </c>
      <c r="S128" s="12">
        <f>VLOOKUP(B128,[5]Sheet1!$B$2:$K$207,10,FALSE)</f>
        <v>0</v>
      </c>
      <c r="T128" s="12">
        <f>VLOOKUP(B128,[6]Sheet1!$B$421:$K$628,10,FALSE)</f>
        <v>0</v>
      </c>
      <c r="U128" s="12">
        <f>VLOOKUP(B128,[6]Sheet1!$B$213:$K$420,10,FALSE)</f>
        <v>0</v>
      </c>
      <c r="V128" s="12">
        <f>VLOOKUP(B128,[6]Sheet1!$B$2:$K$212,10,FALSE)</f>
        <v>36.53</v>
      </c>
      <c r="W128" s="13">
        <v>0</v>
      </c>
      <c r="X128" s="13">
        <v>72.2059326171875</v>
      </c>
      <c r="Y128" s="13">
        <v>0</v>
      </c>
      <c r="Z128" s="10">
        <v>9.1529688058001408</v>
      </c>
      <c r="AA128" s="10">
        <v>15.475545389398199</v>
      </c>
      <c r="AB128" s="10">
        <v>15.124239549995799</v>
      </c>
      <c r="AC128" s="10">
        <v>14.8108552049334</v>
      </c>
      <c r="AD128" s="10">
        <v>12.3957639095405</v>
      </c>
      <c r="AE128" s="10">
        <v>12.9415870752551</v>
      </c>
      <c r="AF128" s="10">
        <v>13.5258962419631</v>
      </c>
      <c r="AG128" s="10">
        <v>632.20981472208314</v>
      </c>
      <c r="AH128" s="10">
        <v>631.46770155232855</v>
      </c>
      <c r="AI128" s="12">
        <f>VLOOKUP(B128,[7]all!$A$2:$I$247,6,FALSE)</f>
        <v>77.930000000000007</v>
      </c>
      <c r="AJ128" s="12">
        <f>VLOOKUP(B128,[7]all!$A$2:$I$247,7,FALSE)</f>
        <v>77.849999999999994</v>
      </c>
      <c r="AK128" s="12">
        <f>VLOOKUP(B128,[7]all!$A$2:$I$247,8,FALSE)</f>
        <v>77.97</v>
      </c>
      <c r="AL128" s="12"/>
    </row>
    <row r="129" spans="1:38" ht="21.4" x14ac:dyDescent="1.1000000000000001">
      <c r="A129" s="10" t="s">
        <v>253</v>
      </c>
      <c r="B129" s="11" t="s">
        <v>254</v>
      </c>
      <c r="C129" s="10" t="str">
        <f>VLOOKUP(B129,'[1]who-regions'!$B$1:$D$206,3,FALSE)</f>
        <v>AMR</v>
      </c>
      <c r="D129" s="12" t="str">
        <f>VLOOKUP(B129,'[2]Metadata - Countries'!$A$1:$B$266,2,FALSE)</f>
        <v>Latin America &amp; Caribbean</v>
      </c>
      <c r="E129" s="12" t="str">
        <f>VLOOKUP(B129,'[2]Metadata - Countries'!$A$1:$C$266,3,FALSE)</f>
        <v>Upper middle income</v>
      </c>
      <c r="F129" s="12"/>
      <c r="G129" s="10">
        <v>92.518447768031905</v>
      </c>
      <c r="H129" s="12">
        <f>VLOOKUP(B129,[4]tas!$A$2:$H$247,5,FALSE)</f>
        <v>21.8</v>
      </c>
      <c r="I129" s="12">
        <f>VLOOKUP(B129,[4]tas!$A$2:$H$247,6,FALSE)</f>
        <v>21.89</v>
      </c>
      <c r="J129" s="12">
        <f>VLOOKUP(B129,[4]tas!$A$2:$H$247,7,FALSE)</f>
        <v>21.85</v>
      </c>
      <c r="K129" s="10">
        <v>1466464899303.6838</v>
      </c>
      <c r="L129" s="10">
        <v>1793798859343.2734</v>
      </c>
      <c r="M129" s="10">
        <v>1852722885258.1101</v>
      </c>
      <c r="N129" s="10">
        <f>VLOOKUP(B129,[2]Data!$B$1:$G$267,4,FALSE)</f>
        <v>11405.79404737593</v>
      </c>
      <c r="O129" s="10">
        <f>VLOOKUP(B129,[2]Data!$B$1:$G$267,5,FALSE)</f>
        <v>13860.959780932561</v>
      </c>
      <c r="P129" s="10">
        <f>VLOOKUP(B129,[2]Data!$B$1:$G$267,6,FALSE)</f>
        <v>14185.781224852855</v>
      </c>
      <c r="Q129" s="12">
        <f>VLOOKUP(B129,[5]Sheet1!$B$421:$K$628,10,FALSE)</f>
        <v>0</v>
      </c>
      <c r="R129" s="12">
        <f>VLOOKUP(B129,[5]Sheet1!$B$213:$K$420,10,FALSE)</f>
        <v>0</v>
      </c>
      <c r="S129" s="12">
        <f>VLOOKUP(B129,[5]Sheet1!$B$2:$K$207,10,FALSE)</f>
        <v>0</v>
      </c>
      <c r="T129" s="12">
        <f>VLOOKUP(B129,[6]Sheet1!$B$421:$K$628,10,FALSE)</f>
        <v>95</v>
      </c>
      <c r="U129" s="12">
        <f>VLOOKUP(B129,[6]Sheet1!$B$213:$K$420,10,FALSE)</f>
        <v>95</v>
      </c>
      <c r="V129" s="12">
        <f>VLOOKUP(B129,[6]Sheet1!$B$2:$K$212,10,FALSE)</f>
        <v>0</v>
      </c>
      <c r="W129" s="13">
        <v>97.746170043945298</v>
      </c>
      <c r="X129" s="13">
        <v>0</v>
      </c>
      <c r="Y129" s="13">
        <v>0</v>
      </c>
      <c r="Z129" s="10">
        <v>14.9923440243315</v>
      </c>
      <c r="AA129" s="10">
        <v>25.3113209855908</v>
      </c>
      <c r="AB129" s="10">
        <v>24.917972138363499</v>
      </c>
      <c r="AC129" s="10">
        <v>24.509492732239199</v>
      </c>
      <c r="AD129" s="10">
        <v>7.7452698399912396</v>
      </c>
      <c r="AE129" s="10">
        <v>7.98664578990007</v>
      </c>
      <c r="AF129" s="10">
        <v>8.2485701795035098</v>
      </c>
      <c r="AG129" s="10">
        <v>66.160712466884434</v>
      </c>
      <c r="AH129" s="10">
        <v>66.74027572725636</v>
      </c>
      <c r="AI129" s="12">
        <f>VLOOKUP(B129,[7]all!$A$2:$I$247,6,FALSE)</f>
        <v>57.21</v>
      </c>
      <c r="AJ129" s="12">
        <f>VLOOKUP(B129,[7]all!$A$2:$I$247,7,FALSE)</f>
        <v>56.95</v>
      </c>
      <c r="AK129" s="12">
        <f>VLOOKUP(B129,[7]all!$A$2:$I$247,8,FALSE)</f>
        <v>57.15</v>
      </c>
      <c r="AL129" s="12"/>
    </row>
    <row r="130" spans="1:38" ht="21.4" x14ac:dyDescent="1.1000000000000001">
      <c r="A130" s="10" t="s">
        <v>255</v>
      </c>
      <c r="B130" s="11" t="s">
        <v>256</v>
      </c>
      <c r="C130" s="10" t="str">
        <f>VLOOKUP(B130,'[1]who-regions'!$B$1:$D$206,3,FALSE)</f>
        <v>WPR</v>
      </c>
      <c r="D130" s="12" t="str">
        <f>VLOOKUP(B130,'[2]Metadata - Countries'!$A$1:$B$266,2,FALSE)</f>
        <v>East Asia &amp; Pacific</v>
      </c>
      <c r="E130" s="12" t="str">
        <f>VLOOKUP(B130,'[2]Metadata - Countries'!$A$1:$C$266,3,FALSE)</f>
        <v>Lower middle income</v>
      </c>
      <c r="F130" s="12"/>
      <c r="G130" s="10">
        <v>0</v>
      </c>
      <c r="H130" s="12">
        <f>VLOOKUP(B130,[4]tas!$A$2:$H$247,5,FALSE)</f>
        <v>27.44</v>
      </c>
      <c r="I130" s="12">
        <f>VLOOKUP(B130,[4]tas!$A$2:$H$247,6,FALSE)</f>
        <v>27.43</v>
      </c>
      <c r="J130" s="12">
        <f>VLOOKUP(B130,[4]tas!$A$2:$H$247,7,FALSE)</f>
        <v>27.46</v>
      </c>
      <c r="K130" s="10">
        <v>415956896.458884</v>
      </c>
      <c r="L130" s="10">
        <v>443916782.29559398</v>
      </c>
      <c r="M130" s="10">
        <v>471425099.488675</v>
      </c>
      <c r="N130" s="10">
        <f>VLOOKUP(B130,[2]Data!$B$1:$G$267,4,FALSE)</f>
        <v>3710.1245161175234</v>
      </c>
      <c r="O130" s="10">
        <f>VLOOKUP(B130,[2]Data!$B$1:$G$267,5,FALSE)</f>
        <v>3919.6430791085854</v>
      </c>
      <c r="P130" s="10">
        <f>VLOOKUP(B130,[2]Data!$B$1:$G$267,6,FALSE)</f>
        <v>4166.0047674856396</v>
      </c>
      <c r="Q130" s="12">
        <f>VLOOKUP(B130,[5]Sheet1!$B$421:$K$628,10,FALSE)</f>
        <v>0</v>
      </c>
      <c r="R130" s="12">
        <f>VLOOKUP(B130,[5]Sheet1!$B$213:$K$420,10,FALSE)</f>
        <v>0</v>
      </c>
      <c r="S130" s="12">
        <f>VLOOKUP(B130,[5]Sheet1!$B$2:$K$207,10,FALSE)</f>
        <v>0</v>
      </c>
      <c r="T130" s="12">
        <f>VLOOKUP(B130,[6]Sheet1!$B$421:$K$628,10,FALSE)</f>
        <v>0</v>
      </c>
      <c r="U130" s="12">
        <f>VLOOKUP(B130,[6]Sheet1!$B$213:$K$420,10,FALSE)</f>
        <v>0</v>
      </c>
      <c r="V130" s="12">
        <f>VLOOKUP(B130,[6]Sheet1!$B$2:$K$212,10,FALSE)</f>
        <v>0</v>
      </c>
      <c r="W130" s="13">
        <v>0</v>
      </c>
      <c r="X130" s="13">
        <v>0</v>
      </c>
      <c r="Y130" s="13">
        <v>0</v>
      </c>
      <c r="Z130" s="10">
        <v>12.1144203347628</v>
      </c>
      <c r="AA130" s="10">
        <v>32.319033836246298</v>
      </c>
      <c r="AB130" s="10">
        <v>32.129396566649397</v>
      </c>
      <c r="AC130" s="10">
        <v>31.848127217536199</v>
      </c>
      <c r="AD130" s="10">
        <v>5.5194066727022202</v>
      </c>
      <c r="AE130" s="10">
        <v>5.73112966736364</v>
      </c>
      <c r="AF130" s="10">
        <v>5.94951418560363</v>
      </c>
      <c r="AG130" s="10">
        <v>160.16285714285715</v>
      </c>
      <c r="AH130" s="10">
        <v>160.9</v>
      </c>
      <c r="AI130" s="12">
        <f>VLOOKUP(B130,[7]all!$A$2:$I$247,6,FALSE)</f>
        <v>83.42</v>
      </c>
      <c r="AJ130" s="12">
        <f>VLOOKUP(B130,[7]all!$A$2:$I$247,7,FALSE)</f>
        <v>83.49</v>
      </c>
      <c r="AK130" s="12">
        <f>VLOOKUP(B130,[7]all!$A$2:$I$247,8,FALSE)</f>
        <v>83.48</v>
      </c>
      <c r="AL130" s="12"/>
    </row>
    <row r="131" spans="1:38" ht="21.4" x14ac:dyDescent="1.1000000000000001">
      <c r="A131" s="10" t="s">
        <v>257</v>
      </c>
      <c r="B131" s="11" t="s">
        <v>258</v>
      </c>
      <c r="C131" s="10" t="str">
        <f>VLOOKUP(B131,'[1]who-regions'!$B$1:$D$206,3,FALSE)</f>
        <v>EUR</v>
      </c>
      <c r="D131" s="12" t="str">
        <f>VLOOKUP(B131,'[2]Metadata - Countries'!$A$1:$B$266,2,FALSE)</f>
        <v>Europe &amp; Central Asia</v>
      </c>
      <c r="E131" s="12" t="str">
        <f>VLOOKUP(B131,'[2]Metadata - Countries'!$A$1:$C$266,3,FALSE)</f>
        <v>Upper middle income</v>
      </c>
      <c r="F131" s="12"/>
      <c r="G131" s="10">
        <v>84.910951921760301</v>
      </c>
      <c r="H131" s="12">
        <f>VLOOKUP(B131,[4]tas!$A$2:$H$247,5,FALSE)</f>
        <v>11.35</v>
      </c>
      <c r="I131" s="12">
        <f>VLOOKUP(B131,[4]tas!$A$2:$H$247,6,FALSE)</f>
        <v>11.28</v>
      </c>
      <c r="J131" s="12">
        <f>VLOOKUP(B131,[4]tas!$A$2:$H$247,7,FALSE)</f>
        <v>11.25</v>
      </c>
      <c r="K131" s="10">
        <v>14525337523.727076</v>
      </c>
      <c r="L131" s="10">
        <v>16711906746.213291</v>
      </c>
      <c r="M131" s="10">
        <v>18200340853.651684</v>
      </c>
      <c r="N131" s="10">
        <f>VLOOKUP(B131,[2]Data!$B$1:$G$267,4,FALSE)</f>
        <v>5744.2961843443491</v>
      </c>
      <c r="O131" s="10">
        <f>VLOOKUP(B131,[2]Data!$B$1:$G$267,5,FALSE)</f>
        <v>6799.5859464457562</v>
      </c>
      <c r="P131" s="10">
        <f>VLOOKUP(B131,[2]Data!$B$1:$G$267,6,FALSE)</f>
        <v>7576.195894133255</v>
      </c>
      <c r="Q131" s="12">
        <f>VLOOKUP(B131,[5]Sheet1!$B$421:$K$628,10,FALSE)</f>
        <v>0</v>
      </c>
      <c r="R131" s="12">
        <f>VLOOKUP(B131,[5]Sheet1!$B$213:$K$420,10,FALSE)</f>
        <v>0</v>
      </c>
      <c r="S131" s="12">
        <f>VLOOKUP(B131,[5]Sheet1!$B$2:$K$207,10,FALSE)</f>
        <v>0</v>
      </c>
      <c r="T131" s="12">
        <f>VLOOKUP(B131,[6]Sheet1!$B$421:$K$628,10,FALSE)</f>
        <v>0</v>
      </c>
      <c r="U131" s="12">
        <f>VLOOKUP(B131,[6]Sheet1!$B$213:$K$420,10,FALSE)</f>
        <v>0</v>
      </c>
      <c r="V131" s="12">
        <f>VLOOKUP(B131,[6]Sheet1!$B$2:$K$212,10,FALSE)</f>
        <v>0</v>
      </c>
      <c r="W131" s="13">
        <v>92.470298767089801</v>
      </c>
      <c r="X131" s="13">
        <v>95.465766906738295</v>
      </c>
      <c r="Y131" s="13">
        <v>0</v>
      </c>
      <c r="Z131" s="10">
        <v>14.758346302142201</v>
      </c>
      <c r="AA131" s="10">
        <v>20.145727716703799</v>
      </c>
      <c r="AB131" s="10">
        <v>19.992223848819901</v>
      </c>
      <c r="AC131" s="10">
        <v>19.7887254216323</v>
      </c>
      <c r="AD131" s="10">
        <v>15.117001418921699</v>
      </c>
      <c r="AE131" s="10">
        <v>15.6147071961188</v>
      </c>
      <c r="AF131" s="10">
        <v>16.211512472732299</v>
      </c>
      <c r="AG131" s="10">
        <v>88.054253578019996</v>
      </c>
      <c r="AH131" s="10">
        <v>85.437584732505996</v>
      </c>
      <c r="AI131" s="12">
        <f>VLOOKUP(B131,[7]all!$A$2:$I$247,6,FALSE)</f>
        <v>72.23</v>
      </c>
      <c r="AJ131" s="12">
        <f>VLOOKUP(B131,[7]all!$A$2:$I$247,7,FALSE)</f>
        <v>72.510000000000005</v>
      </c>
      <c r="AK131" s="12">
        <f>VLOOKUP(B131,[7]all!$A$2:$I$247,8,FALSE)</f>
        <v>72.62</v>
      </c>
      <c r="AL131" s="15">
        <v>124</v>
      </c>
    </row>
    <row r="132" spans="1:38" ht="21.4" x14ac:dyDescent="1.1000000000000001">
      <c r="A132" s="10" t="s">
        <v>259</v>
      </c>
      <c r="B132" s="11" t="s">
        <v>260</v>
      </c>
      <c r="C132" s="10" t="str">
        <f>VLOOKUP(B132,'[1]who-regions'!$B$1:$D$206,3,FALSE)</f>
        <v>EUR</v>
      </c>
      <c r="D132" s="12" t="str">
        <f>VLOOKUP(B132,'[2]Metadata - Countries'!$A$1:$B$266,2,FALSE)</f>
        <v>Europe &amp; Central Asia</v>
      </c>
      <c r="E132" s="12" t="str">
        <f>VLOOKUP(B132,'[2]Metadata - Countries'!$A$1:$C$266,3,FALSE)</f>
        <v>High income</v>
      </c>
      <c r="F132" s="12"/>
      <c r="G132" s="10">
        <v>100</v>
      </c>
      <c r="H132" s="12">
        <f>VLOOKUP(B132,[4]tas!$A$2:$H$247,5,FALSE)</f>
        <v>15.59</v>
      </c>
      <c r="I132" s="12">
        <f>VLOOKUP(B132,[4]tas!$A$2:$H$247,6,FALSE)</f>
        <v>15.46</v>
      </c>
      <c r="J132" s="12">
        <f>VLOOKUP(B132,[4]tas!$A$2:$H$247,7,FALSE)</f>
        <v>15.42</v>
      </c>
      <c r="K132" s="10">
        <v>8800430486.1713696</v>
      </c>
      <c r="L132" s="10">
        <v>9995350547.121664</v>
      </c>
      <c r="M132" s="10">
        <v>0</v>
      </c>
      <c r="N132" s="10">
        <f>VLOOKUP(B132,[2]Data!$B$1:$G$267,4,FALSE)</f>
        <v>226052.00190520074</v>
      </c>
      <c r="O132" s="10">
        <f>VLOOKUP(B132,[2]Data!$B$1:$G$267,5,FALSE)</f>
        <v>256799.78861280595</v>
      </c>
      <c r="P132" s="10">
        <f>VLOOKUP(B132,[2]Data!$B$1:$G$267,6,FALSE)</f>
        <v>288001.43336904061</v>
      </c>
      <c r="Q132" s="12">
        <f>VLOOKUP(B132,[5]Sheet1!$B$421:$K$628,10,FALSE)</f>
        <v>0</v>
      </c>
      <c r="R132" s="12">
        <f>VLOOKUP(B132,[5]Sheet1!$B$213:$K$420,10,FALSE)</f>
        <v>0</v>
      </c>
      <c r="S132" s="12">
        <f>VLOOKUP(B132,[5]Sheet1!$B$2:$K$207,10,FALSE)</f>
        <v>0</v>
      </c>
      <c r="T132" s="12">
        <f>VLOOKUP(B132,[6]Sheet1!$B$421:$K$628,10,FALSE)</f>
        <v>0</v>
      </c>
      <c r="U132" s="12">
        <f>VLOOKUP(B132,[6]Sheet1!$B$213:$K$420,10,FALSE)</f>
        <v>0</v>
      </c>
      <c r="V132" s="12">
        <f>VLOOKUP(B132,[6]Sheet1!$B$2:$K$212,10,FALSE)</f>
        <v>0</v>
      </c>
      <c r="W132" s="13">
        <v>0</v>
      </c>
      <c r="X132" s="13">
        <v>0</v>
      </c>
      <c r="Y132" s="13">
        <v>0</v>
      </c>
      <c r="Z132" s="10">
        <v>9.5810695715316996</v>
      </c>
      <c r="AA132" s="10">
        <v>12.9008643386461</v>
      </c>
      <c r="AB132" s="10">
        <v>13.178801997099299</v>
      </c>
      <c r="AC132" s="10">
        <v>13.472340866143799</v>
      </c>
      <c r="AD132" s="10">
        <v>37.061248603316102</v>
      </c>
      <c r="AE132" s="10">
        <v>36.357218949340897</v>
      </c>
      <c r="AF132" s="10">
        <v>36.166550179907297</v>
      </c>
      <c r="AG132" s="10">
        <v>18680.902111324376</v>
      </c>
      <c r="AH132" s="10">
        <v>18692.898272552782</v>
      </c>
      <c r="AI132" s="12">
        <f>VLOOKUP(B132,[7]all!$A$2:$I$247,6,FALSE)</f>
        <v>74.5</v>
      </c>
      <c r="AJ132" s="12">
        <f>VLOOKUP(B132,[7]all!$A$2:$I$247,7,FALSE)</f>
        <v>74.87</v>
      </c>
      <c r="AK132" s="12">
        <f>VLOOKUP(B132,[7]all!$A$2:$I$247,8,FALSE)</f>
        <v>74.67</v>
      </c>
      <c r="AL132" s="12"/>
    </row>
    <row r="133" spans="1:38" ht="21.4" x14ac:dyDescent="1.1000000000000001">
      <c r="A133" s="10" t="s">
        <v>261</v>
      </c>
      <c r="B133" s="11" t="s">
        <v>262</v>
      </c>
      <c r="C133" s="10" t="str">
        <f>VLOOKUP(B133,'[1]who-regions'!$B$1:$D$206,3,FALSE)</f>
        <v>WPR</v>
      </c>
      <c r="D133" s="12" t="str">
        <f>VLOOKUP(B133,'[2]Metadata - Countries'!$A$1:$B$266,2,FALSE)</f>
        <v>East Asia &amp; Pacific</v>
      </c>
      <c r="E133" s="12" t="str">
        <f>VLOOKUP(B133,'[2]Metadata - Countries'!$A$1:$C$266,3,FALSE)</f>
        <v>Upper middle income</v>
      </c>
      <c r="F133" s="12"/>
      <c r="G133" s="10">
        <v>69.9648819624705</v>
      </c>
      <c r="H133" s="12">
        <f>VLOOKUP(B133,[4]tas!$A$2:$H$247,5,FALSE)</f>
        <v>2.11</v>
      </c>
      <c r="I133" s="12">
        <f>VLOOKUP(B133,[4]tas!$A$2:$H$247,6,FALSE)</f>
        <v>2.2200000000000002</v>
      </c>
      <c r="J133" s="12">
        <f>VLOOKUP(B133,[4]tas!$A$2:$H$247,7,FALSE)</f>
        <v>2.13</v>
      </c>
      <c r="K133" s="10">
        <v>17146471713.748024</v>
      </c>
      <c r="L133" s="10">
        <v>20325121393.907364</v>
      </c>
      <c r="M133" s="10">
        <v>23586055802.451691</v>
      </c>
      <c r="N133" s="10">
        <f>VLOOKUP(B133,[2]Data!$B$1:$G$267,4,FALSE)</f>
        <v>4993.5148746349541</v>
      </c>
      <c r="O133" s="10">
        <f>VLOOKUP(B133,[2]Data!$B$1:$G$267,5,FALSE)</f>
        <v>5838.6310808390235</v>
      </c>
      <c r="P133" s="10">
        <f>VLOOKUP(B133,[2]Data!$B$1:$G$267,6,FALSE)</f>
        <v>6750.630115772402</v>
      </c>
      <c r="Q133" s="12">
        <f>VLOOKUP(B133,[5]Sheet1!$B$421:$K$628,10,FALSE)</f>
        <v>0</v>
      </c>
      <c r="R133" s="12">
        <f>VLOOKUP(B133,[5]Sheet1!$B$213:$K$420,10,FALSE)</f>
        <v>0</v>
      </c>
      <c r="S133" s="12">
        <f>VLOOKUP(B133,[5]Sheet1!$B$2:$K$207,10,FALSE)</f>
        <v>0</v>
      </c>
      <c r="T133" s="12">
        <f>VLOOKUP(B133,[6]Sheet1!$B$421:$K$628,10,FALSE)</f>
        <v>0</v>
      </c>
      <c r="U133" s="12">
        <f>VLOOKUP(B133,[6]Sheet1!$B$213:$K$420,10,FALSE)</f>
        <v>0</v>
      </c>
      <c r="V133" s="12">
        <f>VLOOKUP(B133,[6]Sheet1!$B$2:$K$212,10,FALSE)</f>
        <v>100</v>
      </c>
      <c r="W133" s="13">
        <v>0</v>
      </c>
      <c r="X133" s="13">
        <v>0</v>
      </c>
      <c r="Y133" s="13">
        <v>0</v>
      </c>
      <c r="Z133" s="10">
        <v>29.654786648168201</v>
      </c>
      <c r="AA133" s="10">
        <v>32.884777533472203</v>
      </c>
      <c r="AB133" s="10">
        <v>32.637471745146499</v>
      </c>
      <c r="AC133" s="10">
        <v>32.1932994585014</v>
      </c>
      <c r="AD133" s="10">
        <v>4.6163410380639203</v>
      </c>
      <c r="AE133" s="10">
        <v>4.8636009012415</v>
      </c>
      <c r="AF133" s="10">
        <v>5.1376476748936897</v>
      </c>
      <c r="AG133" s="10">
        <v>2.204639456568497</v>
      </c>
      <c r="AH133" s="10">
        <v>2.2336512531288859</v>
      </c>
      <c r="AI133" s="12">
        <f>VLOOKUP(B133,[7]all!$A$2:$I$247,6,FALSE)</f>
        <v>53.6</v>
      </c>
      <c r="AJ133" s="12">
        <f>VLOOKUP(B133,[7]all!$A$2:$I$247,7,FALSE)</f>
        <v>53.72</v>
      </c>
      <c r="AK133" s="12">
        <f>VLOOKUP(B133,[7]all!$A$2:$I$247,8,FALSE)</f>
        <v>53.86</v>
      </c>
      <c r="AL133" s="12"/>
    </row>
    <row r="134" spans="1:38" ht="21.4" x14ac:dyDescent="1.1000000000000001">
      <c r="A134" s="10" t="s">
        <v>263</v>
      </c>
      <c r="B134" s="11" t="s">
        <v>264</v>
      </c>
      <c r="C134" s="10" t="str">
        <f>VLOOKUP(B134,'[1]who-regions'!$B$1:$D$206,3,FALSE)</f>
        <v>EUR</v>
      </c>
      <c r="D134" s="12" t="str">
        <f>VLOOKUP(B134,'[2]Metadata - Countries'!$A$1:$B$266,2,FALSE)</f>
        <v>Europe &amp; Central Asia</v>
      </c>
      <c r="E134" s="12" t="str">
        <f>VLOOKUP(B134,'[2]Metadata - Countries'!$A$1:$C$266,3,FALSE)</f>
        <v>Upper middle income</v>
      </c>
      <c r="F134" s="12"/>
      <c r="G134" s="10">
        <v>97.810446505020906</v>
      </c>
      <c r="H134" s="12">
        <f>VLOOKUP(B134,[4]tas!$A$2:$H$247,5,FALSE)</f>
        <v>10.45</v>
      </c>
      <c r="I134" s="12">
        <f>VLOOKUP(B134,[4]tas!$A$2:$H$247,6,FALSE)</f>
        <v>10.49</v>
      </c>
      <c r="J134" s="12">
        <f>VLOOKUP(B134,[4]tas!$A$2:$H$247,7,FALSE)</f>
        <v>10.46</v>
      </c>
      <c r="K134" s="10">
        <v>6229801580.7915735</v>
      </c>
      <c r="L134" s="10">
        <v>7530593375.2203388</v>
      </c>
      <c r="M134" s="10">
        <v>8069536125.802846</v>
      </c>
      <c r="N134" s="10">
        <f>VLOOKUP(B134,[2]Data!$B$1:$G$267,4,FALSE)</f>
        <v>10024.543561620851</v>
      </c>
      <c r="O134" s="10">
        <f>VLOOKUP(B134,[2]Data!$B$1:$G$267,5,FALSE)</f>
        <v>12259.877503443637</v>
      </c>
      <c r="P134" s="10">
        <f>VLOOKUP(B134,[2]Data!$B$1:$G$267,6,FALSE)</f>
        <v>13263.328127769921</v>
      </c>
      <c r="Q134" s="12">
        <f>VLOOKUP(B134,[5]Sheet1!$B$421:$K$628,10,FALSE)</f>
        <v>0</v>
      </c>
      <c r="R134" s="12">
        <f>VLOOKUP(B134,[5]Sheet1!$B$213:$K$420,10,FALSE)</f>
        <v>0</v>
      </c>
      <c r="S134" s="12">
        <f>VLOOKUP(B134,[5]Sheet1!$B$2:$K$207,10,FALSE)</f>
        <v>0</v>
      </c>
      <c r="T134" s="12">
        <f>VLOOKUP(B134,[6]Sheet1!$B$421:$K$628,10,FALSE)</f>
        <v>13.54</v>
      </c>
      <c r="U134" s="12">
        <f>VLOOKUP(B134,[6]Sheet1!$B$213:$K$420,10,FALSE)</f>
        <v>13.2</v>
      </c>
      <c r="V134" s="12">
        <f>VLOOKUP(B134,[6]Sheet1!$B$2:$K$212,10,FALSE)</f>
        <v>9.86</v>
      </c>
      <c r="W134" s="13">
        <v>0</v>
      </c>
      <c r="X134" s="13">
        <v>0</v>
      </c>
      <c r="Y134" s="13">
        <v>0</v>
      </c>
      <c r="Z134" s="10">
        <v>17.982410056649901</v>
      </c>
      <c r="AA134" s="10">
        <v>18.471400274140901</v>
      </c>
      <c r="AB134" s="10">
        <v>18.3327493244438</v>
      </c>
      <c r="AC134" s="10">
        <v>18.1268437386694</v>
      </c>
      <c r="AD134" s="10">
        <v>17.1459251034129</v>
      </c>
      <c r="AE134" s="10">
        <v>17.466127484405401</v>
      </c>
      <c r="AF134" s="10">
        <v>17.8320804850907</v>
      </c>
      <c r="AG134" s="10">
        <v>46.363643122676578</v>
      </c>
      <c r="AH134" s="10">
        <v>46.359033457249069</v>
      </c>
      <c r="AI134" s="12">
        <f>VLOOKUP(B134,[7]all!$A$2:$I$247,6,FALSE)</f>
        <v>74.14</v>
      </c>
      <c r="AJ134" s="12">
        <f>VLOOKUP(B134,[7]all!$A$2:$I$247,7,FALSE)</f>
        <v>74.2</v>
      </c>
      <c r="AK134" s="12">
        <f>VLOOKUP(B134,[7]all!$A$2:$I$247,8,FALSE)</f>
        <v>74.22</v>
      </c>
      <c r="AL134" s="12"/>
    </row>
    <row r="135" spans="1:38" ht="21.4" x14ac:dyDescent="1.1000000000000001">
      <c r="A135" s="10" t="s">
        <v>265</v>
      </c>
      <c r="B135" s="11" t="s">
        <v>266</v>
      </c>
      <c r="C135" s="10" t="str">
        <f>VLOOKUP(B135,'[1]who-regions'!$B$1:$D$206,3,FALSE)</f>
        <v>EMR</v>
      </c>
      <c r="D135" s="12" t="str">
        <f>VLOOKUP(B135,'[2]Metadata - Countries'!$A$1:$B$266,2,FALSE)</f>
        <v>Middle East &amp; North Africa</v>
      </c>
      <c r="E135" s="12" t="str">
        <f>VLOOKUP(B135,'[2]Metadata - Countries'!$A$1:$C$266,3,FALSE)</f>
        <v>Lower middle income</v>
      </c>
      <c r="F135" s="12"/>
      <c r="G135" s="10">
        <v>87.516348664130703</v>
      </c>
      <c r="H135" s="12">
        <f>VLOOKUP(B135,[4]tas!$A$2:$H$247,5,FALSE)</f>
        <v>19.25</v>
      </c>
      <c r="I135" s="12">
        <f>VLOOKUP(B135,[4]tas!$A$2:$H$247,6,FALSE)</f>
        <v>19.2</v>
      </c>
      <c r="J135" s="12">
        <f>VLOOKUP(B135,[4]tas!$A$2:$H$247,7,FALSE)</f>
        <v>19.25</v>
      </c>
      <c r="K135" s="10">
        <v>130951926351.24097</v>
      </c>
      <c r="L135" s="10">
        <v>144417103249.64584</v>
      </c>
      <c r="M135" s="10">
        <v>154430996472.75183</v>
      </c>
      <c r="N135" s="10">
        <f>VLOOKUP(B135,[2]Data!$B$1:$G$267,4,FALSE)</f>
        <v>3463.1376953125</v>
      </c>
      <c r="O135" s="10">
        <f>VLOOKUP(B135,[2]Data!$B$1:$G$267,5,FALSE)</f>
        <v>3813.72607421875</v>
      </c>
      <c r="P135" s="10">
        <f>VLOOKUP(B135,[2]Data!$B$1:$G$267,6,FALSE)</f>
        <v>4153.1943359375</v>
      </c>
      <c r="Q135" s="12">
        <f>VLOOKUP(B135,[5]Sheet1!$B$421:$K$628,10,FALSE)</f>
        <v>0</v>
      </c>
      <c r="R135" s="12">
        <f>VLOOKUP(B135,[5]Sheet1!$B$213:$K$420,10,FALSE)</f>
        <v>0</v>
      </c>
      <c r="S135" s="12">
        <f>VLOOKUP(B135,[5]Sheet1!$B$2:$K$207,10,FALSE)</f>
        <v>0</v>
      </c>
      <c r="T135" s="12">
        <f>VLOOKUP(B135,[6]Sheet1!$B$421:$K$628,10,FALSE)</f>
        <v>0</v>
      </c>
      <c r="U135" s="12">
        <f>VLOOKUP(B135,[6]Sheet1!$B$213:$K$420,10,FALSE)</f>
        <v>0</v>
      </c>
      <c r="V135" s="12">
        <f>VLOOKUP(B135,[6]Sheet1!$B$2:$K$212,10,FALSE)</f>
        <v>0</v>
      </c>
      <c r="W135" s="13">
        <v>93.730583190917997</v>
      </c>
      <c r="X135" s="13">
        <v>93.005706787109403</v>
      </c>
      <c r="Y135" s="13">
        <v>0</v>
      </c>
      <c r="Z135" s="10">
        <v>21.321264211730099</v>
      </c>
      <c r="AA135" s="10">
        <v>26.4042985379971</v>
      </c>
      <c r="AB135" s="10">
        <v>26.0351984043489</v>
      </c>
      <c r="AC135" s="10">
        <v>25.6329078938824</v>
      </c>
      <c r="AD135" s="10">
        <v>7.5098132650740999</v>
      </c>
      <c r="AE135" s="10">
        <v>7.8257410903889797</v>
      </c>
      <c r="AF135" s="10">
        <v>8.1386529243728898</v>
      </c>
      <c r="AG135" s="10">
        <v>83.641192023302708</v>
      </c>
      <c r="AH135" s="10">
        <v>84.500347300022412</v>
      </c>
      <c r="AI135" s="12">
        <f>VLOOKUP(B135,[7]all!$A$2:$I$247,6,FALSE)</f>
        <v>51.16</v>
      </c>
      <c r="AJ135" s="12">
        <f>VLOOKUP(B135,[7]all!$A$2:$I$247,7,FALSE)</f>
        <v>51.37</v>
      </c>
      <c r="AK135" s="12">
        <f>VLOOKUP(B135,[7]all!$A$2:$I$247,8,FALSE)</f>
        <v>51.38</v>
      </c>
      <c r="AL135" s="12"/>
    </row>
    <row r="136" spans="1:38" ht="21.4" x14ac:dyDescent="1.1000000000000001">
      <c r="A136" s="10" t="s">
        <v>267</v>
      </c>
      <c r="B136" s="11" t="s">
        <v>268</v>
      </c>
      <c r="C136" s="10" t="str">
        <f>VLOOKUP(B136,'[1]who-regions'!$B$1:$D$206,3,FALSE)</f>
        <v>AFR</v>
      </c>
      <c r="D136" s="12" t="str">
        <f>VLOOKUP(B136,'[2]Metadata - Countries'!$A$1:$B$266,2,FALSE)</f>
        <v>Sub-Saharan Africa</v>
      </c>
      <c r="E136" s="12" t="str">
        <f>VLOOKUP(B136,'[2]Metadata - Countries'!$A$1:$C$266,3,FALSE)</f>
        <v>Low income</v>
      </c>
      <c r="F136" s="12"/>
      <c r="G136" s="10">
        <v>37.379796682790797</v>
      </c>
      <c r="H136" s="12">
        <f>VLOOKUP(B136,[4]tas!$A$2:$H$247,5,FALSE)</f>
        <v>24.78</v>
      </c>
      <c r="I136" s="12">
        <f>VLOOKUP(B136,[4]tas!$A$2:$H$247,6,FALSE)</f>
        <v>24.79</v>
      </c>
      <c r="J136" s="12">
        <f>VLOOKUP(B136,[4]tas!$A$2:$H$247,7,FALSE)</f>
        <v>24.79</v>
      </c>
      <c r="K136" s="10">
        <v>18883528581.373402</v>
      </c>
      <c r="L136" s="10">
        <v>20954220983.547325</v>
      </c>
      <c r="M136" s="10">
        <v>22416650343.4786</v>
      </c>
      <c r="N136" s="10">
        <f>VLOOKUP(B136,[2]Data!$B$1:$G$267,4,FALSE)</f>
        <v>578.25166375135097</v>
      </c>
      <c r="O136" s="10">
        <f>VLOOKUP(B136,[2]Data!$B$1:$G$267,5,FALSE)</f>
        <v>622.00029768282263</v>
      </c>
      <c r="P136" s="10">
        <f>VLOOKUP(B136,[2]Data!$B$1:$G$267,6,FALSE)</f>
        <v>656.77682463730559</v>
      </c>
      <c r="Q136" s="12">
        <f>VLOOKUP(B136,[5]Sheet1!$B$421:$K$628,10,FALSE)</f>
        <v>0</v>
      </c>
      <c r="R136" s="12">
        <f>VLOOKUP(B136,[5]Sheet1!$B$213:$K$420,10,FALSE)</f>
        <v>0</v>
      </c>
      <c r="S136" s="12">
        <f>VLOOKUP(B136,[5]Sheet1!$B$2:$K$207,10,FALSE)</f>
        <v>0</v>
      </c>
      <c r="T136" s="12">
        <f>VLOOKUP(B136,[6]Sheet1!$B$421:$K$628,10,FALSE)</f>
        <v>0</v>
      </c>
      <c r="U136" s="12">
        <f>VLOOKUP(B136,[6]Sheet1!$B$213:$K$420,10,FALSE)</f>
        <v>0</v>
      </c>
      <c r="V136" s="12">
        <f>VLOOKUP(B136,[6]Sheet1!$B$2:$K$212,10,FALSE)</f>
        <v>0</v>
      </c>
      <c r="W136" s="13">
        <v>0</v>
      </c>
      <c r="X136" s="13">
        <v>0</v>
      </c>
      <c r="Y136" s="13">
        <v>0</v>
      </c>
      <c r="Z136" s="10">
        <v>20.080248432117699</v>
      </c>
      <c r="AA136" s="10">
        <v>44.953322252655703</v>
      </c>
      <c r="AB136" s="10">
        <v>44.754865147066297</v>
      </c>
      <c r="AC136" s="10">
        <v>44.479088938173099</v>
      </c>
      <c r="AD136" s="10">
        <v>2.7730989042647498</v>
      </c>
      <c r="AE136" s="10">
        <v>2.7667699514436701</v>
      </c>
      <c r="AF136" s="10">
        <v>2.75374348509978</v>
      </c>
      <c r="AG136" s="10">
        <v>41.527309951931635</v>
      </c>
      <c r="AH136" s="10">
        <v>42.772145781937489</v>
      </c>
      <c r="AI136" s="12">
        <f>VLOOKUP(B136,[7]all!$A$2:$I$247,6,FALSE)</f>
        <v>66.239999999999995</v>
      </c>
      <c r="AJ136" s="12">
        <f>VLOOKUP(B136,[7]all!$A$2:$I$247,7,FALSE)</f>
        <v>66.27</v>
      </c>
      <c r="AK136" s="12">
        <f>VLOOKUP(B136,[7]all!$A$2:$I$247,8,FALSE)</f>
        <v>66.38</v>
      </c>
      <c r="AL136" s="12"/>
    </row>
    <row r="137" spans="1:38" ht="21.4" x14ac:dyDescent="1.1000000000000001">
      <c r="A137" s="10" t="s">
        <v>269</v>
      </c>
      <c r="B137" s="11" t="s">
        <v>270</v>
      </c>
      <c r="C137" s="10" t="str">
        <f>VLOOKUP(B137,'[1]who-regions'!$B$1:$D$206,3,FALSE)</f>
        <v>SEAR</v>
      </c>
      <c r="D137" s="12" t="str">
        <f>VLOOKUP(B137,'[2]Metadata - Countries'!$A$1:$B$266,2,FALSE)</f>
        <v>East Asia &amp; Pacific</v>
      </c>
      <c r="E137" s="12" t="str">
        <f>VLOOKUP(B137,'[2]Metadata - Countries'!$A$1:$C$266,3,FALSE)</f>
        <v>Lower middle income</v>
      </c>
      <c r="F137" s="12"/>
      <c r="G137" s="10">
        <v>74.130153443267304</v>
      </c>
      <c r="H137" s="12">
        <f>VLOOKUP(B137,[4]tas!$A$2:$H$247,5,FALSE)</f>
        <v>24.26</v>
      </c>
      <c r="I137" s="12">
        <f>VLOOKUP(B137,[4]tas!$A$2:$H$247,6,FALSE)</f>
        <v>24.31</v>
      </c>
      <c r="J137" s="12">
        <f>VLOOKUP(B137,[4]tas!$A$2:$H$247,7,FALSE)</f>
        <v>24.35</v>
      </c>
      <c r="K137" s="10">
        <v>62253049891.644943</v>
      </c>
      <c r="L137" s="10">
        <v>66757619000</v>
      </c>
      <c r="M137" s="10">
        <v>74079772652.428574</v>
      </c>
      <c r="N137" s="10">
        <f>VLOOKUP(B137,[2]Data!$B$1:$G$267,4,FALSE)</f>
        <v>1158.0500505597558</v>
      </c>
      <c r="O137" s="10">
        <f>VLOOKUP(B137,[2]Data!$B$1:$G$267,5,FALSE)</f>
        <v>1233.1966620926912</v>
      </c>
      <c r="P137" s="10">
        <f>VLOOKUP(B137,[2]Data!$B$1:$G$267,6,FALSE)</f>
        <v>1359.0500156010662</v>
      </c>
      <c r="Q137" s="12">
        <f>VLOOKUP(B137,[5]Sheet1!$B$421:$K$628,10,FALSE)</f>
        <v>0</v>
      </c>
      <c r="R137" s="12">
        <f>VLOOKUP(B137,[5]Sheet1!$B$213:$K$420,10,FALSE)</f>
        <v>0</v>
      </c>
      <c r="S137" s="12">
        <f>VLOOKUP(B137,[5]Sheet1!$B$2:$K$207,10,FALSE)</f>
        <v>0</v>
      </c>
      <c r="T137" s="12">
        <f>VLOOKUP(B137,[6]Sheet1!$B$421:$K$628,10,FALSE)</f>
        <v>0</v>
      </c>
      <c r="U137" s="12">
        <f>VLOOKUP(B137,[6]Sheet1!$B$213:$K$420,10,FALSE)</f>
        <v>0</v>
      </c>
      <c r="V137" s="12">
        <f>VLOOKUP(B137,[6]Sheet1!$B$2:$K$212,10,FALSE)</f>
        <v>0</v>
      </c>
      <c r="W137" s="13">
        <v>0</v>
      </c>
      <c r="X137" s="13">
        <v>0</v>
      </c>
      <c r="Y137" s="13">
        <v>0</v>
      </c>
      <c r="Z137" s="10">
        <v>32.315034002866703</v>
      </c>
      <c r="AA137" s="10">
        <v>24.728091313120199</v>
      </c>
      <c r="AB137" s="10">
        <v>24.515726058198702</v>
      </c>
      <c r="AC137" s="10">
        <v>24.3005300670048</v>
      </c>
      <c r="AD137" s="10">
        <v>6.8771613259069797</v>
      </c>
      <c r="AE137" s="10">
        <v>7.0891498051656203</v>
      </c>
      <c r="AF137" s="10">
        <v>7.3044263357285004</v>
      </c>
      <c r="AG137" s="10">
        <v>82.364421530022824</v>
      </c>
      <c r="AH137" s="10">
        <v>82.942065668714662</v>
      </c>
      <c r="AI137" s="12">
        <f>VLOOKUP(B137,[7]all!$A$2:$I$247,6,FALSE)</f>
        <v>73.62</v>
      </c>
      <c r="AJ137" s="12">
        <f>VLOOKUP(B137,[7]all!$A$2:$I$247,7,FALSE)</f>
        <v>73.41</v>
      </c>
      <c r="AK137" s="12">
        <f>VLOOKUP(B137,[7]all!$A$2:$I$247,8,FALSE)</f>
        <v>73.400000000000006</v>
      </c>
      <c r="AL137" s="12"/>
    </row>
    <row r="138" spans="1:38" ht="21.4" x14ac:dyDescent="1.1000000000000001">
      <c r="A138" s="10" t="s">
        <v>271</v>
      </c>
      <c r="B138" s="11" t="s">
        <v>272</v>
      </c>
      <c r="C138" s="10" t="str">
        <f>VLOOKUP(B138,'[1]who-regions'!$B$1:$D$206,3,FALSE)</f>
        <v>AFR</v>
      </c>
      <c r="D138" s="12" t="str">
        <f>VLOOKUP(B138,'[2]Metadata - Countries'!$A$1:$B$266,2,FALSE)</f>
        <v>Sub-Saharan Africa</v>
      </c>
      <c r="E138" s="12" t="str">
        <f>VLOOKUP(B138,'[2]Metadata - Countries'!$A$1:$C$266,3,FALSE)</f>
        <v>Lower middle income</v>
      </c>
      <c r="F138" s="12"/>
      <c r="G138" s="10">
        <v>35.840541358400102</v>
      </c>
      <c r="H138" s="12">
        <f>VLOOKUP(B138,[4]tas!$A$2:$H$247,5,FALSE)</f>
        <v>22.27</v>
      </c>
      <c r="I138" s="12">
        <f>VLOOKUP(B138,[4]tas!$A$2:$H$247,6,FALSE)</f>
        <v>22.29</v>
      </c>
      <c r="J138" s="12">
        <f>VLOOKUP(B138,[4]tas!$A$2:$H$247,7,FALSE)</f>
        <v>22.33</v>
      </c>
      <c r="K138" s="10">
        <v>12569449123.366074</v>
      </c>
      <c r="L138" s="10">
        <v>12408271447.869135</v>
      </c>
      <c r="M138" s="10">
        <v>13372354268.544609</v>
      </c>
      <c r="N138" s="10">
        <f>VLOOKUP(B138,[2]Data!$B$1:$G$267,4,FALSE)</f>
        <v>4349.7990849331418</v>
      </c>
      <c r="O138" s="10">
        <f>VLOOKUP(B138,[2]Data!$B$1:$G$267,5,FALSE)</f>
        <v>4187.6050039652528</v>
      </c>
      <c r="P138" s="10">
        <f>VLOOKUP(B138,[2]Data!$B$1:$G$267,6,FALSE)</f>
        <v>4413.1275221157184</v>
      </c>
      <c r="Q138" s="12">
        <f>VLOOKUP(B138,[5]Sheet1!$B$421:$K$628,10,FALSE)</f>
        <v>0</v>
      </c>
      <c r="R138" s="12">
        <f>VLOOKUP(B138,[5]Sheet1!$B$213:$K$420,10,FALSE)</f>
        <v>0</v>
      </c>
      <c r="S138" s="12">
        <f>VLOOKUP(B138,[5]Sheet1!$B$2:$K$207,10,FALSE)</f>
        <v>0</v>
      </c>
      <c r="T138" s="12">
        <f>VLOOKUP(B138,[6]Sheet1!$B$421:$K$628,10,FALSE)</f>
        <v>0</v>
      </c>
      <c r="U138" s="12">
        <f>VLOOKUP(B138,[6]Sheet1!$B$213:$K$420,10,FALSE)</f>
        <v>0</v>
      </c>
      <c r="V138" s="12">
        <f>VLOOKUP(B138,[6]Sheet1!$B$2:$K$212,10,FALSE)</f>
        <v>0</v>
      </c>
      <c r="W138" s="13">
        <v>0</v>
      </c>
      <c r="X138" s="13">
        <v>0</v>
      </c>
      <c r="Y138" s="13">
        <v>0</v>
      </c>
      <c r="Z138" s="10">
        <v>19.994535571092602</v>
      </c>
      <c r="AA138" s="10">
        <v>37.472888269823898</v>
      </c>
      <c r="AB138" s="10">
        <v>37.292324410793398</v>
      </c>
      <c r="AC138" s="10">
        <v>36.979737839717203</v>
      </c>
      <c r="AD138" s="10">
        <v>3.52321421619307</v>
      </c>
      <c r="AE138" s="10">
        <v>3.5711814842251099</v>
      </c>
      <c r="AF138" s="10">
        <v>3.6729600139399898</v>
      </c>
      <c r="AG138" s="10">
        <v>3.5098956625247482</v>
      </c>
      <c r="AH138" s="10">
        <v>3.5990902355184686</v>
      </c>
      <c r="AI138" s="12">
        <f>VLOOKUP(B138,[7]all!$A$2:$I$247,6,FALSE)</f>
        <v>39.17</v>
      </c>
      <c r="AJ138" s="12">
        <f>VLOOKUP(B138,[7]all!$A$2:$I$247,7,FALSE)</f>
        <v>38.799999999999997</v>
      </c>
      <c r="AK138" s="12">
        <f>VLOOKUP(B138,[7]all!$A$2:$I$247,8,FALSE)</f>
        <v>39.32</v>
      </c>
      <c r="AL138" s="12"/>
    </row>
    <row r="139" spans="1:38" ht="21.4" x14ac:dyDescent="1.1000000000000001">
      <c r="A139" s="10" t="s">
        <v>273</v>
      </c>
      <c r="B139" s="11" t="s">
        <v>274</v>
      </c>
      <c r="C139" s="10" t="str">
        <f>VLOOKUP(B139,'[1]who-regions'!$B$1:$D$206,3,FALSE)</f>
        <v>WPR</v>
      </c>
      <c r="D139" s="12" t="str">
        <f>VLOOKUP(B139,'[2]Metadata - Countries'!$A$1:$B$266,2,FALSE)</f>
        <v>East Asia &amp; Pacific</v>
      </c>
      <c r="E139" s="12" t="str">
        <f>VLOOKUP(B139,'[2]Metadata - Countries'!$A$1:$C$266,3,FALSE)</f>
        <v>High income</v>
      </c>
      <c r="F139" s="12"/>
      <c r="G139" s="10">
        <v>0</v>
      </c>
      <c r="H139" s="12">
        <f>VLOOKUP(B139,[4]tas!$A$2:$H$247,5,FALSE)</f>
        <v>27.63</v>
      </c>
      <c r="I139" s="12">
        <f>VLOOKUP(B139,[4]tas!$A$2:$H$247,6,FALSE)</f>
        <v>27.63</v>
      </c>
      <c r="J139" s="12">
        <f>VLOOKUP(B139,[4]tas!$A$2:$H$247,7,FALSE)</f>
        <v>27.63</v>
      </c>
      <c r="K139" s="10">
        <v>152190818.86895233</v>
      </c>
      <c r="L139" s="10">
        <v>151455967.7353195</v>
      </c>
      <c r="M139" s="10">
        <v>160350639.54946691</v>
      </c>
      <c r="N139" s="10">
        <f>VLOOKUP(B139,[2]Data!$B$1:$G$267,4,FALSE)</f>
        <v>12911.908644138142</v>
      </c>
      <c r="O139" s="10">
        <f>VLOOKUP(B139,[2]Data!$B$1:$G$267,5,FALSE)</f>
        <v>12752.472385583755</v>
      </c>
      <c r="P139" s="10">
        <f>VLOOKUP(B139,[2]Data!$B$1:$G$267,6,FALSE)</f>
        <v>13609.158837551997</v>
      </c>
      <c r="Q139" s="12">
        <f>VLOOKUP(B139,[5]Sheet1!$B$421:$K$628,10,FALSE)</f>
        <v>0</v>
      </c>
      <c r="R139" s="12" t="e">
        <f>VLOOKUP(B139,[5]Sheet1!$B$213:$K$420,10,FALSE)</f>
        <v>#N/A</v>
      </c>
      <c r="S139" s="12">
        <f>VLOOKUP(B139,[5]Sheet1!$B$2:$K$207,10,FALSE)</f>
        <v>0</v>
      </c>
      <c r="T139" s="12">
        <f>VLOOKUP(B139,[6]Sheet1!$B$421:$K$628,10,FALSE)</f>
        <v>0</v>
      </c>
      <c r="U139" s="12" t="e">
        <f>VLOOKUP(B139,[6]Sheet1!$B$213:$K$420,10,FALSE)</f>
        <v>#N/A</v>
      </c>
      <c r="V139" s="12">
        <f>VLOOKUP(B139,[6]Sheet1!$B$2:$K$212,10,FALSE)</f>
        <v>0</v>
      </c>
      <c r="W139" s="13">
        <v>0</v>
      </c>
      <c r="X139" s="13">
        <v>65.367210388183594</v>
      </c>
      <c r="Y139" s="13">
        <v>0</v>
      </c>
      <c r="Z139" s="10">
        <v>6.0643549320949504</v>
      </c>
      <c r="AA139" s="10">
        <v>38.323023472587103</v>
      </c>
      <c r="AB139" s="10">
        <v>38.181052631578901</v>
      </c>
      <c r="AC139" s="10">
        <v>37.776754698028697</v>
      </c>
      <c r="AD139" s="10">
        <v>2.4319972883653902</v>
      </c>
      <c r="AE139" s="10">
        <v>2.6778947368421102</v>
      </c>
      <c r="AF139" s="10">
        <v>2.8502071736491899</v>
      </c>
      <c r="AG139" s="10">
        <v>590.04999999999995</v>
      </c>
      <c r="AH139" s="10">
        <v>593.75</v>
      </c>
      <c r="AI139" s="12">
        <f>VLOOKUP(B139,[7]all!$A$2:$I$247,6,FALSE)</f>
        <v>82.24</v>
      </c>
      <c r="AJ139" s="12">
        <f>VLOOKUP(B139,[7]all!$A$2:$I$247,7,FALSE)</f>
        <v>82.07</v>
      </c>
      <c r="AK139" s="12">
        <f>VLOOKUP(B139,[7]all!$A$2:$I$247,8,FALSE)</f>
        <v>82.16</v>
      </c>
      <c r="AL139" s="12"/>
    </row>
    <row r="140" spans="1:38" ht="21.4" x14ac:dyDescent="1.1000000000000001">
      <c r="A140" s="10" t="s">
        <v>275</v>
      </c>
      <c r="B140" s="11" t="s">
        <v>276</v>
      </c>
      <c r="C140" s="10" t="str">
        <f>VLOOKUP(B140,'[1]who-regions'!$B$1:$D$206,3,FALSE)</f>
        <v>SEAR</v>
      </c>
      <c r="D140" s="12" t="str">
        <f>VLOOKUP(B140,'[2]Metadata - Countries'!$A$1:$B$266,2,FALSE)</f>
        <v>South Asia</v>
      </c>
      <c r="E140" s="12" t="str">
        <f>VLOOKUP(B140,'[2]Metadata - Countries'!$A$1:$C$266,3,FALSE)</f>
        <v>Lower middle income</v>
      </c>
      <c r="F140" s="12"/>
      <c r="G140" s="10">
        <v>80.392703029166697</v>
      </c>
      <c r="H140" s="12">
        <f>VLOOKUP(B140,[4]tas!$A$2:$H$247,5,FALSE)</f>
        <v>12.99</v>
      </c>
      <c r="I140" s="12">
        <f>VLOOKUP(B140,[4]tas!$A$2:$H$247,6,FALSE)</f>
        <v>13.03</v>
      </c>
      <c r="J140" s="12">
        <f>VLOOKUP(B140,[4]tas!$A$2:$H$247,7,FALSE)</f>
        <v>13.11</v>
      </c>
      <c r="K140" s="10">
        <v>41182939600.620857</v>
      </c>
      <c r="L140" s="10">
        <v>41047772331.099426</v>
      </c>
      <c r="M140" s="10">
        <v>42914268286.710922</v>
      </c>
      <c r="N140" s="10">
        <f>VLOOKUP(B140,[2]Data!$B$1:$G$267,4,FALSE)</f>
        <v>1385.9106627485075</v>
      </c>
      <c r="O140" s="10">
        <f>VLOOKUP(B140,[2]Data!$B$1:$G$267,5,FALSE)</f>
        <v>1382.3305576930356</v>
      </c>
      <c r="P140" s="10">
        <f>VLOOKUP(B140,[2]Data!$B$1:$G$267,6,FALSE)</f>
        <v>1447.3100445842811</v>
      </c>
      <c r="Q140" s="12">
        <f>VLOOKUP(B140,[5]Sheet1!$B$421:$K$628,10,FALSE)</f>
        <v>0</v>
      </c>
      <c r="R140" s="12">
        <f>VLOOKUP(B140,[5]Sheet1!$B$213:$K$420,10,FALSE)</f>
        <v>0</v>
      </c>
      <c r="S140" s="12">
        <f>VLOOKUP(B140,[5]Sheet1!$B$2:$K$207,10,FALSE)</f>
        <v>0</v>
      </c>
      <c r="T140" s="12">
        <f>VLOOKUP(B140,[6]Sheet1!$B$421:$K$628,10,FALSE)</f>
        <v>0</v>
      </c>
      <c r="U140" s="12">
        <f>VLOOKUP(B140,[6]Sheet1!$B$213:$K$420,10,FALSE)</f>
        <v>0</v>
      </c>
      <c r="V140" s="12">
        <f>VLOOKUP(B140,[6]Sheet1!$B$2:$K$212,10,FALSE)</f>
        <v>0</v>
      </c>
      <c r="W140" s="13">
        <v>0</v>
      </c>
      <c r="X140" s="13">
        <v>0</v>
      </c>
      <c r="Y140" s="13">
        <v>0</v>
      </c>
      <c r="Z140" s="10">
        <v>45.720770641259399</v>
      </c>
      <c r="AA140" s="10">
        <v>28.9372432563332</v>
      </c>
      <c r="AB140" s="10">
        <v>28.713627516531702</v>
      </c>
      <c r="AC140" s="10">
        <v>28.429169357197701</v>
      </c>
      <c r="AD140" s="10">
        <v>6.19751969986239</v>
      </c>
      <c r="AE140" s="10">
        <v>6.3605877085893798</v>
      </c>
      <c r="AF140" s="10">
        <v>6.5034584183169599</v>
      </c>
      <c r="AG140" s="10">
        <v>207.29289152424136</v>
      </c>
      <c r="AH140" s="10">
        <v>207.14763864666898</v>
      </c>
      <c r="AI140" s="12">
        <f>VLOOKUP(B140,[7]all!$A$2:$I$247,6,FALSE)</f>
        <v>72.78</v>
      </c>
      <c r="AJ140" s="12">
        <f>VLOOKUP(B140,[7]all!$A$2:$I$247,7,FALSE)</f>
        <v>72.709999999999994</v>
      </c>
      <c r="AK140" s="12">
        <f>VLOOKUP(B140,[7]all!$A$2:$I$247,8,FALSE)</f>
        <v>72.44</v>
      </c>
      <c r="AL140" s="12"/>
    </row>
    <row r="141" spans="1:38" ht="21.4" x14ac:dyDescent="1.1000000000000001">
      <c r="A141" s="10" t="s">
        <v>277</v>
      </c>
      <c r="B141" s="11" t="s">
        <v>278</v>
      </c>
      <c r="C141" s="10" t="str">
        <f>VLOOKUP(B141,'[1]who-regions'!$B$1:$D$206,3,FALSE)</f>
        <v>EUR</v>
      </c>
      <c r="D141" s="12" t="str">
        <f>VLOOKUP(B141,'[2]Metadata - Countries'!$A$1:$B$266,2,FALSE)</f>
        <v>Europe &amp; Central Asia</v>
      </c>
      <c r="E141" s="12" t="str">
        <f>VLOOKUP(B141,'[2]Metadata - Countries'!$A$1:$C$266,3,FALSE)</f>
        <v>High income</v>
      </c>
      <c r="F141" s="12"/>
      <c r="G141" s="10">
        <v>97.670234341693799</v>
      </c>
      <c r="H141" s="12">
        <f>VLOOKUP(B141,[4]tas!$A$2:$H$247,5,FALSE)</f>
        <v>10.97</v>
      </c>
      <c r="I141" s="12">
        <f>VLOOKUP(B141,[4]tas!$A$2:$H$247,6,FALSE)</f>
        <v>10.75</v>
      </c>
      <c r="J141" s="12">
        <f>VLOOKUP(B141,[4]tas!$A$2:$H$247,7,FALSE)</f>
        <v>10.78</v>
      </c>
      <c r="K141" s="10">
        <v>1046540797548.6422</v>
      </c>
      <c r="L141" s="10">
        <v>1154361305398.0596</v>
      </c>
      <c r="M141" s="10">
        <v>1227543925316.406</v>
      </c>
      <c r="N141" s="10">
        <f>VLOOKUP(B141,[2]Data!$B$1:$G$267,4,FALSE)</f>
        <v>59123.318556486993</v>
      </c>
      <c r="O141" s="10">
        <f>VLOOKUP(B141,[2]Data!$B$1:$G$267,5,FALSE)</f>
        <v>63515.603078001921</v>
      </c>
      <c r="P141" s="10">
        <f>VLOOKUP(B141,[2]Data!$B$1:$G$267,6,FALSE)</f>
        <v>67520.421895628111</v>
      </c>
      <c r="Q141" s="12">
        <f>VLOOKUP(B141,[5]Sheet1!$B$421:$K$628,10,FALSE)</f>
        <v>0</v>
      </c>
      <c r="R141" s="12">
        <f>VLOOKUP(B141,[5]Sheet1!$B$213:$K$420,10,FALSE)</f>
        <v>0</v>
      </c>
      <c r="S141" s="12">
        <f>VLOOKUP(B141,[5]Sheet1!$B$2:$K$207,10,FALSE)</f>
        <v>0</v>
      </c>
      <c r="T141" s="12">
        <f>VLOOKUP(B141,[6]Sheet1!$B$421:$K$628,10,FALSE)</f>
        <v>66.599999999999994</v>
      </c>
      <c r="U141" s="12">
        <f>VLOOKUP(B141,[6]Sheet1!$B$213:$K$420,10,FALSE)</f>
        <v>61.2</v>
      </c>
      <c r="V141" s="12">
        <f>VLOOKUP(B141,[6]Sheet1!$B$2:$K$212,10,FALSE)</f>
        <v>59.7</v>
      </c>
      <c r="W141" s="13">
        <v>0</v>
      </c>
      <c r="X141" s="13">
        <v>0</v>
      </c>
      <c r="Y141" s="13">
        <v>0</v>
      </c>
      <c r="Z141" s="10">
        <v>10.8892498470498</v>
      </c>
      <c r="AA141" s="10">
        <v>15.3509962706976</v>
      </c>
      <c r="AB141" s="10">
        <v>15.1712741911722</v>
      </c>
      <c r="AC141" s="10">
        <v>15.025645078131101</v>
      </c>
      <c r="AD141" s="10">
        <v>19.901283040652402</v>
      </c>
      <c r="AE141" s="10">
        <v>20.156755902140699</v>
      </c>
      <c r="AF141" s="10">
        <v>20.4960775816586</v>
      </c>
      <c r="AG141" s="10">
        <v>525.71969111969111</v>
      </c>
      <c r="AH141" s="10">
        <v>530.95090585090588</v>
      </c>
      <c r="AI141" s="12">
        <f>VLOOKUP(B141,[7]all!$A$2:$I$247,6,FALSE)</f>
        <v>80.540000000000006</v>
      </c>
      <c r="AJ141" s="12">
        <f>VLOOKUP(B141,[7]all!$A$2:$I$247,7,FALSE)</f>
        <v>80.599999999999994</v>
      </c>
      <c r="AK141" s="12">
        <f>VLOOKUP(B141,[7]all!$A$2:$I$247,8,FALSE)</f>
        <v>80.52</v>
      </c>
      <c r="AL141" s="12"/>
    </row>
    <row r="142" spans="1:38" ht="21.4" x14ac:dyDescent="1.1000000000000001">
      <c r="A142" s="10" t="s">
        <v>279</v>
      </c>
      <c r="B142" s="11" t="s">
        <v>280</v>
      </c>
      <c r="C142" s="10" t="str">
        <f>VLOOKUP(B142,'[1]who-regions'!$B$1:$D$206,3,FALSE)</f>
        <v>WPR</v>
      </c>
      <c r="D142" s="12" t="str">
        <f>VLOOKUP(B142,'[2]Metadata - Countries'!$A$1:$B$266,2,FALSE)</f>
        <v>East Asia &amp; Pacific</v>
      </c>
      <c r="E142" s="12" t="str">
        <f>VLOOKUP(B142,'[2]Metadata - Countries'!$A$1:$C$266,3,FALSE)</f>
        <v>High income</v>
      </c>
      <c r="F142" s="12"/>
      <c r="G142" s="10">
        <v>100</v>
      </c>
      <c r="H142" s="12">
        <f>VLOOKUP(B142,[4]tas!$A$2:$H$247,5,FALSE)</f>
        <v>23.02</v>
      </c>
      <c r="I142" s="12">
        <f>VLOOKUP(B142,[4]tas!$A$2:$H$247,6,FALSE)</f>
        <v>23.09</v>
      </c>
      <c r="J142" s="12">
        <f>VLOOKUP(B142,[4]tas!$A$2:$H$247,7,FALSE)</f>
        <v>23.05</v>
      </c>
      <c r="K142" s="10">
        <v>9623318718.3145943</v>
      </c>
      <c r="L142" s="10">
        <v>0</v>
      </c>
      <c r="M142" s="10">
        <v>0</v>
      </c>
      <c r="N142" s="10">
        <f>VLOOKUP(B142,[2]Data!$B$1:$G$267,4,FALSE)</f>
        <v>33516.363085906021</v>
      </c>
      <c r="O142" s="10">
        <f>VLOOKUP(B142,[2]Data!$B$1:$G$267,5,FALSE)</f>
        <v>33701.892332278054</v>
      </c>
      <c r="P142" s="10">
        <f>VLOOKUP(B142,[2]Data!$B$1:$G$267,6,FALSE)</f>
        <v>29213.192319294649</v>
      </c>
      <c r="Q142" s="12">
        <f>VLOOKUP(B142,[5]Sheet1!$B$421:$K$628,10,FALSE)</f>
        <v>0</v>
      </c>
      <c r="R142" s="12">
        <f>VLOOKUP(B142,[5]Sheet1!$B$213:$K$420,10,FALSE)</f>
        <v>0</v>
      </c>
      <c r="S142" s="12">
        <f>VLOOKUP(B142,[5]Sheet1!$B$2:$K$207,10,FALSE)</f>
        <v>0</v>
      </c>
      <c r="T142" s="12">
        <f>VLOOKUP(B142,[6]Sheet1!$B$421:$K$628,10,FALSE)</f>
        <v>0</v>
      </c>
      <c r="U142" s="12">
        <f>VLOOKUP(B142,[6]Sheet1!$B$213:$K$420,10,FALSE)</f>
        <v>0</v>
      </c>
      <c r="V142" s="12">
        <f>VLOOKUP(B142,[6]Sheet1!$B$2:$K$212,10,FALSE)</f>
        <v>0</v>
      </c>
      <c r="W142" s="13">
        <v>0</v>
      </c>
      <c r="X142" s="13">
        <v>0</v>
      </c>
      <c r="Y142" s="13">
        <v>0</v>
      </c>
      <c r="Z142" s="10">
        <v>0</v>
      </c>
      <c r="AA142" s="10">
        <v>21.7617536735127</v>
      </c>
      <c r="AB142" s="10">
        <v>21.526238531477102</v>
      </c>
      <c r="AC142" s="10">
        <v>21.306248814667899</v>
      </c>
      <c r="AD142" s="10">
        <v>10.793109573249099</v>
      </c>
      <c r="AE142" s="10">
        <v>11.0903354785516</v>
      </c>
      <c r="AF142" s="10">
        <v>11.4260036666274</v>
      </c>
      <c r="AG142" s="10">
        <v>15.706947483588621</v>
      </c>
      <c r="AH142" s="10">
        <v>15.857221006564551</v>
      </c>
      <c r="AI142" s="12">
        <f>VLOOKUP(B142,[7]all!$A$2:$I$247,6,FALSE)</f>
        <v>76.930000000000007</v>
      </c>
      <c r="AJ142" s="12">
        <f>VLOOKUP(B142,[7]all!$A$2:$I$247,7,FALSE)</f>
        <v>76.78</v>
      </c>
      <c r="AK142" s="12">
        <f>VLOOKUP(B142,[7]all!$A$2:$I$247,8,FALSE)</f>
        <v>76.69</v>
      </c>
      <c r="AL142" s="12"/>
    </row>
    <row r="143" spans="1:38" ht="21.4" x14ac:dyDescent="1.1000000000000001">
      <c r="A143" s="10" t="s">
        <v>281</v>
      </c>
      <c r="B143" s="11" t="s">
        <v>282</v>
      </c>
      <c r="C143" s="10" t="str">
        <f>VLOOKUP(B143,'[1]who-regions'!$B$1:$D$206,3,FALSE)</f>
        <v>WPR</v>
      </c>
      <c r="D143" s="12" t="str">
        <f>VLOOKUP(B143,'[2]Metadata - Countries'!$A$1:$B$266,2,FALSE)</f>
        <v>East Asia &amp; Pacific</v>
      </c>
      <c r="E143" s="12" t="str">
        <f>VLOOKUP(B143,'[2]Metadata - Countries'!$A$1:$C$266,3,FALSE)</f>
        <v>High income</v>
      </c>
      <c r="F143" s="12"/>
      <c r="G143" s="10">
        <v>100</v>
      </c>
      <c r="H143" s="12">
        <f>VLOOKUP(B143,[4]tas!$A$2:$H$247,5,FALSE)</f>
        <v>10.94</v>
      </c>
      <c r="I143" s="12">
        <f>VLOOKUP(B143,[4]tas!$A$2:$H$247,6,FALSE)</f>
        <v>10.98</v>
      </c>
      <c r="J143" s="12">
        <f>VLOOKUP(B143,[4]tas!$A$2:$H$247,7,FALSE)</f>
        <v>11.01</v>
      </c>
      <c r="K143" s="10">
        <v>249509991440.43759</v>
      </c>
      <c r="L143" s="10">
        <v>255194972673.12192</v>
      </c>
      <c r="M143" s="10">
        <v>260235932558.99628</v>
      </c>
      <c r="N143" s="10">
        <f>VLOOKUP(B143,[2]Data!$B$1:$G$267,4,FALSE)</f>
        <v>49099.709042335751</v>
      </c>
      <c r="O143" s="10">
        <f>VLOOKUP(B143,[2]Data!$B$1:$G$267,5,FALSE)</f>
        <v>49075.956283292675</v>
      </c>
      <c r="P143" s="10">
        <f>VLOOKUP(B143,[2]Data!$B$1:$G$267,6,FALSE)</f>
        <v>49205.179214679243</v>
      </c>
      <c r="Q143" s="12">
        <f>VLOOKUP(B143,[5]Sheet1!$B$421:$K$628,10,FALSE)</f>
        <v>23.93</v>
      </c>
      <c r="R143" s="12">
        <f>VLOOKUP(B143,[5]Sheet1!$B$213:$K$420,10,FALSE)</f>
        <v>0</v>
      </c>
      <c r="S143" s="12">
        <f>VLOOKUP(B143,[5]Sheet1!$B$2:$K$207,10,FALSE)</f>
        <v>0</v>
      </c>
      <c r="T143" s="12">
        <f>VLOOKUP(B143,[6]Sheet1!$B$421:$K$628,10,FALSE)</f>
        <v>67.569999999999993</v>
      </c>
      <c r="U143" s="12">
        <f>VLOOKUP(B143,[6]Sheet1!$B$213:$K$420,10,FALSE)</f>
        <v>0</v>
      </c>
      <c r="V143" s="12">
        <f>VLOOKUP(B143,[6]Sheet1!$B$2:$K$212,10,FALSE)</f>
        <v>61.03</v>
      </c>
      <c r="W143" s="13">
        <v>0</v>
      </c>
      <c r="X143" s="13">
        <v>0</v>
      </c>
      <c r="Y143" s="13">
        <v>0</v>
      </c>
      <c r="Z143" s="10">
        <v>6.4859149967577396</v>
      </c>
      <c r="AA143" s="10">
        <v>18.640247269222499</v>
      </c>
      <c r="AB143" s="10">
        <v>18.374736798151002</v>
      </c>
      <c r="AC143" s="10">
        <v>18.118673694999401</v>
      </c>
      <c r="AD143" s="10">
        <v>16.4463886430602</v>
      </c>
      <c r="AE143" s="10">
        <v>16.7985801212333</v>
      </c>
      <c r="AF143" s="10">
        <v>17.195754308063101</v>
      </c>
      <c r="AG143" s="10">
        <v>19.43374729406403</v>
      </c>
      <c r="AH143" s="10">
        <v>19.91948653678174</v>
      </c>
      <c r="AI143" s="12">
        <f>VLOOKUP(B143,[7]all!$A$2:$I$247,6,FALSE)</f>
        <v>78.64</v>
      </c>
      <c r="AJ143" s="12">
        <f>VLOOKUP(B143,[7]all!$A$2:$I$247,7,FALSE)</f>
        <v>78.61</v>
      </c>
      <c r="AK143" s="12">
        <f>VLOOKUP(B143,[7]all!$A$2:$I$247,8,FALSE)</f>
        <v>78.52</v>
      </c>
      <c r="AL143" s="12"/>
    </row>
    <row r="144" spans="1:38" ht="21.4" x14ac:dyDescent="1.1000000000000001">
      <c r="A144" s="10" t="s">
        <v>283</v>
      </c>
      <c r="B144" s="11" t="s">
        <v>284</v>
      </c>
      <c r="C144" s="10" t="str">
        <f>VLOOKUP(B144,'[1]who-regions'!$B$1:$D$206,3,FALSE)</f>
        <v>AMR</v>
      </c>
      <c r="D144" s="12" t="str">
        <f>VLOOKUP(B144,'[2]Metadata - Countries'!$A$1:$B$266,2,FALSE)</f>
        <v>Latin America &amp; Caribbean</v>
      </c>
      <c r="E144" s="12" t="str">
        <f>VLOOKUP(B144,'[2]Metadata - Countries'!$A$1:$C$266,3,FALSE)</f>
        <v>Lower middle income</v>
      </c>
      <c r="F144" s="12"/>
      <c r="G144" s="10">
        <v>0</v>
      </c>
      <c r="H144" s="12">
        <f>VLOOKUP(B144,[4]tas!$A$2:$H$247,5,FALSE)</f>
        <v>26.28</v>
      </c>
      <c r="I144" s="12">
        <f>VLOOKUP(B144,[4]tas!$A$2:$H$247,6,FALSE)</f>
        <v>26.34</v>
      </c>
      <c r="J144" s="12">
        <f>VLOOKUP(B144,[4]tas!$A$2:$H$247,7,FALSE)</f>
        <v>26.36</v>
      </c>
      <c r="K144" s="10">
        <v>15634572502.229374</v>
      </c>
      <c r="L144" s="10">
        <v>17805842283.872475</v>
      </c>
      <c r="M144" s="10">
        <v>19693982967.592556</v>
      </c>
      <c r="N144" s="10">
        <f>VLOOKUP(B144,[2]Data!$B$1:$G$267,4,FALSE)</f>
        <v>2322.8905396458313</v>
      </c>
      <c r="O144" s="10">
        <f>VLOOKUP(B144,[2]Data!$B$1:$G$267,5,FALSE)</f>
        <v>2609.4449207293078</v>
      </c>
      <c r="P144" s="10">
        <f>VLOOKUP(B144,[2]Data!$B$1:$G$267,6,FALSE)</f>
        <v>2847.5396633949799</v>
      </c>
      <c r="Q144" s="12">
        <f>VLOOKUP(B144,[5]Sheet1!$B$421:$K$628,10,FALSE)</f>
        <v>0</v>
      </c>
      <c r="R144" s="12">
        <f>VLOOKUP(B144,[5]Sheet1!$B$213:$K$420,10,FALSE)</f>
        <v>0</v>
      </c>
      <c r="S144" s="12">
        <f>VLOOKUP(B144,[5]Sheet1!$B$2:$K$207,10,FALSE)</f>
        <v>0</v>
      </c>
      <c r="T144" s="12">
        <f>VLOOKUP(B144,[6]Sheet1!$B$421:$K$628,10,FALSE)</f>
        <v>96.83</v>
      </c>
      <c r="U144" s="12">
        <f>VLOOKUP(B144,[6]Sheet1!$B$213:$K$420,10,FALSE)</f>
        <v>0</v>
      </c>
      <c r="V144" s="12">
        <f>VLOOKUP(B144,[6]Sheet1!$B$2:$K$212,10,FALSE)</f>
        <v>0</v>
      </c>
      <c r="W144" s="13">
        <v>0</v>
      </c>
      <c r="X144" s="13">
        <v>0</v>
      </c>
      <c r="Y144" s="13">
        <v>0</v>
      </c>
      <c r="Z144" s="10">
        <v>16.809772538789002</v>
      </c>
      <c r="AA144" s="10">
        <v>29.646935472164799</v>
      </c>
      <c r="AB144" s="10">
        <v>29.203876304239401</v>
      </c>
      <c r="AC144" s="10">
        <v>28.758876248808999</v>
      </c>
      <c r="AD144" s="10">
        <v>5.2393649442806698</v>
      </c>
      <c r="AE144" s="10">
        <v>5.37928367274053</v>
      </c>
      <c r="AF144" s="10">
        <v>5.5335856079825998</v>
      </c>
      <c r="AG144" s="10">
        <v>55.930314110021605</v>
      </c>
      <c r="AH144" s="10">
        <v>56.702783779292005</v>
      </c>
      <c r="AI144" s="12">
        <f>VLOOKUP(B144,[7]all!$A$2:$I$247,6,FALSE)</f>
        <v>77.900000000000006</v>
      </c>
      <c r="AJ144" s="12">
        <f>VLOOKUP(B144,[7]all!$A$2:$I$247,7,FALSE)</f>
        <v>77.67</v>
      </c>
      <c r="AK144" s="12">
        <f>VLOOKUP(B144,[7]all!$A$2:$I$247,8,FALSE)</f>
        <v>77.88</v>
      </c>
      <c r="AL144" s="12"/>
    </row>
    <row r="145" spans="1:38" ht="21.4" x14ac:dyDescent="1.1000000000000001">
      <c r="A145" s="10" t="s">
        <v>285</v>
      </c>
      <c r="B145" s="11" t="s">
        <v>286</v>
      </c>
      <c r="C145" s="10" t="str">
        <f>VLOOKUP(B145,'[1]who-regions'!$B$1:$D$206,3,FALSE)</f>
        <v>AFR</v>
      </c>
      <c r="D145" s="12" t="str">
        <f>VLOOKUP(B145,'[2]Metadata - Countries'!$A$1:$B$266,2,FALSE)</f>
        <v>Sub-Saharan Africa</v>
      </c>
      <c r="E145" s="12" t="str">
        <f>VLOOKUP(B145,'[2]Metadata - Countries'!$A$1:$C$266,3,FALSE)</f>
        <v>Low income</v>
      </c>
      <c r="F145" s="12"/>
      <c r="G145" s="10">
        <v>16.409656995899301</v>
      </c>
      <c r="H145" s="12">
        <f>VLOOKUP(B145,[4]tas!$A$2:$H$247,5,FALSE)</f>
        <v>27.99</v>
      </c>
      <c r="I145" s="12">
        <f>VLOOKUP(B145,[4]tas!$A$2:$H$247,6,FALSE)</f>
        <v>27.88</v>
      </c>
      <c r="J145" s="12">
        <f>VLOOKUP(B145,[4]tas!$A$2:$H$247,7,FALSE)</f>
        <v>28.09</v>
      </c>
      <c r="K145" s="10">
        <v>15433852714.493536</v>
      </c>
      <c r="L145" s="10">
        <v>16698786973.022758</v>
      </c>
      <c r="M145" s="10">
        <v>19537639288.06332</v>
      </c>
      <c r="N145" s="10">
        <f>VLOOKUP(B145,[2]Data!$B$1:$G$267,4,FALSE)</f>
        <v>609.74514757487827</v>
      </c>
      <c r="O145" s="10">
        <f>VLOOKUP(B145,[2]Data!$B$1:$G$267,5,FALSE)</f>
        <v>638.33608089788697</v>
      </c>
      <c r="P145" s="10">
        <f>VLOOKUP(B145,[2]Data!$B$1:$G$267,6,FALSE)</f>
        <v>735.27025578722578</v>
      </c>
      <c r="Q145" s="12">
        <f>VLOOKUP(B145,[5]Sheet1!$B$421:$K$628,10,FALSE)</f>
        <v>0</v>
      </c>
      <c r="R145" s="12">
        <f>VLOOKUP(B145,[5]Sheet1!$B$213:$K$420,10,FALSE)</f>
        <v>0</v>
      </c>
      <c r="S145" s="12">
        <f>VLOOKUP(B145,[5]Sheet1!$B$2:$K$207,10,FALSE)</f>
        <v>0</v>
      </c>
      <c r="T145" s="12">
        <f>VLOOKUP(B145,[6]Sheet1!$B$421:$K$628,10,FALSE)</f>
        <v>0</v>
      </c>
      <c r="U145" s="12">
        <f>VLOOKUP(B145,[6]Sheet1!$B$213:$K$420,10,FALSE)</f>
        <v>0</v>
      </c>
      <c r="V145" s="12">
        <f>VLOOKUP(B145,[6]Sheet1!$B$2:$K$212,10,FALSE)</f>
        <v>0</v>
      </c>
      <c r="W145" s="13">
        <v>59.172130584716797</v>
      </c>
      <c r="X145" s="13">
        <v>44.626399993896499</v>
      </c>
      <c r="Y145" s="13">
        <v>0</v>
      </c>
      <c r="Z145" s="10">
        <v>85.122345560523797</v>
      </c>
      <c r="AA145" s="10">
        <v>47.326658415762402</v>
      </c>
      <c r="AB145" s="10">
        <v>46.9657223410195</v>
      </c>
      <c r="AC145" s="10">
        <v>46.601018314588103</v>
      </c>
      <c r="AD145" s="10">
        <v>2.5507256980718198</v>
      </c>
      <c r="AE145" s="10">
        <v>2.5710356249135402</v>
      </c>
      <c r="AF145" s="10">
        <v>2.5943818369892102</v>
      </c>
      <c r="AG145" s="10">
        <v>19.982610720770506</v>
      </c>
      <c r="AH145" s="10">
        <v>20.651983105707746</v>
      </c>
      <c r="AI145" s="12">
        <f>VLOOKUP(B145,[7]all!$A$2:$I$247,6,FALSE)</f>
        <v>26.49</v>
      </c>
      <c r="AJ145" s="12">
        <f>VLOOKUP(B145,[7]all!$A$2:$I$247,7,FALSE)</f>
        <v>26.45</v>
      </c>
      <c r="AK145" s="12">
        <f>VLOOKUP(B145,[7]all!$A$2:$I$247,8,FALSE)</f>
        <v>26.59</v>
      </c>
      <c r="AL145" s="12"/>
    </row>
    <row r="146" spans="1:38" ht="21.4" x14ac:dyDescent="1.1000000000000001">
      <c r="A146" s="10" t="s">
        <v>287</v>
      </c>
      <c r="B146" s="11" t="s">
        <v>288</v>
      </c>
      <c r="C146" s="10" t="str">
        <f>VLOOKUP(B146,'[1]who-regions'!$B$1:$D$206,3,FALSE)</f>
        <v>AFR</v>
      </c>
      <c r="D146" s="12" t="str">
        <f>VLOOKUP(B146,'[2]Metadata - Countries'!$A$1:$B$266,2,FALSE)</f>
        <v>Sub-Saharan Africa</v>
      </c>
      <c r="E146" s="12" t="str">
        <f>VLOOKUP(B146,'[2]Metadata - Countries'!$A$1:$C$266,3,FALSE)</f>
        <v>Lower middle income</v>
      </c>
      <c r="F146" s="12"/>
      <c r="G146" s="10">
        <v>46.570675077481702</v>
      </c>
      <c r="H146" s="12">
        <f>VLOOKUP(B146,[4]tas!$A$2:$H$247,5,FALSE)</f>
        <v>27.82</v>
      </c>
      <c r="I146" s="12">
        <f>VLOOKUP(B146,[4]tas!$A$2:$H$247,6,FALSE)</f>
        <v>27.81</v>
      </c>
      <c r="J146" s="12">
        <f>VLOOKUP(B146,[4]tas!$A$2:$H$247,7,FALSE)</f>
        <v>27.93</v>
      </c>
      <c r="K146" s="10">
        <v>477403400101.17365</v>
      </c>
      <c r="L146" s="10">
        <v>363846332834.61841</v>
      </c>
      <c r="M146" s="10">
        <v>187759703099.80142</v>
      </c>
      <c r="N146" s="10">
        <f>VLOOKUP(B146,[2]Data!$B$1:$G$267,4,FALSE)</f>
        <v>2899.1604747032429</v>
      </c>
      <c r="O146" s="10">
        <f>VLOOKUP(B146,[2]Data!$B$1:$G$267,5,FALSE)</f>
        <v>2138.7638371998255</v>
      </c>
      <c r="P146" s="10">
        <f>VLOOKUP(B146,[2]Data!$B$1:$G$267,6,FALSE)</f>
        <v>1084.1604180543611</v>
      </c>
      <c r="Q146" s="12">
        <f>VLOOKUP(B146,[5]Sheet1!$B$421:$K$628,10,FALSE)</f>
        <v>0</v>
      </c>
      <c r="R146" s="12">
        <f>VLOOKUP(B146,[5]Sheet1!$B$213:$K$420,10,FALSE)</f>
        <v>0</v>
      </c>
      <c r="S146" s="12">
        <f>VLOOKUP(B146,[5]Sheet1!$B$2:$K$207,10,FALSE)</f>
        <v>0</v>
      </c>
      <c r="T146" s="12">
        <f>VLOOKUP(B146,[6]Sheet1!$B$421:$K$628,10,FALSE)</f>
        <v>0</v>
      </c>
      <c r="U146" s="12">
        <f>VLOOKUP(B146,[6]Sheet1!$B$213:$K$420,10,FALSE)</f>
        <v>0</v>
      </c>
      <c r="V146" s="12">
        <f>VLOOKUP(B146,[6]Sheet1!$B$2:$K$212,10,FALSE)</f>
        <v>0</v>
      </c>
      <c r="W146" s="13">
        <v>0</v>
      </c>
      <c r="X146" s="13">
        <v>0</v>
      </c>
      <c r="Y146" s="13">
        <v>0</v>
      </c>
      <c r="Z146" s="10">
        <v>56.5313287289257</v>
      </c>
      <c r="AA146" s="10">
        <v>41.952433930519497</v>
      </c>
      <c r="AB146" s="10">
        <v>41.492228828269702</v>
      </c>
      <c r="AC146" s="10">
        <v>41.013845537795703</v>
      </c>
      <c r="AD146" s="10">
        <v>3.0079422199764401</v>
      </c>
      <c r="AE146" s="10">
        <v>3.0281629895558901</v>
      </c>
      <c r="AF146" s="10">
        <v>3.0486620806512699</v>
      </c>
      <c r="AG146" s="10">
        <v>245.01344576567081</v>
      </c>
      <c r="AH146" s="10">
        <v>250.20910328623035</v>
      </c>
      <c r="AI146" s="12">
        <f>VLOOKUP(B146,[7]all!$A$2:$I$247,6,FALSE)</f>
        <v>57.27</v>
      </c>
      <c r="AJ146" s="12">
        <f>VLOOKUP(B146,[7]all!$A$2:$I$247,7,FALSE)</f>
        <v>57.29</v>
      </c>
      <c r="AK146" s="12">
        <f>VLOOKUP(B146,[7]all!$A$2:$I$247,8,FALSE)</f>
        <v>57.36</v>
      </c>
      <c r="AL146" s="15">
        <v>4128</v>
      </c>
    </row>
    <row r="147" spans="1:38" ht="21.4" x14ac:dyDescent="1.1000000000000001">
      <c r="A147" s="10" t="s">
        <v>289</v>
      </c>
      <c r="B147" s="11" t="s">
        <v>290</v>
      </c>
      <c r="C147" s="10" t="str">
        <f>VLOOKUP(B147,'[1]who-regions'!$B$1:$D$206,3,FALSE)</f>
        <v>EUR</v>
      </c>
      <c r="D147" s="12" t="str">
        <f>VLOOKUP(B147,'[2]Metadata - Countries'!$A$1:$B$266,2,FALSE)</f>
        <v>Europe &amp; Central Asia</v>
      </c>
      <c r="E147" s="12" t="str">
        <f>VLOOKUP(B147,'[2]Metadata - Countries'!$A$1:$C$266,3,FALSE)</f>
        <v>Upper middle income</v>
      </c>
      <c r="F147" s="12"/>
      <c r="G147" s="10">
        <v>98.981807527622706</v>
      </c>
      <c r="H147" s="12">
        <f>VLOOKUP(B147,[4]tas!$A$2:$H$247,5,FALSE)</f>
        <v>12.1</v>
      </c>
      <c r="I147" s="12">
        <f>VLOOKUP(B147,[4]tas!$A$2:$H$247,6,FALSE)</f>
        <v>12.05</v>
      </c>
      <c r="J147" s="12">
        <f>VLOOKUP(B147,[4]tas!$A$2:$H$247,7,FALSE)</f>
        <v>12.13</v>
      </c>
      <c r="K147" s="10">
        <v>13932436550.088305</v>
      </c>
      <c r="L147" s="10">
        <v>15763604287.986666</v>
      </c>
      <c r="M147" s="10">
        <v>16685236492.06752</v>
      </c>
      <c r="N147" s="10">
        <f>VLOOKUP(B147,[2]Data!$B$1:$G$267,4,FALSE)</f>
        <v>7606.2375253797018</v>
      </c>
      <c r="O147" s="10">
        <f>VLOOKUP(B147,[2]Data!$B$1:$G$267,5,FALSE)</f>
        <v>8674.3584632748534</v>
      </c>
      <c r="P147" s="10">
        <f>VLOOKUP(B147,[2]Data!$B$1:$G$267,6,FALSE)</f>
        <v>9291.85661671864</v>
      </c>
      <c r="Q147" s="12">
        <f>VLOOKUP(B147,[5]Sheet1!$B$421:$K$628,10,FALSE)</f>
        <v>0</v>
      </c>
      <c r="R147" s="12">
        <f>VLOOKUP(B147,[5]Sheet1!$B$213:$K$420,10,FALSE)</f>
        <v>0</v>
      </c>
      <c r="S147" s="12">
        <f>VLOOKUP(B147,[5]Sheet1!$B$2:$K$207,10,FALSE)</f>
        <v>0</v>
      </c>
      <c r="T147" s="12">
        <f>VLOOKUP(B147,[6]Sheet1!$B$421:$K$628,10,FALSE)</f>
        <v>11.46</v>
      </c>
      <c r="U147" s="12">
        <f>VLOOKUP(B147,[6]Sheet1!$B$213:$K$420,10,FALSE)</f>
        <v>9.0500000000000007</v>
      </c>
      <c r="V147" s="12">
        <f>VLOOKUP(B147,[6]Sheet1!$B$2:$K$212,10,FALSE)</f>
        <v>12</v>
      </c>
      <c r="W147" s="13">
        <v>93.041458129882798</v>
      </c>
      <c r="X147" s="13">
        <v>0</v>
      </c>
      <c r="Y147" s="13">
        <v>0</v>
      </c>
      <c r="Z147" s="10">
        <v>26.118651401474001</v>
      </c>
      <c r="AA147" s="10">
        <v>17.198773198828601</v>
      </c>
      <c r="AB147" s="10">
        <v>17.067842776632698</v>
      </c>
      <c r="AC147" s="10">
        <v>16.822736475793601</v>
      </c>
      <c r="AD147" s="10">
        <v>17.047678201619</v>
      </c>
      <c r="AE147" s="10">
        <v>17.501732584016299</v>
      </c>
      <c r="AF147" s="10">
        <v>18.024760163005201</v>
      </c>
      <c r="AG147" s="10">
        <v>72.629341792228388</v>
      </c>
      <c r="AH147" s="10">
        <v>72.474861221252979</v>
      </c>
      <c r="AI147" s="12">
        <f>VLOOKUP(B147,[7]all!$A$2:$I$247,6,FALSE)</f>
        <v>67.69</v>
      </c>
      <c r="AJ147" s="12">
        <f>VLOOKUP(B147,[7]all!$A$2:$I$247,7,FALSE)</f>
        <v>68.099999999999994</v>
      </c>
      <c r="AK147" s="12">
        <f>VLOOKUP(B147,[7]all!$A$2:$I$247,8,FALSE)</f>
        <v>68.3</v>
      </c>
      <c r="AL147" s="12"/>
    </row>
    <row r="148" spans="1:38" ht="21.4" x14ac:dyDescent="1.1000000000000001">
      <c r="A148" s="10" t="s">
        <v>291</v>
      </c>
      <c r="B148" s="11" t="s">
        <v>292</v>
      </c>
      <c r="C148" s="10" t="str">
        <f>VLOOKUP(B148,'[1]who-regions'!$B$1:$D$206,3,FALSE)</f>
        <v>WPR</v>
      </c>
      <c r="D148" s="12" t="str">
        <f>VLOOKUP(B148,'[2]Metadata - Countries'!$A$1:$B$266,2,FALSE)</f>
        <v>East Asia &amp; Pacific</v>
      </c>
      <c r="E148" s="12" t="str">
        <f>VLOOKUP(B148,'[2]Metadata - Countries'!$A$1:$C$266,3,FALSE)</f>
        <v>High income</v>
      </c>
      <c r="F148" s="12"/>
      <c r="G148" s="10">
        <v>80.3272843396756</v>
      </c>
      <c r="H148" s="12">
        <f>VLOOKUP(B148,[4]tas!$A$2:$H$247,5,FALSE)</f>
        <v>27.28</v>
      </c>
      <c r="I148" s="12">
        <f>VLOOKUP(B148,[4]tas!$A$2:$H$247,6,FALSE)</f>
        <v>27.32</v>
      </c>
      <c r="J148" s="12">
        <f>VLOOKUP(B148,[4]tas!$A$2:$H$247,7,FALSE)</f>
        <v>27.32</v>
      </c>
      <c r="K148" s="10">
        <v>1096000000</v>
      </c>
      <c r="L148" s="10">
        <v>0</v>
      </c>
      <c r="M148" s="10">
        <v>0</v>
      </c>
      <c r="N148" s="10">
        <f>VLOOKUP(B148,[2]Data!$B$1:$G$267,4,FALSE)</f>
        <v>23785.754590042972</v>
      </c>
      <c r="O148" s="10">
        <f>VLOOKUP(B148,[2]Data!$B$1:$G$267,5,FALSE)</f>
        <v>0</v>
      </c>
      <c r="P148" s="10">
        <f>VLOOKUP(B148,[2]Data!$B$1:$G$267,6,FALSE)</f>
        <v>0</v>
      </c>
      <c r="Q148" s="12">
        <f>VLOOKUP(B148,[5]Sheet1!$B$421:$K$628,10,FALSE)</f>
        <v>0</v>
      </c>
      <c r="R148" s="12">
        <f>VLOOKUP(B148,[5]Sheet1!$B$213:$K$420,10,FALSE)</f>
        <v>0</v>
      </c>
      <c r="S148" s="12">
        <f>VLOOKUP(B148,[5]Sheet1!$B$2:$K$207,10,FALSE)</f>
        <v>0</v>
      </c>
      <c r="T148" s="12">
        <f>VLOOKUP(B148,[6]Sheet1!$B$421:$K$628,10,FALSE)</f>
        <v>0</v>
      </c>
      <c r="U148" s="12">
        <f>VLOOKUP(B148,[6]Sheet1!$B$213:$K$420,10,FALSE)</f>
        <v>0</v>
      </c>
      <c r="V148" s="12">
        <f>VLOOKUP(B148,[6]Sheet1!$B$2:$K$212,10,FALSE)</f>
        <v>0</v>
      </c>
      <c r="W148" s="13">
        <v>0</v>
      </c>
      <c r="X148" s="13">
        <v>0</v>
      </c>
      <c r="Y148" s="13">
        <v>0</v>
      </c>
      <c r="Z148" s="10">
        <v>9.7146308508100603</v>
      </c>
      <c r="AA148" s="10">
        <v>22.948044619992199</v>
      </c>
      <c r="AB148" s="10">
        <v>22.586004474669402</v>
      </c>
      <c r="AC148" s="10">
        <v>22.002145559256999</v>
      </c>
      <c r="AD148" s="10">
        <v>7.7802856026737297</v>
      </c>
      <c r="AE148" s="10">
        <v>8.7333584387391205</v>
      </c>
      <c r="AF148" s="10">
        <v>9.7521314437355304</v>
      </c>
      <c r="AG148" s="10">
        <v>100.16956521739131</v>
      </c>
      <c r="AH148" s="10">
        <v>98.136956521739137</v>
      </c>
      <c r="AI148" s="12">
        <f>VLOOKUP(B148,[7]all!$A$2:$I$247,6,FALSE)</f>
        <v>81.96</v>
      </c>
      <c r="AJ148" s="12">
        <f>VLOOKUP(B148,[7]all!$A$2:$I$247,7,FALSE)</f>
        <v>82.12</v>
      </c>
      <c r="AK148" s="12">
        <f>VLOOKUP(B148,[7]all!$A$2:$I$247,8,FALSE)</f>
        <v>82.13</v>
      </c>
      <c r="AL148" s="12"/>
    </row>
    <row r="149" spans="1:38" ht="21.4" x14ac:dyDescent="1.1000000000000001">
      <c r="A149" s="10" t="s">
        <v>293</v>
      </c>
      <c r="B149" s="11" t="s">
        <v>294</v>
      </c>
      <c r="C149" s="10" t="str">
        <f>VLOOKUP(B149,'[1]who-regions'!$B$1:$D$206,3,FALSE)</f>
        <v>EUR</v>
      </c>
      <c r="D149" s="12" t="str">
        <f>VLOOKUP(B149,'[2]Metadata - Countries'!$A$1:$B$266,2,FALSE)</f>
        <v>Europe &amp; Central Asia</v>
      </c>
      <c r="E149" s="12" t="str">
        <f>VLOOKUP(B149,'[2]Metadata - Countries'!$A$1:$C$266,3,FALSE)</f>
        <v>High income</v>
      </c>
      <c r="F149" s="12"/>
      <c r="G149" s="10">
        <v>98.049011857575493</v>
      </c>
      <c r="H149" s="12">
        <f>VLOOKUP(B149,[4]tas!$A$2:$H$247,5,FALSE)</f>
        <v>2.89</v>
      </c>
      <c r="I149" s="12">
        <f>VLOOKUP(B149,[4]tas!$A$2:$H$247,6,FALSE)</f>
        <v>2.82</v>
      </c>
      <c r="J149" s="12">
        <f>VLOOKUP(B149,[4]tas!$A$2:$H$247,7,FALSE)</f>
        <v>2.83</v>
      </c>
      <c r="K149" s="10">
        <v>596297651035.79773</v>
      </c>
      <c r="L149" s="10">
        <v>482949731776.58716</v>
      </c>
      <c r="M149" s="10">
        <v>483727398216.36444</v>
      </c>
      <c r="N149" s="10">
        <f>VLOOKUP(B149,[2]Data!$B$1:$G$267,4,FALSE)</f>
        <v>109269.52058029761</v>
      </c>
      <c r="O149" s="10">
        <f>VLOOKUP(B149,[2]Data!$B$1:$G$267,5,FALSE)</f>
        <v>87497.217964955649</v>
      </c>
      <c r="P149" s="10">
        <f>VLOOKUP(B149,[2]Data!$B$1:$G$267,6,FALSE)</f>
        <v>86785.433448917611</v>
      </c>
      <c r="Q149" s="12">
        <f>VLOOKUP(B149,[5]Sheet1!$B$421:$K$628,10,FALSE)</f>
        <v>0</v>
      </c>
      <c r="R149" s="12">
        <f>VLOOKUP(B149,[5]Sheet1!$B$213:$K$420,10,FALSE)</f>
        <v>0</v>
      </c>
      <c r="S149" s="12">
        <f>VLOOKUP(B149,[5]Sheet1!$B$2:$K$207,10,FALSE)</f>
        <v>0</v>
      </c>
      <c r="T149" s="12">
        <f>VLOOKUP(B149,[6]Sheet1!$B$421:$K$628,10,FALSE)</f>
        <v>63.56</v>
      </c>
      <c r="U149" s="12">
        <f>VLOOKUP(B149,[6]Sheet1!$B$213:$K$420,10,FALSE)</f>
        <v>64</v>
      </c>
      <c r="V149" s="12">
        <f>VLOOKUP(B149,[6]Sheet1!$B$2:$K$212,10,FALSE)</f>
        <v>65</v>
      </c>
      <c r="W149" s="13">
        <v>0</v>
      </c>
      <c r="X149" s="13">
        <v>0</v>
      </c>
      <c r="Y149" s="13">
        <v>0</v>
      </c>
      <c r="Z149" s="10">
        <v>6.0558972467344301</v>
      </c>
      <c r="AA149" s="10">
        <v>16.786152107603701</v>
      </c>
      <c r="AB149" s="10">
        <v>16.506766329049299</v>
      </c>
      <c r="AC149" s="10">
        <v>16.188749179616501</v>
      </c>
      <c r="AD149" s="10">
        <v>18.3301335040316</v>
      </c>
      <c r="AE149" s="10">
        <v>18.533847589681599</v>
      </c>
      <c r="AF149" s="10">
        <v>18.785240627902699</v>
      </c>
      <c r="AG149" s="10">
        <v>14.980994866445219</v>
      </c>
      <c r="AH149" s="10">
        <v>15.152480303071897</v>
      </c>
      <c r="AI149" s="12">
        <f>VLOOKUP(B149,[7]all!$A$2:$I$247,6,FALSE)</f>
        <v>80.819999999999993</v>
      </c>
      <c r="AJ149" s="12">
        <f>VLOOKUP(B149,[7]all!$A$2:$I$247,7,FALSE)</f>
        <v>80.81</v>
      </c>
      <c r="AK149" s="12">
        <f>VLOOKUP(B149,[7]all!$A$2:$I$247,8,FALSE)</f>
        <v>80.849999999999994</v>
      </c>
      <c r="AL149" s="12"/>
    </row>
    <row r="150" spans="1:38" ht="21.4" x14ac:dyDescent="1.1000000000000001">
      <c r="A150" s="10" t="s">
        <v>295</v>
      </c>
      <c r="B150" s="11" t="s">
        <v>296</v>
      </c>
      <c r="C150" s="10" t="str">
        <f>VLOOKUP(B150,'[1]who-regions'!$B$1:$D$206,3,FALSE)</f>
        <v>EMR</v>
      </c>
      <c r="D150" s="12" t="str">
        <f>VLOOKUP(B150,'[2]Metadata - Countries'!$A$1:$B$266,2,FALSE)</f>
        <v>Middle East &amp; North Africa</v>
      </c>
      <c r="E150" s="12" t="str">
        <f>VLOOKUP(B150,'[2]Metadata - Countries'!$A$1:$C$266,3,FALSE)</f>
        <v>High income</v>
      </c>
      <c r="F150" s="12"/>
      <c r="G150" s="10">
        <v>99.320615633983607</v>
      </c>
      <c r="H150" s="12">
        <f>VLOOKUP(B150,[4]tas!$A$2:$H$247,5,FALSE)</f>
        <v>28.4</v>
      </c>
      <c r="I150" s="12">
        <f>VLOOKUP(B150,[4]tas!$A$2:$H$247,6,FALSE)</f>
        <v>28.42</v>
      </c>
      <c r="J150" s="12">
        <f>VLOOKUP(B150,[4]tas!$A$2:$H$247,7,FALSE)</f>
        <v>28.45</v>
      </c>
      <c r="K150" s="10">
        <v>109852795838.75162</v>
      </c>
      <c r="L150" s="10">
        <v>105895708712.61378</v>
      </c>
      <c r="M150" s="10">
        <v>106942782834.85045</v>
      </c>
      <c r="N150" s="10">
        <f>VLOOKUP(B150,[2]Data!$B$1:$G$267,4,FALSE)</f>
        <v>23223.582940593456</v>
      </c>
      <c r="O150" s="10">
        <f>VLOOKUP(B150,[2]Data!$B$1:$G$267,5,FALSE)</f>
        <v>21027.738477888633</v>
      </c>
      <c r="P150" s="10">
        <f>VLOOKUP(B150,[2]Data!$B$1:$G$267,6,FALSE)</f>
        <v>20285.227289737661</v>
      </c>
      <c r="Q150" s="12">
        <f>VLOOKUP(B150,[5]Sheet1!$B$421:$K$628,10,FALSE)</f>
        <v>0</v>
      </c>
      <c r="R150" s="12">
        <f>VLOOKUP(B150,[5]Sheet1!$B$213:$K$420,10,FALSE)</f>
        <v>0</v>
      </c>
      <c r="S150" s="12">
        <f>VLOOKUP(B150,[5]Sheet1!$B$2:$K$207,10,FALSE)</f>
        <v>0</v>
      </c>
      <c r="T150" s="12">
        <f>VLOOKUP(B150,[6]Sheet1!$B$421:$K$628,10,FALSE)</f>
        <v>0</v>
      </c>
      <c r="U150" s="12">
        <f>VLOOKUP(B150,[6]Sheet1!$B$213:$K$420,10,FALSE)</f>
        <v>90.42</v>
      </c>
      <c r="V150" s="12">
        <f>VLOOKUP(B150,[6]Sheet1!$B$2:$K$212,10,FALSE)</f>
        <v>92.85</v>
      </c>
      <c r="W150" s="13">
        <v>99.645011901855497</v>
      </c>
      <c r="X150" s="13">
        <v>99.648307800292997</v>
      </c>
      <c r="Y150" s="13">
        <v>0</v>
      </c>
      <c r="Z150" s="10">
        <v>39.583576890276497</v>
      </c>
      <c r="AA150" s="10">
        <v>26.220861328824501</v>
      </c>
      <c r="AB150" s="10">
        <v>25.227770594119701</v>
      </c>
      <c r="AC150" s="10">
        <v>24.7148273855078</v>
      </c>
      <c r="AD150" s="10">
        <v>2.6575474406508302</v>
      </c>
      <c r="AE150" s="10">
        <v>2.6604445118689499</v>
      </c>
      <c r="AF150" s="10">
        <v>2.64409723076876</v>
      </c>
      <c r="AG150" s="10">
        <v>15.283444264943457</v>
      </c>
      <c r="AH150" s="10">
        <v>16.314277867528272</v>
      </c>
      <c r="AI150" s="12">
        <f>VLOOKUP(B150,[7]all!$A$2:$I$247,6,FALSE)</f>
        <v>43.67</v>
      </c>
      <c r="AJ150" s="12">
        <f>VLOOKUP(B150,[7]all!$A$2:$I$247,7,FALSE)</f>
        <v>43.55</v>
      </c>
      <c r="AK150" s="12">
        <f>VLOOKUP(B150,[7]all!$A$2:$I$247,8,FALSE)</f>
        <v>43.4</v>
      </c>
      <c r="AL150" s="12"/>
    </row>
    <row r="151" spans="1:38" ht="21.4" x14ac:dyDescent="1.1000000000000001">
      <c r="A151" s="10" t="s">
        <v>297</v>
      </c>
      <c r="B151" s="11" t="s">
        <v>298</v>
      </c>
      <c r="C151" s="10" t="str">
        <f>VLOOKUP(B151,'[1]who-regions'!$B$1:$D$206,3,FALSE)</f>
        <v>EMR</v>
      </c>
      <c r="D151" s="12" t="str">
        <f>VLOOKUP(B151,'[2]Metadata - Countries'!$A$1:$B$266,2,FALSE)</f>
        <v>Middle East &amp; North Africa</v>
      </c>
      <c r="E151" s="12" t="str">
        <f>VLOOKUP(B151,'[2]Metadata - Countries'!$A$1:$C$266,3,FALSE)</f>
        <v>Lower middle income</v>
      </c>
      <c r="F151" s="12"/>
      <c r="G151" s="10">
        <v>70.528813258871907</v>
      </c>
      <c r="H151" s="12">
        <f>VLOOKUP(B151,[4]tas!$A$2:$H$247,5,FALSE)</f>
        <v>21.25</v>
      </c>
      <c r="I151" s="12">
        <f>VLOOKUP(B151,[4]tas!$A$2:$H$247,6,FALSE)</f>
        <v>21.27</v>
      </c>
      <c r="J151" s="12">
        <f>VLOOKUP(B151,[4]tas!$A$2:$H$247,7,FALSE)</f>
        <v>21.32</v>
      </c>
      <c r="K151" s="10">
        <v>374890295666.69366</v>
      </c>
      <c r="L151" s="10">
        <v>337885531778.05212</v>
      </c>
      <c r="M151" s="10">
        <v>373071855731.5387</v>
      </c>
      <c r="N151" s="10">
        <f>VLOOKUP(B151,[2]Data!$B$1:$G$267,4,FALSE)</f>
        <v>1538.3228133170996</v>
      </c>
      <c r="O151" s="10">
        <f>VLOOKUP(B151,[2]Data!$B$1:$G$267,5,FALSE)</f>
        <v>1360.3241775841927</v>
      </c>
      <c r="P151" s="10">
        <f>VLOOKUP(B151,[2]Data!$B$1:$G$267,6,FALSE)</f>
        <v>1478.7727797799566</v>
      </c>
      <c r="Q151" s="12">
        <f>VLOOKUP(B151,[5]Sheet1!$B$421:$K$628,10,FALSE)</f>
        <v>0</v>
      </c>
      <c r="R151" s="12">
        <f>VLOOKUP(B151,[5]Sheet1!$B$213:$K$420,10,FALSE)</f>
        <v>0</v>
      </c>
      <c r="S151" s="12">
        <f>VLOOKUP(B151,[5]Sheet1!$B$2:$K$207,10,FALSE)</f>
        <v>0</v>
      </c>
      <c r="T151" s="12">
        <f>VLOOKUP(B151,[6]Sheet1!$B$421:$K$628,10,FALSE)</f>
        <v>0</v>
      </c>
      <c r="U151" s="12">
        <f>VLOOKUP(B151,[6]Sheet1!$B$213:$K$420,10,FALSE)</f>
        <v>0</v>
      </c>
      <c r="V151" s="12">
        <f>VLOOKUP(B151,[6]Sheet1!$B$2:$K$212,10,FALSE)</f>
        <v>0</v>
      </c>
      <c r="W151" s="13">
        <v>0</v>
      </c>
      <c r="X151" s="13">
        <v>0</v>
      </c>
      <c r="Y151" s="13">
        <v>0</v>
      </c>
      <c r="Z151" s="10">
        <v>42.998173424987797</v>
      </c>
      <c r="AA151" s="10">
        <v>37.3097827836474</v>
      </c>
      <c r="AB151" s="10">
        <v>37.038061395535301</v>
      </c>
      <c r="AC151" s="10">
        <v>36.684929830864597</v>
      </c>
      <c r="AD151" s="10">
        <v>4.1116770927836601</v>
      </c>
      <c r="AE151" s="10">
        <v>4.19627145721884</v>
      </c>
      <c r="AF151" s="10">
        <v>4.2806289195119902</v>
      </c>
      <c r="AG151" s="10">
        <v>316.13307778123703</v>
      </c>
      <c r="AH151" s="10">
        <v>321.067474833956</v>
      </c>
      <c r="AI151" s="12">
        <f>VLOOKUP(B151,[7]all!$A$2:$I$247,6,FALSE)</f>
        <v>49.34</v>
      </c>
      <c r="AJ151" s="12">
        <f>VLOOKUP(B151,[7]all!$A$2:$I$247,7,FALSE)</f>
        <v>49.01</v>
      </c>
      <c r="AK151" s="12">
        <f>VLOOKUP(B151,[7]all!$A$2:$I$247,8,FALSE)</f>
        <v>48.95</v>
      </c>
      <c r="AL151" s="12"/>
    </row>
    <row r="152" spans="1:38" ht="21.4" x14ac:dyDescent="1.1000000000000001">
      <c r="A152" s="10" t="s">
        <v>299</v>
      </c>
      <c r="B152" s="11" t="s">
        <v>300</v>
      </c>
      <c r="C152" s="10" t="str">
        <f>VLOOKUP(B152,'[1]who-regions'!$B$1:$D$206,3,FALSE)</f>
        <v>WPR</v>
      </c>
      <c r="D152" s="12" t="str">
        <f>VLOOKUP(B152,'[2]Metadata - Countries'!$A$1:$B$266,2,FALSE)</f>
        <v>East Asia &amp; Pacific</v>
      </c>
      <c r="E152" s="12" t="str">
        <f>VLOOKUP(B152,'[2]Metadata - Countries'!$A$1:$C$266,3,FALSE)</f>
        <v>High income</v>
      </c>
      <c r="F152" s="12"/>
      <c r="G152" s="10">
        <v>99.018506592733303</v>
      </c>
      <c r="H152" s="12">
        <f>VLOOKUP(B152,[4]tas!$A$2:$H$247,5,FALSE)</f>
        <v>27.42</v>
      </c>
      <c r="I152" s="12">
        <f>VLOOKUP(B152,[4]tas!$A$2:$H$247,6,FALSE)</f>
        <v>27.44</v>
      </c>
      <c r="J152" s="12">
        <f>VLOOKUP(B152,[4]tas!$A$2:$H$247,7,FALSE)</f>
        <v>27.45</v>
      </c>
      <c r="K152" s="10">
        <v>255591100</v>
      </c>
      <c r="L152" s="10">
        <v>281849100</v>
      </c>
      <c r="M152" s="10">
        <v>0</v>
      </c>
      <c r="N152" s="10">
        <f>VLOOKUP(B152,[2]Data!$B$1:$G$267,4,FALSE)</f>
        <v>13729.760276149613</v>
      </c>
      <c r="O152" s="10">
        <f>VLOOKUP(B152,[2]Data!$B$1:$G$267,5,FALSE)</f>
        <v>15610.823193103235</v>
      </c>
      <c r="P152" s="10">
        <f>VLOOKUP(B152,[2]Data!$B$1:$G$267,6,FALSE)</f>
        <v>0</v>
      </c>
      <c r="Q152" s="12">
        <f>VLOOKUP(B152,[5]Sheet1!$B$421:$K$628,10,FALSE)</f>
        <v>0</v>
      </c>
      <c r="R152" s="12">
        <f>VLOOKUP(B152,[5]Sheet1!$B$213:$K$420,10,FALSE)</f>
        <v>0</v>
      </c>
      <c r="S152" s="12">
        <f>VLOOKUP(B152,[5]Sheet1!$B$2:$K$207,10,FALSE)</f>
        <v>0</v>
      </c>
      <c r="T152" s="12">
        <f>VLOOKUP(B152,[6]Sheet1!$B$421:$K$628,10,FALSE)</f>
        <v>0</v>
      </c>
      <c r="U152" s="12">
        <f>VLOOKUP(B152,[6]Sheet1!$B$213:$K$420,10,FALSE)</f>
        <v>0</v>
      </c>
      <c r="V152" s="12">
        <f>VLOOKUP(B152,[6]Sheet1!$B$2:$K$212,10,FALSE)</f>
        <v>0</v>
      </c>
      <c r="W152" s="13">
        <v>0</v>
      </c>
      <c r="X152" s="13">
        <v>0</v>
      </c>
      <c r="Y152" s="13">
        <v>0</v>
      </c>
      <c r="Z152" s="10">
        <v>7.3277097943104899</v>
      </c>
      <c r="AA152" s="10">
        <v>18.8158117011093</v>
      </c>
      <c r="AB152" s="10">
        <v>18.541813566492699</v>
      </c>
      <c r="AC152" s="10">
        <v>18.2447514904919</v>
      </c>
      <c r="AD152" s="10">
        <v>10.3778365898981</v>
      </c>
      <c r="AE152" s="10">
        <v>10.8503737131575</v>
      </c>
      <c r="AF152" s="10">
        <v>11.341866576248201</v>
      </c>
      <c r="AG152" s="10">
        <v>38.606521739130436</v>
      </c>
      <c r="AH152" s="10">
        <v>38.536956521739128</v>
      </c>
      <c r="AI152" s="12">
        <f>VLOOKUP(B152,[7]all!$A$2:$I$247,6,FALSE)</f>
        <v>83.52</v>
      </c>
      <c r="AJ152" s="12">
        <f>VLOOKUP(B152,[7]all!$A$2:$I$247,7,FALSE)</f>
        <v>83.6</v>
      </c>
      <c r="AK152" s="12">
        <f>VLOOKUP(B152,[7]all!$A$2:$I$247,8,FALSE)</f>
        <v>83.58</v>
      </c>
      <c r="AL152" s="12"/>
    </row>
    <row r="153" spans="1:38" ht="21.4" x14ac:dyDescent="1.1000000000000001">
      <c r="A153" s="10" t="s">
        <v>301</v>
      </c>
      <c r="B153" s="11" t="s">
        <v>302</v>
      </c>
      <c r="C153" s="10" t="str">
        <f>VLOOKUP(B153,'[1]who-regions'!$B$1:$D$206,3,FALSE)</f>
        <v>AMR</v>
      </c>
      <c r="D153" s="12" t="str">
        <f>VLOOKUP(B153,'[2]Metadata - Countries'!$A$1:$B$266,2,FALSE)</f>
        <v>Latin America &amp; Caribbean</v>
      </c>
      <c r="E153" s="12" t="str">
        <f>VLOOKUP(B153,'[2]Metadata - Countries'!$A$1:$C$266,3,FALSE)</f>
        <v>High income</v>
      </c>
      <c r="F153" s="12"/>
      <c r="G153" s="10">
        <v>85.879875612160603</v>
      </c>
      <c r="H153" s="12">
        <f>VLOOKUP(B153,[4]tas!$A$2:$H$247,5,FALSE)</f>
        <v>25.85</v>
      </c>
      <c r="I153" s="12">
        <f>VLOOKUP(B153,[4]tas!$A$2:$H$247,6,FALSE)</f>
        <v>25.85</v>
      </c>
      <c r="J153" s="12">
        <f>VLOOKUP(B153,[4]tas!$A$2:$H$247,7,FALSE)</f>
        <v>25.89</v>
      </c>
      <c r="K153" s="10">
        <v>76276116700</v>
      </c>
      <c r="L153" s="10">
        <v>83318176900</v>
      </c>
      <c r="M153" s="10">
        <v>86260400000</v>
      </c>
      <c r="N153" s="10">
        <f>VLOOKUP(B153,[2]Data!$B$1:$G$267,4,FALSE)</f>
        <v>17378.607001755714</v>
      </c>
      <c r="O153" s="10">
        <f>VLOOKUP(B153,[2]Data!$B$1:$G$267,5,FALSE)</f>
        <v>18797.193399404456</v>
      </c>
      <c r="P153" s="10">
        <f>VLOOKUP(B153,[2]Data!$B$1:$G$267,6,FALSE)</f>
        <v>19161.218850159614</v>
      </c>
      <c r="Q153" s="12">
        <f>VLOOKUP(B153,[5]Sheet1!$B$421:$K$628,10,FALSE)</f>
        <v>0</v>
      </c>
      <c r="R153" s="12">
        <f>VLOOKUP(B153,[5]Sheet1!$B$213:$K$420,10,FALSE)</f>
        <v>0</v>
      </c>
      <c r="S153" s="12">
        <f>VLOOKUP(B153,[5]Sheet1!$B$2:$K$207,10,FALSE)</f>
        <v>0</v>
      </c>
      <c r="T153" s="12">
        <f>VLOOKUP(B153,[6]Sheet1!$B$421:$K$628,10,FALSE)</f>
        <v>66.8</v>
      </c>
      <c r="U153" s="12">
        <f>VLOOKUP(B153,[6]Sheet1!$B$213:$K$420,10,FALSE)</f>
        <v>75.06</v>
      </c>
      <c r="V153" s="12">
        <f>VLOOKUP(B153,[6]Sheet1!$B$2:$K$212,10,FALSE)</f>
        <v>60.64</v>
      </c>
      <c r="W153" s="13">
        <v>66.668029785156193</v>
      </c>
      <c r="X153" s="13">
        <v>0</v>
      </c>
      <c r="Y153" s="13">
        <v>0</v>
      </c>
      <c r="Z153" s="10">
        <v>11.470060749020901</v>
      </c>
      <c r="AA153" s="10">
        <v>25.670035696001602</v>
      </c>
      <c r="AB153" s="10">
        <v>25.276169893909898</v>
      </c>
      <c r="AC153" s="10">
        <v>24.8949248346335</v>
      </c>
      <c r="AD153" s="10">
        <v>8.7663008294224696</v>
      </c>
      <c r="AE153" s="10">
        <v>9.0567352933854508</v>
      </c>
      <c r="AF153" s="10">
        <v>9.3531125701100901</v>
      </c>
      <c r="AG153" s="10">
        <v>59.325599892154223</v>
      </c>
      <c r="AH153" s="10">
        <v>60.107293070908604</v>
      </c>
      <c r="AI153" s="12">
        <f>VLOOKUP(B153,[7]all!$A$2:$I$247,6,FALSE)</f>
        <v>82.81</v>
      </c>
      <c r="AJ153" s="12">
        <f>VLOOKUP(B153,[7]all!$A$2:$I$247,7,FALSE)</f>
        <v>82.82</v>
      </c>
      <c r="AK153" s="12">
        <f>VLOOKUP(B153,[7]all!$A$2:$I$247,8,FALSE)</f>
        <v>82.81</v>
      </c>
      <c r="AL153" s="12"/>
    </row>
    <row r="154" spans="1:38" ht="21.4" x14ac:dyDescent="1.1000000000000001">
      <c r="A154" s="10" t="s">
        <v>303</v>
      </c>
      <c r="B154" s="11" t="s">
        <v>304</v>
      </c>
      <c r="C154" s="10" t="str">
        <f>VLOOKUP(B154,'[1]who-regions'!$B$1:$D$206,3,FALSE)</f>
        <v>WPR</v>
      </c>
      <c r="D154" s="12" t="str">
        <f>VLOOKUP(B154,'[2]Metadata - Countries'!$A$1:$B$266,2,FALSE)</f>
        <v>East Asia &amp; Pacific</v>
      </c>
      <c r="E154" s="12" t="str">
        <f>VLOOKUP(B154,'[2]Metadata - Countries'!$A$1:$C$266,3,FALSE)</f>
        <v>Lower middle income</v>
      </c>
      <c r="F154" s="12"/>
      <c r="G154" s="10">
        <v>19.304728768577998</v>
      </c>
      <c r="H154" s="12">
        <f>VLOOKUP(B154,[4]tas!$A$2:$H$247,5,FALSE)</f>
        <v>24.26</v>
      </c>
      <c r="I154" s="12">
        <f>VLOOKUP(B154,[4]tas!$A$2:$H$247,6,FALSE)</f>
        <v>24.3</v>
      </c>
      <c r="J154" s="12">
        <f>VLOOKUP(B154,[4]tas!$A$2:$H$247,7,FALSE)</f>
        <v>24.29</v>
      </c>
      <c r="K154" s="10">
        <v>31653185952.608952</v>
      </c>
      <c r="L154" s="10">
        <v>30816367066.9594</v>
      </c>
      <c r="M154" s="10">
        <v>32538480023.999786</v>
      </c>
      <c r="N154" s="10">
        <f>VLOOKUP(B154,[2]Data!$B$1:$G$267,4,FALSE)</f>
        <v>3102.2896859406083</v>
      </c>
      <c r="O154" s="10">
        <f>VLOOKUP(B154,[2]Data!$B$1:$G$267,5,FALSE)</f>
        <v>2966.0683043205463</v>
      </c>
      <c r="P154" s="10">
        <f>VLOOKUP(B154,[2]Data!$B$1:$G$267,6,FALSE)</f>
        <v>3006.7056447892346</v>
      </c>
      <c r="Q154" s="12">
        <f>VLOOKUP(B154,[5]Sheet1!$B$421:$K$628,10,FALSE)</f>
        <v>0</v>
      </c>
      <c r="R154" s="12">
        <f>VLOOKUP(B154,[5]Sheet1!$B$213:$K$420,10,FALSE)</f>
        <v>0</v>
      </c>
      <c r="S154" s="12">
        <f>VLOOKUP(B154,[5]Sheet1!$B$2:$K$207,10,FALSE)</f>
        <v>0</v>
      </c>
      <c r="T154" s="12">
        <f>VLOOKUP(B154,[6]Sheet1!$B$421:$K$628,10,FALSE)</f>
        <v>0</v>
      </c>
      <c r="U154" s="12">
        <f>VLOOKUP(B154,[6]Sheet1!$B$213:$K$420,10,FALSE)</f>
        <v>0</v>
      </c>
      <c r="V154" s="12">
        <f>VLOOKUP(B154,[6]Sheet1!$B$2:$K$212,10,FALSE)</f>
        <v>0</v>
      </c>
      <c r="W154" s="13">
        <v>0</v>
      </c>
      <c r="X154" s="13">
        <v>0</v>
      </c>
      <c r="Y154" s="13">
        <v>0</v>
      </c>
      <c r="Z154" s="10">
        <v>17.310542556723899</v>
      </c>
      <c r="AA154" s="10">
        <v>34.115124716883301</v>
      </c>
      <c r="AB154" s="10">
        <v>33.804228926232703</v>
      </c>
      <c r="AC154" s="10">
        <v>33.479506432254603</v>
      </c>
      <c r="AD154" s="10">
        <v>3.24702044791082</v>
      </c>
      <c r="AE154" s="10">
        <v>3.3483081936949701</v>
      </c>
      <c r="AF154" s="10">
        <v>3.4646144568693198</v>
      </c>
      <c r="AG154" s="10">
        <v>22.530514949432497</v>
      </c>
      <c r="AH154" s="10">
        <v>22.94226692576072</v>
      </c>
      <c r="AI154" s="12">
        <f>VLOOKUP(B154,[7]all!$A$2:$I$247,6,FALSE)</f>
        <v>83.81</v>
      </c>
      <c r="AJ154" s="12">
        <f>VLOOKUP(B154,[7]all!$A$2:$I$247,7,FALSE)</f>
        <v>83.81</v>
      </c>
      <c r="AK154" s="12">
        <f>VLOOKUP(B154,[7]all!$A$2:$I$247,8,FALSE)</f>
        <v>83.85</v>
      </c>
      <c r="AL154" s="12"/>
    </row>
    <row r="155" spans="1:38" ht="21.4" x14ac:dyDescent="1.1000000000000001">
      <c r="A155" s="10" t="s">
        <v>305</v>
      </c>
      <c r="B155" s="11" t="s">
        <v>306</v>
      </c>
      <c r="C155" s="10" t="str">
        <f>VLOOKUP(B155,'[1]who-regions'!$B$1:$D$206,3,FALSE)</f>
        <v>AMR</v>
      </c>
      <c r="D155" s="12" t="str">
        <f>VLOOKUP(B155,'[2]Metadata - Countries'!$A$1:$B$266,2,FALSE)</f>
        <v>Latin America &amp; Caribbean</v>
      </c>
      <c r="E155" s="12" t="str">
        <f>VLOOKUP(B155,'[2]Metadata - Countries'!$A$1:$C$266,3,FALSE)</f>
        <v>Upper middle income</v>
      </c>
      <c r="F155" s="12"/>
      <c r="G155" s="10">
        <v>94.572748440331196</v>
      </c>
      <c r="H155" s="12">
        <f>VLOOKUP(B155,[4]tas!$A$2:$H$247,5,FALSE)</f>
        <v>24.88</v>
      </c>
      <c r="I155" s="12">
        <f>VLOOKUP(B155,[4]tas!$A$2:$H$247,6,FALSE)</f>
        <v>24.9</v>
      </c>
      <c r="J155" s="12">
        <f>VLOOKUP(B155,[4]tas!$A$2:$H$247,7,FALSE)</f>
        <v>25.05</v>
      </c>
      <c r="K155" s="10">
        <v>41952910858.08799</v>
      </c>
      <c r="L155" s="10">
        <v>43118053174.54129</v>
      </c>
      <c r="M155" s="10">
        <v>44458118399.666885</v>
      </c>
      <c r="N155" s="10">
        <f>VLOOKUP(B155,[2]Data!$B$1:$G$267,4,FALSE)</f>
        <v>6205.6259537931946</v>
      </c>
      <c r="O155" s="10">
        <f>VLOOKUP(B155,[2]Data!$B$1:$G$267,5,FALSE)</f>
        <v>6299.9902653371346</v>
      </c>
      <c r="P155" s="10">
        <f>VLOOKUP(B155,[2]Data!$B$1:$G$267,6,FALSE)</f>
        <v>6416.0970897084453</v>
      </c>
      <c r="Q155" s="12">
        <f>VLOOKUP(B155,[5]Sheet1!$B$421:$K$628,10,FALSE)</f>
        <v>0</v>
      </c>
      <c r="R155" s="12">
        <f>VLOOKUP(B155,[5]Sheet1!$B$213:$K$420,10,FALSE)</f>
        <v>0</v>
      </c>
      <c r="S155" s="12">
        <f>VLOOKUP(B155,[5]Sheet1!$B$2:$K$207,10,FALSE)</f>
        <v>0</v>
      </c>
      <c r="T155" s="12">
        <f>VLOOKUP(B155,[6]Sheet1!$B$421:$K$628,10,FALSE)</f>
        <v>34.39</v>
      </c>
      <c r="U155" s="12">
        <f>VLOOKUP(B155,[6]Sheet1!$B$213:$K$420,10,FALSE)</f>
        <v>29.85</v>
      </c>
      <c r="V155" s="12">
        <f>VLOOKUP(B155,[6]Sheet1!$B$2:$K$212,10,FALSE)</f>
        <v>28.59</v>
      </c>
      <c r="W155" s="13">
        <v>94.993316650390597</v>
      </c>
      <c r="X155" s="13">
        <v>96.739540100097699</v>
      </c>
      <c r="Y155" s="13">
        <v>0</v>
      </c>
      <c r="Z155" s="10">
        <v>10.0891599097852</v>
      </c>
      <c r="AA155" s="10">
        <v>28.926431676879002</v>
      </c>
      <c r="AB155" s="10">
        <v>28.781004963950199</v>
      </c>
      <c r="AC155" s="10">
        <v>28.587924094041501</v>
      </c>
      <c r="AD155" s="10">
        <v>6.23091107355945</v>
      </c>
      <c r="AE155" s="10">
        <v>6.3692752901530696</v>
      </c>
      <c r="AF155" s="10">
        <v>6.5376460874799598</v>
      </c>
      <c r="AG155" s="10">
        <v>17.071359663350844</v>
      </c>
      <c r="AH155" s="10">
        <v>17.282671943072032</v>
      </c>
      <c r="AI155" s="12">
        <f>VLOOKUP(B155,[7]all!$A$2:$I$247,6,FALSE)</f>
        <v>66.16</v>
      </c>
      <c r="AJ155" s="12">
        <f>VLOOKUP(B155,[7]all!$A$2:$I$247,7,FALSE)</f>
        <v>65.86</v>
      </c>
      <c r="AK155" s="12">
        <f>VLOOKUP(B155,[7]all!$A$2:$I$247,8,FALSE)</f>
        <v>65.12</v>
      </c>
      <c r="AL155" s="12"/>
    </row>
    <row r="156" spans="1:38" ht="21.4" x14ac:dyDescent="1.1000000000000001">
      <c r="A156" s="10" t="s">
        <v>307</v>
      </c>
      <c r="B156" s="11" t="s">
        <v>308</v>
      </c>
      <c r="C156" s="10" t="str">
        <f>VLOOKUP(B156,'[1]who-regions'!$B$1:$D$206,3,FALSE)</f>
        <v>AMR</v>
      </c>
      <c r="D156" s="12" t="str">
        <f>VLOOKUP(B156,'[2]Metadata - Countries'!$A$1:$B$266,2,FALSE)</f>
        <v>Latin America &amp; Caribbean</v>
      </c>
      <c r="E156" s="12" t="str">
        <f>VLOOKUP(B156,'[2]Metadata - Countries'!$A$1:$C$266,3,FALSE)</f>
        <v>Upper middle income</v>
      </c>
      <c r="F156" s="12"/>
      <c r="G156" s="10">
        <v>78.459456576791297</v>
      </c>
      <c r="H156" s="12">
        <f>VLOOKUP(B156,[4]tas!$A$2:$H$247,5,FALSE)</f>
        <v>19.91</v>
      </c>
      <c r="I156" s="12">
        <f>VLOOKUP(B156,[4]tas!$A$2:$H$247,6,FALSE)</f>
        <v>19.920000000000002</v>
      </c>
      <c r="J156" s="12">
        <f>VLOOKUP(B156,[4]tas!$A$2:$H$247,7,FALSE)</f>
        <v>20</v>
      </c>
      <c r="K156" s="10">
        <v>246065570308.15494</v>
      </c>
      <c r="L156" s="10">
        <v>266958720837.98767</v>
      </c>
      <c r="M156" s="10">
        <v>289221969059.85333</v>
      </c>
      <c r="N156" s="10">
        <f>VLOOKUP(B156,[2]Data!$B$1:$G$267,4,FALSE)</f>
        <v>7350.6303430041735</v>
      </c>
      <c r="O156" s="10">
        <f>VLOOKUP(B156,[2]Data!$B$1:$G$267,5,FALSE)</f>
        <v>7887.5418592010801</v>
      </c>
      <c r="P156" s="10">
        <f>VLOOKUP(B156,[2]Data!$B$1:$G$267,6,FALSE)</f>
        <v>8452.3716705662137</v>
      </c>
      <c r="Q156" s="12">
        <f>VLOOKUP(B156,[5]Sheet1!$B$421:$K$628,10,FALSE)</f>
        <v>0</v>
      </c>
      <c r="R156" s="12">
        <f>VLOOKUP(B156,[5]Sheet1!$B$213:$K$420,10,FALSE)</f>
        <v>0</v>
      </c>
      <c r="S156" s="12">
        <f>VLOOKUP(B156,[5]Sheet1!$B$2:$K$207,10,FALSE)</f>
        <v>0</v>
      </c>
      <c r="T156" s="12">
        <f>VLOOKUP(B156,[6]Sheet1!$B$421:$K$628,10,FALSE)</f>
        <v>57.94</v>
      </c>
      <c r="U156" s="12">
        <f>VLOOKUP(B156,[6]Sheet1!$B$213:$K$420,10,FALSE)</f>
        <v>46.17</v>
      </c>
      <c r="V156" s="12">
        <f>VLOOKUP(B156,[6]Sheet1!$B$2:$K$212,10,FALSE)</f>
        <v>49.49</v>
      </c>
      <c r="W156" s="13">
        <v>0</v>
      </c>
      <c r="X156" s="13">
        <v>0</v>
      </c>
      <c r="Y156" s="13">
        <v>0</v>
      </c>
      <c r="Z156" s="10">
        <v>27.035628496881401</v>
      </c>
      <c r="AA156" s="10">
        <v>24.765130780364998</v>
      </c>
      <c r="AB156" s="10">
        <v>24.358161353654701</v>
      </c>
      <c r="AC156" s="10">
        <v>23.970404625831598</v>
      </c>
      <c r="AD156" s="10">
        <v>8.8106793404764403</v>
      </c>
      <c r="AE156" s="10">
        <v>8.9925661570891204</v>
      </c>
      <c r="AF156" s="10">
        <v>9.2281228385274705</v>
      </c>
      <c r="AG156" s="10">
        <v>26.152685937499999</v>
      </c>
      <c r="AH156" s="10">
        <v>26.441888281250002</v>
      </c>
      <c r="AI156" s="12">
        <f>VLOOKUP(B156,[7]all!$A$2:$I$247,6,FALSE)</f>
        <v>76.430000000000007</v>
      </c>
      <c r="AJ156" s="12">
        <f>VLOOKUP(B156,[7]all!$A$2:$I$247,7,FALSE)</f>
        <v>76.45</v>
      </c>
      <c r="AK156" s="12">
        <f>VLOOKUP(B156,[7]all!$A$2:$I$247,8,FALSE)</f>
        <v>76.290000000000006</v>
      </c>
      <c r="AL156" s="12"/>
    </row>
    <row r="157" spans="1:38" ht="21.4" x14ac:dyDescent="1.1000000000000001">
      <c r="A157" s="10" t="s">
        <v>309</v>
      </c>
      <c r="B157" s="11" t="s">
        <v>310</v>
      </c>
      <c r="C157" s="10" t="str">
        <f>VLOOKUP(B157,'[1]who-regions'!$B$1:$D$206,3,FALSE)</f>
        <v>WPR</v>
      </c>
      <c r="D157" s="12" t="str">
        <f>VLOOKUP(B157,'[2]Metadata - Countries'!$A$1:$B$266,2,FALSE)</f>
        <v>East Asia &amp; Pacific</v>
      </c>
      <c r="E157" s="12" t="str">
        <f>VLOOKUP(B157,'[2]Metadata - Countries'!$A$1:$C$266,3,FALSE)</f>
        <v>Lower middle income</v>
      </c>
      <c r="F157" s="12"/>
      <c r="G157" s="10">
        <v>84.757161823672405</v>
      </c>
      <c r="H157" s="12">
        <f>VLOOKUP(B157,[4]tas!$A$2:$H$247,5,FALSE)</f>
        <v>26.46</v>
      </c>
      <c r="I157" s="12">
        <f>VLOOKUP(B157,[4]tas!$A$2:$H$247,6,FALSE)</f>
        <v>26.5</v>
      </c>
      <c r="J157" s="12">
        <f>VLOOKUP(B157,[4]tas!$A$2:$H$247,7,FALSE)</f>
        <v>26.52</v>
      </c>
      <c r="K157" s="10">
        <v>404353369604.6311</v>
      </c>
      <c r="L157" s="10">
        <v>437055627244.42401</v>
      </c>
      <c r="M157" s="10">
        <v>461617509782.35455</v>
      </c>
      <c r="N157" s="10">
        <f>VLOOKUP(B157,[2]Data!$B$1:$G$267,4,FALSE)</f>
        <v>3548.0693057211556</v>
      </c>
      <c r="O157" s="10">
        <f>VLOOKUP(B157,[2]Data!$B$1:$G$267,5,FALSE)</f>
        <v>3804.0827413109687</v>
      </c>
      <c r="P157" s="10">
        <f>VLOOKUP(B157,[2]Data!$B$1:$G$267,6,FALSE)</f>
        <v>3984.8315387656016</v>
      </c>
      <c r="Q157" s="12">
        <f>VLOOKUP(B157,[5]Sheet1!$B$421:$K$628,10,FALSE)</f>
        <v>0</v>
      </c>
      <c r="R157" s="12">
        <f>VLOOKUP(B157,[5]Sheet1!$B$213:$K$420,10,FALSE)</f>
        <v>0</v>
      </c>
      <c r="S157" s="12">
        <f>VLOOKUP(B157,[5]Sheet1!$B$2:$K$207,10,FALSE)</f>
        <v>0</v>
      </c>
      <c r="T157" s="12">
        <f>VLOOKUP(B157,[6]Sheet1!$B$421:$K$628,10,FALSE)</f>
        <v>22.99</v>
      </c>
      <c r="U157" s="12">
        <f>VLOOKUP(B157,[6]Sheet1!$B$213:$K$420,10,FALSE)</f>
        <v>22.99</v>
      </c>
      <c r="V157" s="12">
        <f>VLOOKUP(B157,[6]Sheet1!$B$2:$K$212,10,FALSE)</f>
        <v>11.96</v>
      </c>
      <c r="W157" s="13">
        <v>0</v>
      </c>
      <c r="X157" s="13">
        <v>93.443458557128906</v>
      </c>
      <c r="Y157" s="13">
        <v>0</v>
      </c>
      <c r="Z157" s="10">
        <v>20.288741712261601</v>
      </c>
      <c r="AA157" s="10">
        <v>29.331009980810801</v>
      </c>
      <c r="AB157" s="10">
        <v>28.6075480855588</v>
      </c>
      <c r="AC157" s="10">
        <v>27.868067490731601</v>
      </c>
      <c r="AD157" s="10">
        <v>5.0413151829947198</v>
      </c>
      <c r="AE157" s="10">
        <v>5.2621715611132203</v>
      </c>
      <c r="AF157" s="10">
        <v>5.4919341103917603</v>
      </c>
      <c r="AG157" s="10">
        <v>382.21262367106016</v>
      </c>
      <c r="AH157" s="10">
        <v>385.32112217862294</v>
      </c>
      <c r="AI157" s="12">
        <f>VLOOKUP(B157,[7]all!$A$2:$I$247,6,FALSE)</f>
        <v>81.73</v>
      </c>
      <c r="AJ157" s="12">
        <f>VLOOKUP(B157,[7]all!$A$2:$I$247,7,FALSE)</f>
        <v>81.77</v>
      </c>
      <c r="AK157" s="12">
        <f>VLOOKUP(B157,[7]all!$A$2:$I$247,8,FALSE)</f>
        <v>81.73</v>
      </c>
      <c r="AL157" s="15">
        <v>102958</v>
      </c>
    </row>
    <row r="158" spans="1:38" ht="21.4" x14ac:dyDescent="1.1000000000000001">
      <c r="A158" s="10" t="s">
        <v>311</v>
      </c>
      <c r="B158" s="11" t="s">
        <v>312</v>
      </c>
      <c r="C158" s="10" t="str">
        <f>VLOOKUP(B158,'[1]who-regions'!$B$1:$D$206,3,FALSE)</f>
        <v>EUR</v>
      </c>
      <c r="D158" s="12" t="str">
        <f>VLOOKUP(B158,'[2]Metadata - Countries'!$A$1:$B$266,2,FALSE)</f>
        <v>Europe &amp; Central Asia</v>
      </c>
      <c r="E158" s="12" t="str">
        <f>VLOOKUP(B158,'[2]Metadata - Countries'!$A$1:$C$266,3,FALSE)</f>
        <v>High income</v>
      </c>
      <c r="F158" s="12"/>
      <c r="G158" s="10">
        <v>98.957082524143203</v>
      </c>
      <c r="H158" s="12">
        <f>VLOOKUP(B158,[4]tas!$A$2:$H$247,5,FALSE)</f>
        <v>9.58</v>
      </c>
      <c r="I158" s="12">
        <f>VLOOKUP(B158,[4]tas!$A$2:$H$247,6,FALSE)</f>
        <v>9.35</v>
      </c>
      <c r="J158" s="12">
        <f>VLOOKUP(B158,[4]tas!$A$2:$H$247,7,FALSE)</f>
        <v>9.3800000000000008</v>
      </c>
      <c r="K158" s="10">
        <v>695607522884.82239</v>
      </c>
      <c r="L158" s="10">
        <v>812451128978.57983</v>
      </c>
      <c r="M158" s="10">
        <v>914696430325.39075</v>
      </c>
      <c r="N158" s="10">
        <f>VLOOKUP(B158,[2]Data!$B$1:$G$267,4,FALSE)</f>
        <v>18891.212116927858</v>
      </c>
      <c r="O158" s="10">
        <f>VLOOKUP(B158,[2]Data!$B$1:$G$267,5,FALSE)</f>
        <v>22145.266064742871</v>
      </c>
      <c r="P158" s="10">
        <f>VLOOKUP(B158,[2]Data!$B$1:$G$267,6,FALSE)</f>
        <v>25103.56566142297</v>
      </c>
      <c r="Q158" s="12">
        <f>VLOOKUP(B158,[5]Sheet1!$B$421:$K$628,10,FALSE)</f>
        <v>0</v>
      </c>
      <c r="R158" s="12">
        <f>VLOOKUP(B158,[5]Sheet1!$B$213:$K$420,10,FALSE)</f>
        <v>0</v>
      </c>
      <c r="S158" s="12">
        <f>VLOOKUP(B158,[5]Sheet1!$B$2:$K$207,10,FALSE)</f>
        <v>0</v>
      </c>
      <c r="T158" s="12">
        <f>VLOOKUP(B158,[6]Sheet1!$B$421:$K$628,10,FALSE)</f>
        <v>0</v>
      </c>
      <c r="U158" s="12">
        <f>VLOOKUP(B158,[6]Sheet1!$B$213:$K$420,10,FALSE)</f>
        <v>0</v>
      </c>
      <c r="V158" s="12">
        <f>VLOOKUP(B158,[6]Sheet1!$B$2:$K$212,10,FALSE)</f>
        <v>0</v>
      </c>
      <c r="W158" s="13">
        <v>0</v>
      </c>
      <c r="X158" s="13">
        <v>0</v>
      </c>
      <c r="Y158" s="13">
        <v>0</v>
      </c>
      <c r="Z158" s="10">
        <v>17.958331493685101</v>
      </c>
      <c r="AA158" s="10">
        <v>15.3237547413116</v>
      </c>
      <c r="AB158" s="10">
        <v>15.0967665723491</v>
      </c>
      <c r="AC158" s="10">
        <v>14.8057804830982</v>
      </c>
      <c r="AD158" s="10">
        <v>19.019215704040501</v>
      </c>
      <c r="AE158" s="10">
        <v>19.560911469252801</v>
      </c>
      <c r="AF158" s="10">
        <v>20.1434028173028</v>
      </c>
      <c r="AG158" s="10">
        <v>120.29713156261231</v>
      </c>
      <c r="AH158" s="10">
        <v>119.78761550266105</v>
      </c>
      <c r="AI158" s="12">
        <f>VLOOKUP(B158,[7]all!$A$2:$I$247,6,FALSE)</f>
        <v>78.45</v>
      </c>
      <c r="AJ158" s="12">
        <f>VLOOKUP(B158,[7]all!$A$2:$I$247,7,FALSE)</f>
        <v>78.260000000000005</v>
      </c>
      <c r="AK158" s="12">
        <f>VLOOKUP(B158,[7]all!$A$2:$I$247,8,FALSE)</f>
        <v>78.39</v>
      </c>
      <c r="AL158" s="12"/>
    </row>
    <row r="159" spans="1:38" ht="21.4" x14ac:dyDescent="1.1000000000000001">
      <c r="A159" s="10" t="s">
        <v>313</v>
      </c>
      <c r="B159" s="11" t="s">
        <v>314</v>
      </c>
      <c r="C159" s="10" t="str">
        <f>VLOOKUP(B159,'[1]who-regions'!$B$1:$D$206,3,FALSE)</f>
        <v>EUR</v>
      </c>
      <c r="D159" s="12" t="str">
        <f>VLOOKUP(B159,'[2]Metadata - Countries'!$A$1:$B$266,2,FALSE)</f>
        <v>Europe &amp; Central Asia</v>
      </c>
      <c r="E159" s="12" t="str">
        <f>VLOOKUP(B159,'[2]Metadata - Countries'!$A$1:$C$266,3,FALSE)</f>
        <v>High income</v>
      </c>
      <c r="F159" s="12"/>
      <c r="G159" s="10">
        <v>99.661256728974706</v>
      </c>
      <c r="H159" s="12">
        <f>VLOOKUP(B159,[4]tas!$A$2:$H$247,5,FALSE)</f>
        <v>16</v>
      </c>
      <c r="I159" s="12">
        <f>VLOOKUP(B159,[4]tas!$A$2:$H$247,6,FALSE)</f>
        <v>16.04</v>
      </c>
      <c r="J159" s="12">
        <f>VLOOKUP(B159,[4]tas!$A$2:$H$247,7,FALSE)</f>
        <v>16.079999999999998</v>
      </c>
      <c r="K159" s="10">
        <v>256898675068.92706</v>
      </c>
      <c r="L159" s="10">
        <v>289696962620.23456</v>
      </c>
      <c r="M159" s="10">
        <v>308683317392.67963</v>
      </c>
      <c r="N159" s="10">
        <f>VLOOKUP(B159,[2]Data!$B$1:$G$267,4,FALSE)</f>
        <v>24620.519758718081</v>
      </c>
      <c r="O159" s="10">
        <f>VLOOKUP(B159,[2]Data!$B$1:$G$267,5,FALSE)</f>
        <v>27634.618313977298</v>
      </c>
      <c r="P159" s="10">
        <f>VLOOKUP(B159,[2]Data!$B$1:$G$267,6,FALSE)</f>
        <v>29292.242104753037</v>
      </c>
      <c r="Q159" s="12">
        <f>VLOOKUP(B159,[5]Sheet1!$B$421:$K$628,10,FALSE)</f>
        <v>0</v>
      </c>
      <c r="R159" s="12">
        <f>VLOOKUP(B159,[5]Sheet1!$B$213:$K$420,10,FALSE)</f>
        <v>0</v>
      </c>
      <c r="S159" s="12">
        <f>VLOOKUP(B159,[5]Sheet1!$B$2:$K$207,10,FALSE)</f>
        <v>0</v>
      </c>
      <c r="T159" s="12">
        <f>VLOOKUP(B159,[6]Sheet1!$B$421:$K$628,10,FALSE)</f>
        <v>0</v>
      </c>
      <c r="U159" s="12">
        <f>VLOOKUP(B159,[6]Sheet1!$B$213:$K$420,10,FALSE)</f>
        <v>66.28</v>
      </c>
      <c r="V159" s="12">
        <f>VLOOKUP(B159,[6]Sheet1!$B$2:$K$212,10,FALSE)</f>
        <v>64.010000000000005</v>
      </c>
      <c r="W159" s="13">
        <v>0</v>
      </c>
      <c r="X159" s="13">
        <v>0</v>
      </c>
      <c r="Y159" s="13">
        <v>0</v>
      </c>
      <c r="Z159" s="10">
        <v>8.4524226623673702</v>
      </c>
      <c r="AA159" s="10">
        <v>13.002218233577601</v>
      </c>
      <c r="AB159" s="10">
        <v>12.8936466432193</v>
      </c>
      <c r="AC159" s="10">
        <v>12.8014201999608</v>
      </c>
      <c r="AD159" s="10">
        <v>23.688003515382999</v>
      </c>
      <c r="AE159" s="10">
        <v>24.1115106141099</v>
      </c>
      <c r="AF159" s="10">
        <v>24.5306498594644</v>
      </c>
      <c r="AG159" s="10">
        <v>113.90495777550717</v>
      </c>
      <c r="AH159" s="10">
        <v>115.47518928973774</v>
      </c>
      <c r="AI159" s="12">
        <f>VLOOKUP(B159,[7]all!$A$2:$I$247,6,FALSE)</f>
        <v>69.680000000000007</v>
      </c>
      <c r="AJ159" s="12">
        <f>VLOOKUP(B159,[7]all!$A$2:$I$247,7,FALSE)</f>
        <v>69.84</v>
      </c>
      <c r="AK159" s="12">
        <f>VLOOKUP(B159,[7]all!$A$2:$I$247,8,FALSE)</f>
        <v>69.33</v>
      </c>
      <c r="AL159" s="12"/>
    </row>
    <row r="160" spans="1:38" ht="21.4" x14ac:dyDescent="1.1000000000000001">
      <c r="A160" s="10" t="s">
        <v>315</v>
      </c>
      <c r="B160" s="11" t="s">
        <v>316</v>
      </c>
      <c r="C160" s="10" t="str">
        <f>VLOOKUP(B160,'[1]who-regions'!$B$1:$D$206,3,FALSE)</f>
        <v>AMR</v>
      </c>
      <c r="D160" s="12" t="str">
        <f>VLOOKUP(B160,'[2]Metadata - Countries'!$A$1:$B$266,2,FALSE)</f>
        <v>Latin America &amp; Caribbean</v>
      </c>
      <c r="E160" s="12" t="str">
        <f>VLOOKUP(B160,'[2]Metadata - Countries'!$A$1:$C$266,3,FALSE)</f>
        <v>High income</v>
      </c>
      <c r="F160" s="12"/>
      <c r="G160" s="10">
        <v>100</v>
      </c>
      <c r="H160" s="12">
        <f>VLOOKUP(B160,[4]tas!$A$2:$H$247,5,FALSE)</f>
        <v>26.16</v>
      </c>
      <c r="I160" s="12">
        <f>VLOOKUP(B160,[4]tas!$A$2:$H$247,6,FALSE)</f>
        <v>26.18</v>
      </c>
      <c r="J160" s="12">
        <f>VLOOKUP(B160,[4]tas!$A$2:$H$247,7,FALSE)</f>
        <v>26.17</v>
      </c>
      <c r="K160" s="10">
        <v>113843700000</v>
      </c>
      <c r="L160" s="10">
        <v>118375000000</v>
      </c>
      <c r="M160" s="10">
        <v>125841500000</v>
      </c>
      <c r="N160" s="10">
        <f>VLOOKUP(B160,[2]Data!$B$1:$G$267,4,FALSE)</f>
        <v>35353.682157001393</v>
      </c>
      <c r="O160" s="10">
        <f>VLOOKUP(B160,[2]Data!$B$1:$G$267,5,FALSE)</f>
        <v>36980.788478428687</v>
      </c>
      <c r="P160" s="10">
        <f>VLOOKUP(B160,[2]Data!$B$1:$G$267,6,FALSE)</f>
        <v>39343.715466013899</v>
      </c>
      <c r="Q160" s="12" t="e">
        <f>VLOOKUP(B160,[5]Sheet1!$B$421:$K$628,10,FALSE)</f>
        <v>#N/A</v>
      </c>
      <c r="R160" s="12" t="e">
        <f>VLOOKUP(B160,[5]Sheet1!$B$213:$K$420,10,FALSE)</f>
        <v>#N/A</v>
      </c>
      <c r="S160" s="12" t="e">
        <f>VLOOKUP(B160,[5]Sheet1!$B$2:$K$207,10,FALSE)</f>
        <v>#N/A</v>
      </c>
      <c r="T160" s="12" t="e">
        <f>VLOOKUP(B160,[6]Sheet1!$B$421:$K$628,10,FALSE)</f>
        <v>#N/A</v>
      </c>
      <c r="U160" s="12" t="e">
        <f>VLOOKUP(B160,[6]Sheet1!$B$213:$K$420,10,FALSE)</f>
        <v>#N/A</v>
      </c>
      <c r="V160" s="12" t="e">
        <f>VLOOKUP(B160,[6]Sheet1!$B$2:$K$212,10,FALSE)</f>
        <v>#N/A</v>
      </c>
      <c r="W160" s="13">
        <v>0</v>
      </c>
      <c r="X160" s="13">
        <v>0</v>
      </c>
      <c r="Y160" s="13">
        <v>0</v>
      </c>
      <c r="Z160" s="10">
        <v>7.1884152171224898</v>
      </c>
      <c r="AA160" s="10">
        <v>12.3682010485446</v>
      </c>
      <c r="AB160" s="10">
        <v>12.0048827545151</v>
      </c>
      <c r="AC160" s="10">
        <v>11.6286791330835</v>
      </c>
      <c r="AD160" s="10">
        <v>23.814979997491498</v>
      </c>
      <c r="AE160" s="10">
        <v>24.243724403516602</v>
      </c>
      <c r="AF160" s="10">
        <v>24.718679022048001</v>
      </c>
      <c r="AG160" s="10">
        <v>363.03686583990981</v>
      </c>
      <c r="AH160" s="10">
        <v>361.19413754227736</v>
      </c>
      <c r="AI160" s="12">
        <f>VLOOKUP(B160,[7]all!$A$2:$I$247,6,FALSE)</f>
        <v>78.3</v>
      </c>
      <c r="AJ160" s="12">
        <f>VLOOKUP(B160,[7]all!$A$2:$I$247,7,FALSE)</f>
        <v>78.2</v>
      </c>
      <c r="AK160" s="12">
        <f>VLOOKUP(B160,[7]all!$A$2:$I$247,8,FALSE)</f>
        <v>78.17</v>
      </c>
      <c r="AL160" s="12"/>
    </row>
    <row r="161" spans="1:38" ht="21.4" x14ac:dyDescent="1.1000000000000001">
      <c r="A161" s="10" t="s">
        <v>317</v>
      </c>
      <c r="B161" s="11" t="s">
        <v>318</v>
      </c>
      <c r="C161" s="10" t="str">
        <f>VLOOKUP(B161,'[1]who-regions'!$B$1:$D$206,3,FALSE)</f>
        <v>EMR</v>
      </c>
      <c r="D161" s="12" t="str">
        <f>VLOOKUP(B161,'[2]Metadata - Countries'!$A$1:$B$266,2,FALSE)</f>
        <v>Middle East &amp; North Africa</v>
      </c>
      <c r="E161" s="12" t="str">
        <f>VLOOKUP(B161,'[2]Metadata - Countries'!$A$1:$C$266,3,FALSE)</f>
        <v>High income</v>
      </c>
      <c r="F161" s="12"/>
      <c r="G161" s="10">
        <v>99.936545083788005</v>
      </c>
      <c r="H161" s="12">
        <f>VLOOKUP(B161,[4]tas!$A$2:$H$247,5,FALSE)</f>
        <v>27.99</v>
      </c>
      <c r="I161" s="12">
        <f>VLOOKUP(B161,[4]tas!$A$2:$H$247,6,FALSE)</f>
        <v>28.01</v>
      </c>
      <c r="J161" s="12">
        <f>VLOOKUP(B161,[4]tas!$A$2:$H$247,7,FALSE)</f>
        <v>28.05</v>
      </c>
      <c r="K161" s="10">
        <v>235709325714.28571</v>
      </c>
      <c r="L161" s="10">
        <v>213002809340.65933</v>
      </c>
      <c r="M161" s="10">
        <v>217982967032.96701</v>
      </c>
      <c r="N161" s="10">
        <f>VLOOKUP(B161,[2]Data!$B$1:$G$267,4,FALSE)</f>
        <v>88701.468976353601</v>
      </c>
      <c r="O161" s="10">
        <f>VLOOKUP(B161,[2]Data!$B$1:$G$267,5,FALSE)</f>
        <v>81816.979796748114</v>
      </c>
      <c r="P161" s="10">
        <f>VLOOKUP(B161,[2]Data!$B$1:$G$267,6,FALSE)</f>
        <v>76688.694174317847</v>
      </c>
      <c r="Q161" s="12">
        <f>VLOOKUP(B161,[5]Sheet1!$B$421:$K$628,10,FALSE)</f>
        <v>0</v>
      </c>
      <c r="R161" s="12">
        <f>VLOOKUP(B161,[5]Sheet1!$B$213:$K$420,10,FALSE)</f>
        <v>0</v>
      </c>
      <c r="S161" s="12">
        <f>VLOOKUP(B161,[5]Sheet1!$B$2:$K$207,10,FALSE)</f>
        <v>0</v>
      </c>
      <c r="T161" s="12">
        <f>VLOOKUP(B161,[6]Sheet1!$B$421:$K$628,10,FALSE)</f>
        <v>16.57</v>
      </c>
      <c r="U161" s="12">
        <f>VLOOKUP(B161,[6]Sheet1!$B$213:$K$420,10,FALSE)</f>
        <v>14.31</v>
      </c>
      <c r="V161" s="12">
        <f>VLOOKUP(B161,[6]Sheet1!$B$2:$K$212,10,FALSE)</f>
        <v>14.3</v>
      </c>
      <c r="W161" s="13">
        <v>0</v>
      </c>
      <c r="X161" s="13">
        <v>0</v>
      </c>
      <c r="Y161" s="13">
        <v>0</v>
      </c>
      <c r="Z161" s="10">
        <v>75.663032948133804</v>
      </c>
      <c r="AA161" s="10">
        <v>15.2480159587617</v>
      </c>
      <c r="AB161" s="10">
        <v>15.1605930954569</v>
      </c>
      <c r="AC161" s="10">
        <v>15.070743135057</v>
      </c>
      <c r="AD161" s="10">
        <v>1.3911020223305099</v>
      </c>
      <c r="AE161" s="10">
        <v>1.5720950279314201</v>
      </c>
      <c r="AF161" s="10">
        <v>1.6758172996332901</v>
      </c>
      <c r="AG161" s="10">
        <v>231.27354221061793</v>
      </c>
      <c r="AH161" s="10">
        <v>231.16031331592689</v>
      </c>
      <c r="AI161" s="12">
        <f>VLOOKUP(B161,[7]all!$A$2:$I$247,6,FALSE)</f>
        <v>53.13</v>
      </c>
      <c r="AJ161" s="12">
        <f>VLOOKUP(B161,[7]all!$A$2:$I$247,7,FALSE)</f>
        <v>52.95</v>
      </c>
      <c r="AK161" s="12">
        <f>VLOOKUP(B161,[7]all!$A$2:$I$247,8,FALSE)</f>
        <v>53</v>
      </c>
      <c r="AL161" s="12"/>
    </row>
    <row r="162" spans="1:38" ht="21.4" x14ac:dyDescent="1.1000000000000001">
      <c r="A162" s="10" t="s">
        <v>319</v>
      </c>
      <c r="B162" s="11" t="s">
        <v>320</v>
      </c>
      <c r="C162" s="10" t="str">
        <f>VLOOKUP(B162,'[1]who-regions'!$B$1:$D$206,3,FALSE)</f>
        <v>EUR</v>
      </c>
      <c r="D162" s="12" t="str">
        <f>VLOOKUP(B162,'[2]Metadata - Countries'!$A$1:$B$266,2,FALSE)</f>
        <v>Europe &amp; Central Asia</v>
      </c>
      <c r="E162" s="12" t="str">
        <f>VLOOKUP(B162,'[2]Metadata - Countries'!$A$1:$C$266,3,FALSE)</f>
        <v>High income</v>
      </c>
      <c r="F162" s="12"/>
      <c r="G162" s="10">
        <v>88.284229426922295</v>
      </c>
      <c r="H162" s="12">
        <f>VLOOKUP(B162,[4]tas!$A$2:$H$247,5,FALSE)</f>
        <v>10.97</v>
      </c>
      <c r="I162" s="12">
        <f>VLOOKUP(B162,[4]tas!$A$2:$H$247,6,FALSE)</f>
        <v>11.01</v>
      </c>
      <c r="J162" s="12">
        <f>VLOOKUP(B162,[4]tas!$A$2:$H$247,7,FALSE)</f>
        <v>11</v>
      </c>
      <c r="K162" s="10">
        <v>296354358293.47491</v>
      </c>
      <c r="L162" s="10">
        <v>350775856415.18921</v>
      </c>
      <c r="M162" s="10">
        <v>382767571329.15796</v>
      </c>
      <c r="N162" s="10">
        <f>VLOOKUP(B162,[2]Data!$B$1:$G$267,4,FALSE)</f>
        <v>15503.551804597973</v>
      </c>
      <c r="O162" s="10">
        <f>VLOOKUP(B162,[2]Data!$B$1:$G$267,5,FALSE)</f>
        <v>18244.418687632093</v>
      </c>
      <c r="P162" s="10">
        <f>VLOOKUP(B162,[2]Data!$B$1:$G$267,6,FALSE)</f>
        <v>20080.209621559497</v>
      </c>
      <c r="Q162" s="12">
        <f>VLOOKUP(B162,[5]Sheet1!$B$421:$K$628,10,FALSE)</f>
        <v>0</v>
      </c>
      <c r="R162" s="12">
        <f>VLOOKUP(B162,[5]Sheet1!$B$213:$K$420,10,FALSE)</f>
        <v>0</v>
      </c>
      <c r="S162" s="12">
        <f>VLOOKUP(B162,[5]Sheet1!$B$2:$K$207,10,FALSE)</f>
        <v>0</v>
      </c>
      <c r="T162" s="12">
        <f>VLOOKUP(B162,[6]Sheet1!$B$421:$K$628,10,FALSE)</f>
        <v>23.05</v>
      </c>
      <c r="U162" s="12">
        <f>VLOOKUP(B162,[6]Sheet1!$B$213:$K$420,10,FALSE)</f>
        <v>23.32</v>
      </c>
      <c r="V162" s="12">
        <f>VLOOKUP(B162,[6]Sheet1!$B$2:$K$212,10,FALSE)</f>
        <v>19.62</v>
      </c>
      <c r="W162" s="13">
        <v>96.071578979492202</v>
      </c>
      <c r="X162" s="13">
        <v>0</v>
      </c>
      <c r="Y162" s="13">
        <v>0</v>
      </c>
      <c r="Z162" s="10">
        <v>14.8501731264834</v>
      </c>
      <c r="AA162" s="10">
        <v>16.0158785210186</v>
      </c>
      <c r="AB162" s="10">
        <v>15.8764699816463</v>
      </c>
      <c r="AC162" s="10">
        <v>15.7157647653274</v>
      </c>
      <c r="AD162" s="10">
        <v>19.515247024505602</v>
      </c>
      <c r="AE162" s="10">
        <v>19.753140920706599</v>
      </c>
      <c r="AF162" s="10">
        <v>19.980998773184702</v>
      </c>
      <c r="AG162" s="10">
        <v>82.790777121001398</v>
      </c>
      <c r="AH162" s="10">
        <v>82.838486613351876</v>
      </c>
      <c r="AI162" s="12">
        <f>VLOOKUP(B162,[7]all!$A$2:$I$247,6,FALSE)</f>
        <v>74.42</v>
      </c>
      <c r="AJ162" s="12">
        <f>VLOOKUP(B162,[7]all!$A$2:$I$247,7,FALSE)</f>
        <v>74.84</v>
      </c>
      <c r="AK162" s="12">
        <f>VLOOKUP(B162,[7]all!$A$2:$I$247,8,FALSE)</f>
        <v>74.67</v>
      </c>
      <c r="AL162" s="15">
        <v>51364</v>
      </c>
    </row>
    <row r="163" spans="1:38" ht="21.4" x14ac:dyDescent="1.1000000000000001">
      <c r="A163" s="10" t="s">
        <v>321</v>
      </c>
      <c r="B163" s="11" t="s">
        <v>322</v>
      </c>
      <c r="C163" s="10" t="str">
        <f>VLOOKUP(B163,'[1]who-regions'!$B$1:$D$206,3,FALSE)</f>
        <v>EUR</v>
      </c>
      <c r="D163" s="12" t="str">
        <f>VLOOKUP(B163,'[2]Metadata - Countries'!$A$1:$B$266,2,FALSE)</f>
        <v>Europe &amp; Central Asia</v>
      </c>
      <c r="E163" s="12" t="str">
        <f>VLOOKUP(B163,'[2]Metadata - Countries'!$A$1:$C$266,3,FALSE)</f>
        <v>High income</v>
      </c>
      <c r="F163" s="12"/>
      <c r="G163" s="10">
        <v>89.418526452974305</v>
      </c>
      <c r="H163" s="12">
        <f>VLOOKUP(B163,[4]tas!$A$2:$H$247,5,FALSE)</f>
        <v>-2.56</v>
      </c>
      <c r="I163" s="12">
        <f>VLOOKUP(B163,[4]tas!$A$2:$H$247,6,FALSE)</f>
        <v>-2.71</v>
      </c>
      <c r="J163" s="12">
        <f>VLOOKUP(B163,[4]tas!$A$2:$H$247,7,FALSE)</f>
        <v>-2.74</v>
      </c>
      <c r="K163" s="10">
        <v>2291612121334.6431</v>
      </c>
      <c r="L163" s="10">
        <v>2071505725030.5793</v>
      </c>
      <c r="M163" s="10">
        <v>2173835806671.656</v>
      </c>
      <c r="N163" s="10">
        <f>VLOOKUP(B163,[2]Data!$B$1:$G$267,4,FALSE)</f>
        <v>15619.6142578125</v>
      </c>
      <c r="O163" s="10">
        <f>VLOOKUP(B163,[2]Data!$B$1:$G$267,5,FALSE)</f>
        <v>14159.3876953125</v>
      </c>
      <c r="P163" s="10">
        <f>VLOOKUP(B163,[2]Data!$B$1:$G$267,6,FALSE)</f>
        <v>14889.0185546875</v>
      </c>
      <c r="Q163" s="12">
        <f>VLOOKUP(B163,[5]Sheet1!$B$421:$K$628,10,FALSE)</f>
        <v>0</v>
      </c>
      <c r="R163" s="12">
        <f>VLOOKUP(B163,[5]Sheet1!$B$213:$K$420,10,FALSE)</f>
        <v>0</v>
      </c>
      <c r="S163" s="12">
        <f>VLOOKUP(B163,[5]Sheet1!$B$2:$K$207,10,FALSE)</f>
        <v>0</v>
      </c>
      <c r="T163" s="12">
        <f>VLOOKUP(B163,[6]Sheet1!$B$421:$K$628,10,FALSE)</f>
        <v>55.02</v>
      </c>
      <c r="U163" s="12">
        <f>VLOOKUP(B163,[6]Sheet1!$B$213:$K$420,10,FALSE)</f>
        <v>66</v>
      </c>
      <c r="V163" s="12">
        <f>VLOOKUP(B163,[6]Sheet1!$B$2:$K$212,10,FALSE)</f>
        <v>64.69</v>
      </c>
      <c r="W163" s="13">
        <v>0</v>
      </c>
      <c r="X163" s="13">
        <v>0</v>
      </c>
      <c r="Y163" s="13">
        <v>0</v>
      </c>
      <c r="Z163" s="10">
        <v>11.2727775886895</v>
      </c>
      <c r="AA163" s="10">
        <v>17.689319869633898</v>
      </c>
      <c r="AB163" s="10">
        <v>17.514981667709499</v>
      </c>
      <c r="AC163" s="10">
        <v>17.278341328971301</v>
      </c>
      <c r="AD163" s="10">
        <v>16.0755362936472</v>
      </c>
      <c r="AE163" s="10">
        <v>16.6046427349856</v>
      </c>
      <c r="AF163" s="10">
        <v>17.177475375831499</v>
      </c>
      <c r="AG163" s="10">
        <v>8.8073565339408564</v>
      </c>
      <c r="AH163" s="10">
        <v>8.7822721924274916</v>
      </c>
      <c r="AI163" s="12">
        <f>VLOOKUP(B163,[7]all!$A$2:$I$247,6,FALSE)</f>
        <v>75.17</v>
      </c>
      <c r="AJ163" s="12">
        <f>VLOOKUP(B163,[7]all!$A$2:$I$247,7,FALSE)</f>
        <v>75.22</v>
      </c>
      <c r="AK163" s="12">
        <f>VLOOKUP(B163,[7]all!$A$2:$I$247,8,FALSE)</f>
        <v>75.239999999999995</v>
      </c>
      <c r="AL163" s="12"/>
    </row>
    <row r="164" spans="1:38" ht="21.4" x14ac:dyDescent="1.1000000000000001">
      <c r="A164" s="10" t="s">
        <v>323</v>
      </c>
      <c r="B164" s="11" t="s">
        <v>324</v>
      </c>
      <c r="C164" s="10" t="str">
        <f>VLOOKUP(B164,'[1]who-regions'!$B$1:$D$206,3,FALSE)</f>
        <v>AFR</v>
      </c>
      <c r="D164" s="12" t="str">
        <f>VLOOKUP(B164,'[2]Metadata - Countries'!$A$1:$B$266,2,FALSE)</f>
        <v>Sub-Saharan Africa</v>
      </c>
      <c r="E164" s="12" t="str">
        <f>VLOOKUP(B164,'[2]Metadata - Countries'!$A$1:$C$266,3,FALSE)</f>
        <v>Low income</v>
      </c>
      <c r="F164" s="12"/>
      <c r="G164" s="10">
        <v>73.826445482821001</v>
      </c>
      <c r="H164" s="12">
        <f>VLOOKUP(B164,[4]tas!$A$2:$H$247,5,FALSE)</f>
        <v>19.97</v>
      </c>
      <c r="I164" s="12">
        <f>VLOOKUP(B164,[4]tas!$A$2:$H$247,6,FALSE)</f>
        <v>20.010000000000002</v>
      </c>
      <c r="J164" s="12">
        <f>VLOOKUP(B164,[4]tas!$A$2:$H$247,7,FALSE)</f>
        <v>20.11</v>
      </c>
      <c r="K164" s="10">
        <v>13316161005.72444</v>
      </c>
      <c r="L164" s="10">
        <v>14331722700.324898</v>
      </c>
      <c r="M164" s="10">
        <v>14251642231.493185</v>
      </c>
      <c r="N164" s="10">
        <f>VLOOKUP(B164,[2]Data!$B$1:$G$267,4,FALSE)</f>
        <v>975.46932373536856</v>
      </c>
      <c r="O164" s="10">
        <f>VLOOKUP(B164,[2]Data!$B$1:$G$267,5,FALSE)</f>
        <v>1027.0344682656455</v>
      </c>
      <c r="P164" s="10">
        <f>VLOOKUP(B164,[2]Data!$B$1:$G$267,6,FALSE)</f>
        <v>999.65456165546982</v>
      </c>
      <c r="Q164" s="12">
        <f>VLOOKUP(B164,[5]Sheet1!$B$421:$K$628,10,FALSE)</f>
        <v>0</v>
      </c>
      <c r="R164" s="12">
        <f>VLOOKUP(B164,[5]Sheet1!$B$213:$K$420,10,FALSE)</f>
        <v>0</v>
      </c>
      <c r="S164" s="12">
        <f>VLOOKUP(B164,[5]Sheet1!$B$2:$K$207,10,FALSE)</f>
        <v>0</v>
      </c>
      <c r="T164" s="12">
        <f>VLOOKUP(B164,[6]Sheet1!$B$421:$K$628,10,FALSE)</f>
        <v>0</v>
      </c>
      <c r="U164" s="12">
        <f>VLOOKUP(B164,[6]Sheet1!$B$213:$K$420,10,FALSE)</f>
        <v>0</v>
      </c>
      <c r="V164" s="12">
        <f>VLOOKUP(B164,[6]Sheet1!$B$2:$K$212,10,FALSE)</f>
        <v>0</v>
      </c>
      <c r="W164" s="13">
        <v>0</v>
      </c>
      <c r="X164" s="13">
        <v>67.106109619140597</v>
      </c>
      <c r="Y164" s="13">
        <v>0</v>
      </c>
      <c r="Z164" s="10">
        <v>31.288265491753801</v>
      </c>
      <c r="AA164" s="10">
        <v>38.1567617974614</v>
      </c>
      <c r="AB164" s="10">
        <v>37.7313644590553</v>
      </c>
      <c r="AC164" s="10">
        <v>37.3607979172264</v>
      </c>
      <c r="AD164" s="10">
        <v>3.7214481251597902</v>
      </c>
      <c r="AE164" s="10">
        <v>3.82185022198798</v>
      </c>
      <c r="AF164" s="10">
        <v>3.92606803328137</v>
      </c>
      <c r="AG164" s="10">
        <v>553.34535873530604</v>
      </c>
      <c r="AH164" s="10">
        <v>565.64535873530599</v>
      </c>
      <c r="AI164" s="12">
        <f>VLOOKUP(B164,[7]all!$A$2:$I$247,6,FALSE)</f>
        <v>71.87</v>
      </c>
      <c r="AJ164" s="12">
        <f>VLOOKUP(B164,[7]all!$A$2:$I$247,7,FALSE)</f>
        <v>71.8</v>
      </c>
      <c r="AK164" s="12">
        <f>VLOOKUP(B164,[7]all!$A$2:$I$247,8,FALSE)</f>
        <v>71.650000000000006</v>
      </c>
      <c r="AL164" s="12"/>
    </row>
    <row r="165" spans="1:38" ht="21.4" x14ac:dyDescent="1.1000000000000001">
      <c r="A165" s="10" t="s">
        <v>325</v>
      </c>
      <c r="B165" s="11" t="s">
        <v>326</v>
      </c>
      <c r="C165" s="10" t="str">
        <f>VLOOKUP(B165,'[1]who-regions'!$B$1:$D$206,3,FALSE)</f>
        <v>WPR</v>
      </c>
      <c r="D165" s="12" t="str">
        <f>VLOOKUP(B165,'[2]Metadata - Countries'!$A$1:$B$266,2,FALSE)</f>
        <v>East Asia &amp; Pacific</v>
      </c>
      <c r="E165" s="12" t="str">
        <f>VLOOKUP(B165,'[2]Metadata - Countries'!$A$1:$C$266,3,FALSE)</f>
        <v>Upper middle income</v>
      </c>
      <c r="F165" s="12"/>
      <c r="G165" s="10">
        <v>97.927864497832402</v>
      </c>
      <c r="H165" s="12">
        <f>VLOOKUP(B165,[4]tas!$A$2:$H$247,5,FALSE)</f>
        <v>25.96</v>
      </c>
      <c r="I165" s="12">
        <f>VLOOKUP(B165,[4]tas!$A$2:$H$247,6,FALSE)</f>
        <v>25.97</v>
      </c>
      <c r="J165" s="12">
        <f>VLOOKUP(B165,[4]tas!$A$2:$H$247,7,FALSE)</f>
        <v>26.04</v>
      </c>
      <c r="K165" s="10">
        <v>832945205.63718474</v>
      </c>
      <c r="L165" s="10">
        <v>938189443.83039284</v>
      </c>
      <c r="M165" s="10">
        <v>1068025243.6392901</v>
      </c>
      <c r="N165" s="10">
        <f>VLOOKUP(B165,[2]Data!$B$1:$G$267,4,FALSE)</f>
        <v>4132.4471773444357</v>
      </c>
      <c r="O165" s="10">
        <f>VLOOKUP(B165,[2]Data!$B$1:$G$267,5,FALSE)</f>
        <v>4822.7408465001881</v>
      </c>
      <c r="P165" s="10">
        <f>VLOOKUP(B165,[2]Data!$B$1:$G$267,6,FALSE)</f>
        <v>5392.8776191576198</v>
      </c>
      <c r="Q165" s="12">
        <f>VLOOKUP(B165,[5]Sheet1!$B$421:$K$628,10,FALSE)</f>
        <v>0</v>
      </c>
      <c r="R165" s="12">
        <f>VLOOKUP(B165,[5]Sheet1!$B$213:$K$420,10,FALSE)</f>
        <v>0</v>
      </c>
      <c r="S165" s="12">
        <f>VLOOKUP(B165,[5]Sheet1!$B$2:$K$207,10,FALSE)</f>
        <v>0</v>
      </c>
      <c r="T165" s="12">
        <f>VLOOKUP(B165,[6]Sheet1!$B$421:$K$628,10,FALSE)</f>
        <v>0</v>
      </c>
      <c r="U165" s="12">
        <f>VLOOKUP(B165,[6]Sheet1!$B$213:$K$420,10,FALSE)</f>
        <v>0</v>
      </c>
      <c r="V165" s="12">
        <f>VLOOKUP(B165,[6]Sheet1!$B$2:$K$212,10,FALSE)</f>
        <v>0</v>
      </c>
      <c r="W165" s="13">
        <v>0</v>
      </c>
      <c r="X165" s="13">
        <v>0</v>
      </c>
      <c r="Y165" s="13">
        <v>0</v>
      </c>
      <c r="Z165" s="10">
        <v>12.5518952802963</v>
      </c>
      <c r="AA165" s="10">
        <v>38.785796743945099</v>
      </c>
      <c r="AB165" s="10">
        <v>38.727886164227399</v>
      </c>
      <c r="AC165" s="10">
        <v>38.464219943628898</v>
      </c>
      <c r="AD165" s="10">
        <v>5.55629109845977</v>
      </c>
      <c r="AE165" s="10">
        <v>5.7056350184387696</v>
      </c>
      <c r="AF165" s="10">
        <v>5.8808959749013301</v>
      </c>
      <c r="AG165" s="10">
        <v>77.432014388489208</v>
      </c>
      <c r="AH165" s="10">
        <v>77.936330935251803</v>
      </c>
      <c r="AI165" s="12">
        <f>VLOOKUP(B165,[7]all!$A$2:$I$247,6,FALSE)</f>
        <v>83.49</v>
      </c>
      <c r="AJ165" s="12">
        <f>VLOOKUP(B165,[7]all!$A$2:$I$247,7,FALSE)</f>
        <v>83.4</v>
      </c>
      <c r="AK165" s="12">
        <f>VLOOKUP(B165,[7]all!$A$2:$I$247,8,FALSE)</f>
        <v>83.54</v>
      </c>
      <c r="AL165" s="12"/>
    </row>
    <row r="166" spans="1:38" ht="21.4" x14ac:dyDescent="1.1000000000000001">
      <c r="A166" s="10" t="s">
        <v>327</v>
      </c>
      <c r="B166" s="11" t="s">
        <v>328</v>
      </c>
      <c r="C166" s="10" t="str">
        <f>VLOOKUP(B166,'[1]who-regions'!$B$1:$D$206,3,FALSE)</f>
        <v>EUR</v>
      </c>
      <c r="D166" s="12" t="str">
        <f>VLOOKUP(B166,'[2]Metadata - Countries'!$A$1:$B$266,2,FALSE)</f>
        <v>Europe &amp; Central Asia</v>
      </c>
      <c r="E166" s="12" t="str">
        <f>VLOOKUP(B166,'[2]Metadata - Countries'!$A$1:$C$266,3,FALSE)</f>
        <v>High income</v>
      </c>
      <c r="F166" s="12"/>
      <c r="G166" s="10">
        <v>100</v>
      </c>
      <c r="H166" s="12">
        <f>VLOOKUP(B166,[4]tas!$A$2:$H$247,5,FALSE)</f>
        <v>15.72</v>
      </c>
      <c r="I166" s="12">
        <f>VLOOKUP(B166,[4]tas!$A$2:$H$247,6,FALSE)</f>
        <v>15.62</v>
      </c>
      <c r="J166" s="12">
        <f>VLOOKUP(B166,[4]tas!$A$2:$H$247,7,FALSE)</f>
        <v>15.68</v>
      </c>
      <c r="K166" s="10">
        <v>1831700577.0890374</v>
      </c>
      <c r="L166" s="10">
        <v>0</v>
      </c>
      <c r="M166" s="10">
        <v>0</v>
      </c>
      <c r="N166" s="10">
        <f>VLOOKUP(B166,[2]Data!$B$1:$G$267,4,FALSE)</f>
        <v>54190.841770037157</v>
      </c>
      <c r="O166" s="10">
        <f>VLOOKUP(B166,[2]Data!$B$1:$G$267,5,FALSE)</f>
        <v>59879.717301565135</v>
      </c>
      <c r="P166" s="10">
        <f>VLOOKUP(B166,[2]Data!$B$1:$G$267,6,FALSE)</f>
        <v>0</v>
      </c>
      <c r="Q166" s="12">
        <f>VLOOKUP(B166,[5]Sheet1!$B$421:$K$628,10,FALSE)</f>
        <v>0</v>
      </c>
      <c r="R166" s="12">
        <f>VLOOKUP(B166,[5]Sheet1!$B$213:$K$420,10,FALSE)</f>
        <v>0</v>
      </c>
      <c r="S166" s="12">
        <f>VLOOKUP(B166,[5]Sheet1!$B$2:$K$207,10,FALSE)</f>
        <v>0</v>
      </c>
      <c r="T166" s="12">
        <f>VLOOKUP(B166,[6]Sheet1!$B$421:$K$628,10,FALSE)</f>
        <v>42.7</v>
      </c>
      <c r="U166" s="12">
        <f>VLOOKUP(B166,[6]Sheet1!$B$213:$K$420,10,FALSE)</f>
        <v>45.22</v>
      </c>
      <c r="V166" s="12">
        <f>VLOOKUP(B166,[6]Sheet1!$B$2:$K$212,10,FALSE)</f>
        <v>39.75</v>
      </c>
      <c r="W166" s="13">
        <v>96.511833190917997</v>
      </c>
      <c r="X166" s="13">
        <v>96.550346374511705</v>
      </c>
      <c r="Y166" s="13">
        <v>0</v>
      </c>
      <c r="Z166" s="10">
        <v>10.690898327892199</v>
      </c>
      <c r="AA166" s="10">
        <v>13.0404810794955</v>
      </c>
      <c r="AB166" s="10">
        <v>12.6954717260802</v>
      </c>
      <c r="AC166" s="10">
        <v>12.256931002650299</v>
      </c>
      <c r="AD166" s="10">
        <v>21.023760633616899</v>
      </c>
      <c r="AE166" s="10">
        <v>21.682353813088302</v>
      </c>
      <c r="AF166" s="10">
        <v>22.409993746463801</v>
      </c>
      <c r="AG166" s="10">
        <v>562.58333333333337</v>
      </c>
      <c r="AH166" s="10">
        <v>564.33333333333337</v>
      </c>
      <c r="AI166" s="12">
        <f>VLOOKUP(B166,[7]all!$A$2:$I$247,6,FALSE)</f>
        <v>71.7</v>
      </c>
      <c r="AJ166" s="12">
        <f>VLOOKUP(B166,[7]all!$A$2:$I$247,7,FALSE)</f>
        <v>71.97</v>
      </c>
      <c r="AK166" s="12">
        <f>VLOOKUP(B166,[7]all!$A$2:$I$247,8,FALSE)</f>
        <v>72.13</v>
      </c>
      <c r="AL166" s="12"/>
    </row>
    <row r="167" spans="1:38" ht="21.4" x14ac:dyDescent="1.1000000000000001">
      <c r="A167" s="10" t="s">
        <v>329</v>
      </c>
      <c r="B167" s="11" t="s">
        <v>330</v>
      </c>
      <c r="C167" s="10" t="str">
        <f>VLOOKUP(B167,'[1]who-regions'!$B$1:$D$206,3,FALSE)</f>
        <v>AFR</v>
      </c>
      <c r="D167" s="12" t="str">
        <f>VLOOKUP(B167,'[2]Metadata - Countries'!$A$1:$B$266,2,FALSE)</f>
        <v>Sub-Saharan Africa</v>
      </c>
      <c r="E167" s="12" t="str">
        <f>VLOOKUP(B167,'[2]Metadata - Countries'!$A$1:$C$266,3,FALSE)</f>
        <v>Lower middle income</v>
      </c>
      <c r="F167" s="12"/>
      <c r="G167" s="10">
        <v>47.8426472252971</v>
      </c>
      <c r="H167" s="12">
        <f>VLOOKUP(B167,[4]tas!$A$2:$H$247,5,FALSE)</f>
        <v>25.94</v>
      </c>
      <c r="I167" s="12">
        <f>VLOOKUP(B167,[4]tas!$A$2:$H$247,6,FALSE)</f>
        <v>25.99</v>
      </c>
      <c r="J167" s="12">
        <f>VLOOKUP(B167,[4]tas!$A$2:$H$247,7,FALSE)</f>
        <v>26.05</v>
      </c>
      <c r="K167" s="10">
        <v>540809499.18934846</v>
      </c>
      <c r="L167" s="10">
        <v>678976264.83543599</v>
      </c>
      <c r="M167" s="10">
        <v>764274042.73504281</v>
      </c>
      <c r="N167" s="10">
        <f>VLOOKUP(B167,[2]Data!$B$1:$G$267,4,FALSE)</f>
        <v>2389.7372978473672</v>
      </c>
      <c r="O167" s="10">
        <f>VLOOKUP(B167,[2]Data!$B$1:$G$267,5,FALSE)</f>
        <v>2990.6606143534955</v>
      </c>
      <c r="P167" s="10">
        <f>VLOOKUP(B167,[2]Data!$B$1:$G$267,6,FALSE)</f>
        <v>3490.5688348655713</v>
      </c>
      <c r="Q167" s="12" t="e">
        <f>VLOOKUP(B167,[5]Sheet1!$B$421:$K$628,10,FALSE)</f>
        <v>#N/A</v>
      </c>
      <c r="R167" s="12">
        <f>VLOOKUP(B167,[5]Sheet1!$B$213:$K$420,10,FALSE)</f>
        <v>0</v>
      </c>
      <c r="S167" s="12">
        <f>VLOOKUP(B167,[5]Sheet1!$B$2:$K$207,10,FALSE)</f>
        <v>0</v>
      </c>
      <c r="T167" s="12" t="e">
        <f>VLOOKUP(B167,[6]Sheet1!$B$421:$K$628,10,FALSE)</f>
        <v>#N/A</v>
      </c>
      <c r="U167" s="12">
        <f>VLOOKUP(B167,[6]Sheet1!$B$213:$K$420,10,FALSE)</f>
        <v>0</v>
      </c>
      <c r="V167" s="12">
        <f>VLOOKUP(B167,[6]Sheet1!$B$2:$K$212,10,FALSE)</f>
        <v>0</v>
      </c>
      <c r="W167" s="13">
        <v>0</v>
      </c>
      <c r="X167" s="13">
        <v>0</v>
      </c>
      <c r="Y167" s="13">
        <v>0</v>
      </c>
      <c r="Z167" s="10">
        <v>27.335752276785399</v>
      </c>
      <c r="AA167" s="10">
        <v>38.7865933143324</v>
      </c>
      <c r="AB167" s="10">
        <v>38.280385409199503</v>
      </c>
      <c r="AC167" s="10">
        <v>37.828319602269701</v>
      </c>
      <c r="AD167" s="10">
        <v>3.8485671991339099</v>
      </c>
      <c r="AE167" s="10">
        <v>3.86730280697271</v>
      </c>
      <c r="AF167" s="10">
        <v>3.9002447603662298</v>
      </c>
      <c r="AG167" s="10">
        <v>235.734375</v>
      </c>
      <c r="AH167" s="10">
        <v>240.49062499999999</v>
      </c>
      <c r="AI167" s="12">
        <f>VLOOKUP(B167,[7]all!$A$2:$I$247,6,FALSE)</f>
        <v>83.31</v>
      </c>
      <c r="AJ167" s="12">
        <f>VLOOKUP(B167,[7]all!$A$2:$I$247,7,FALSE)</f>
        <v>83.38</v>
      </c>
      <c r="AK167" s="12">
        <f>VLOOKUP(B167,[7]all!$A$2:$I$247,8,FALSE)</f>
        <v>83.3</v>
      </c>
      <c r="AL167" s="12"/>
    </row>
    <row r="168" spans="1:38" ht="21.4" x14ac:dyDescent="1.1000000000000001">
      <c r="A168" s="10" t="s">
        <v>331</v>
      </c>
      <c r="B168" s="11" t="s">
        <v>332</v>
      </c>
      <c r="C168" s="10" t="str">
        <f>VLOOKUP(B168,'[1]who-regions'!$B$1:$D$206,3,FALSE)</f>
        <v>EMR</v>
      </c>
      <c r="D168" s="12" t="str">
        <f>VLOOKUP(B168,'[2]Metadata - Countries'!$A$1:$B$266,2,FALSE)</f>
        <v>Middle East &amp; North Africa</v>
      </c>
      <c r="E168" s="12" t="str">
        <f>VLOOKUP(B168,'[2]Metadata - Countries'!$A$1:$C$266,3,FALSE)</f>
        <v>High income</v>
      </c>
      <c r="F168" s="12"/>
      <c r="G168" s="10">
        <v>95.3480675371882</v>
      </c>
      <c r="H168" s="12">
        <f>VLOOKUP(B168,[4]tas!$A$2:$H$247,5,FALSE)</f>
        <v>26.17</v>
      </c>
      <c r="I168" s="12">
        <f>VLOOKUP(B168,[4]tas!$A$2:$H$247,6,FALSE)</f>
        <v>26.2</v>
      </c>
      <c r="J168" s="12">
        <f>VLOOKUP(B168,[4]tas!$A$2:$H$247,7,FALSE)</f>
        <v>26.26</v>
      </c>
      <c r="K168" s="10">
        <v>1239075200000</v>
      </c>
      <c r="L168" s="10">
        <v>1218584533333.3333</v>
      </c>
      <c r="M168" s="10">
        <v>1237529866666.6667</v>
      </c>
      <c r="N168" s="10">
        <f>VLOOKUP(B168,[2]Data!$B$1:$G$267,4,FALSE)</f>
        <v>38510.227621103739</v>
      </c>
      <c r="O168" s="10">
        <f>VLOOKUP(B168,[2]Data!$B$1:$G$267,5,FALSE)</f>
        <v>36156.848337700976</v>
      </c>
      <c r="P168" s="10">
        <f>VLOOKUP(B168,[2]Data!$B$1:$G$267,6,FALSE)</f>
        <v>35121.66286877422</v>
      </c>
      <c r="Q168" s="12">
        <f>VLOOKUP(B168,[5]Sheet1!$B$421:$K$628,10,FALSE)</f>
        <v>9.1199999999999992</v>
      </c>
      <c r="R168" s="12">
        <f>VLOOKUP(B168,[5]Sheet1!$B$213:$K$420,10,FALSE)</f>
        <v>7.64</v>
      </c>
      <c r="S168" s="12">
        <f>VLOOKUP(B168,[5]Sheet1!$B$2:$K$207,10,FALSE)</f>
        <v>11.54</v>
      </c>
      <c r="T168" s="12">
        <f>VLOOKUP(B168,[6]Sheet1!$B$421:$K$628,10,FALSE)</f>
        <v>11.93</v>
      </c>
      <c r="U168" s="12">
        <f>VLOOKUP(B168,[6]Sheet1!$B$213:$K$420,10,FALSE)</f>
        <v>9.2100000000000009</v>
      </c>
      <c r="V168" s="12">
        <f>VLOOKUP(B168,[6]Sheet1!$B$2:$K$212,10,FALSE)</f>
        <v>14.71</v>
      </c>
      <c r="W168" s="13">
        <v>0</v>
      </c>
      <c r="X168" s="13">
        <v>0</v>
      </c>
      <c r="Y168" s="13">
        <v>0</v>
      </c>
      <c r="Z168" s="10">
        <v>53.148601362928503</v>
      </c>
      <c r="AA168" s="10">
        <v>24.644523308471101</v>
      </c>
      <c r="AB168" s="10">
        <v>24.097442085946099</v>
      </c>
      <c r="AC168" s="10">
        <v>23.818581981118001</v>
      </c>
      <c r="AD168" s="10">
        <v>2.7024941747722599</v>
      </c>
      <c r="AE168" s="10">
        <v>2.8195038691940302</v>
      </c>
      <c r="AF168" s="10">
        <v>2.95084263846487</v>
      </c>
      <c r="AG168" s="10">
        <v>14.967378552256372</v>
      </c>
      <c r="AH168" s="10">
        <v>15.677949378747634</v>
      </c>
      <c r="AI168" s="12">
        <f>VLOOKUP(B168,[7]all!$A$2:$I$247,6,FALSE)</f>
        <v>31.38</v>
      </c>
      <c r="AJ168" s="12">
        <f>VLOOKUP(B168,[7]all!$A$2:$I$247,7,FALSE)</f>
        <v>31.17</v>
      </c>
      <c r="AK168" s="12">
        <f>VLOOKUP(B168,[7]all!$A$2:$I$247,8,FALSE)</f>
        <v>31.23</v>
      </c>
      <c r="AL168" s="15">
        <v>125817</v>
      </c>
    </row>
    <row r="169" spans="1:38" ht="21.4" x14ac:dyDescent="1.1000000000000001">
      <c r="A169" s="10" t="s">
        <v>333</v>
      </c>
      <c r="B169" s="11" t="s">
        <v>334</v>
      </c>
      <c r="C169" s="10" t="str">
        <f>VLOOKUP(B169,'[1]who-regions'!$B$1:$D$206,3,FALSE)</f>
        <v>AFR</v>
      </c>
      <c r="D169" s="12" t="str">
        <f>VLOOKUP(B169,'[2]Metadata - Countries'!$A$1:$B$266,2,FALSE)</f>
        <v>Sub-Saharan Africa</v>
      </c>
      <c r="E169" s="12" t="str">
        <f>VLOOKUP(B169,'[2]Metadata - Countries'!$A$1:$C$266,3,FALSE)</f>
        <v>Lower middle income</v>
      </c>
      <c r="F169" s="12"/>
      <c r="G169" s="10">
        <v>60.183913102635401</v>
      </c>
      <c r="H169" s="12">
        <f>VLOOKUP(B169,[4]tas!$A$2:$H$247,5,FALSE)</f>
        <v>29.61</v>
      </c>
      <c r="I169" s="12">
        <f>VLOOKUP(B169,[4]tas!$A$2:$H$247,6,FALSE)</f>
        <v>29.58</v>
      </c>
      <c r="J169" s="12">
        <f>VLOOKUP(B169,[4]tas!$A$2:$H$247,7,FALSE)</f>
        <v>29.65</v>
      </c>
      <c r="K169" s="10">
        <v>27783332222.675926</v>
      </c>
      <c r="L169" s="10">
        <v>30696331295.782555</v>
      </c>
      <c r="M169" s="10">
        <v>32267254425.052044</v>
      </c>
      <c r="N169" s="10">
        <f>VLOOKUP(B169,[2]Data!$B$1:$G$267,4,FALSE)</f>
        <v>1574.0281059305996</v>
      </c>
      <c r="O169" s="10">
        <f>VLOOKUP(B169,[2]Data!$B$1:$G$267,5,FALSE)</f>
        <v>1698.0338730084263</v>
      </c>
      <c r="P169" s="10">
        <f>VLOOKUP(B169,[2]Data!$B$1:$G$267,6,FALSE)</f>
        <v>1773.218299234481</v>
      </c>
      <c r="Q169" s="12">
        <f>VLOOKUP(B169,[5]Sheet1!$B$421:$K$628,10,FALSE)</f>
        <v>0</v>
      </c>
      <c r="R169" s="12">
        <f>VLOOKUP(B169,[5]Sheet1!$B$213:$K$420,10,FALSE)</f>
        <v>0</v>
      </c>
      <c r="S169" s="12">
        <f>VLOOKUP(B169,[5]Sheet1!$B$2:$K$207,10,FALSE)</f>
        <v>0</v>
      </c>
      <c r="T169" s="12">
        <f>VLOOKUP(B169,[6]Sheet1!$B$421:$K$628,10,FALSE)</f>
        <v>0</v>
      </c>
      <c r="U169" s="12">
        <f>VLOOKUP(B169,[6]Sheet1!$B$213:$K$420,10,FALSE)</f>
        <v>0</v>
      </c>
      <c r="V169" s="12">
        <f>VLOOKUP(B169,[6]Sheet1!$B$2:$K$212,10,FALSE)</f>
        <v>0</v>
      </c>
      <c r="W169" s="13">
        <v>65.891288757324205</v>
      </c>
      <c r="X169" s="13">
        <v>63.476718902587898</v>
      </c>
      <c r="Y169" s="13">
        <v>0</v>
      </c>
      <c r="Z169" s="10">
        <v>63.740221126220199</v>
      </c>
      <c r="AA169" s="10">
        <v>39.160303466587898</v>
      </c>
      <c r="AB169" s="10">
        <v>38.629598159288399</v>
      </c>
      <c r="AC169" s="10">
        <v>38.182366329406499</v>
      </c>
      <c r="AD169" s="10">
        <v>3.5633920441119198</v>
      </c>
      <c r="AE169" s="10">
        <v>3.5903878360666002</v>
      </c>
      <c r="AF169" s="10">
        <v>3.6177227367150802</v>
      </c>
      <c r="AG169" s="10">
        <v>91.679753804601887</v>
      </c>
      <c r="AH169" s="10">
        <v>93.894837168233522</v>
      </c>
      <c r="AI169" s="12">
        <f>VLOOKUP(B169,[7]all!$A$2:$I$247,6,FALSE)</f>
        <v>47.48</v>
      </c>
      <c r="AJ169" s="12">
        <f>VLOOKUP(B169,[7]all!$A$2:$I$247,7,FALSE)</f>
        <v>47.47</v>
      </c>
      <c r="AK169" s="12">
        <f>VLOOKUP(B169,[7]all!$A$2:$I$247,8,FALSE)</f>
        <v>47.29</v>
      </c>
      <c r="AL169" s="12"/>
    </row>
    <row r="170" spans="1:38" ht="21.4" x14ac:dyDescent="1.1000000000000001">
      <c r="A170" s="10" t="s">
        <v>335</v>
      </c>
      <c r="B170" s="11" t="s">
        <v>336</v>
      </c>
      <c r="C170" s="10" t="str">
        <f>VLOOKUP(B170,'[1]who-regions'!$B$1:$D$206,3,FALSE)</f>
        <v>EUR</v>
      </c>
      <c r="D170" s="12" t="str">
        <f>VLOOKUP(B170,'[2]Metadata - Countries'!$A$1:$B$266,2,FALSE)</f>
        <v>Europe &amp; Central Asia</v>
      </c>
      <c r="E170" s="12" t="str">
        <f>VLOOKUP(B170,'[2]Metadata - Countries'!$A$1:$C$266,3,FALSE)</f>
        <v>Upper middle income</v>
      </c>
      <c r="F170" s="12"/>
      <c r="G170" s="10">
        <v>97.9104148354253</v>
      </c>
      <c r="H170" s="12">
        <f>VLOOKUP(B170,[4]tas!$A$2:$H$247,5,FALSE)</f>
        <v>12.18</v>
      </c>
      <c r="I170" s="12">
        <f>VLOOKUP(B170,[4]tas!$A$2:$H$247,6,FALSE)</f>
        <v>12.25</v>
      </c>
      <c r="J170" s="12">
        <f>VLOOKUP(B170,[4]tas!$A$2:$H$247,7,FALSE)</f>
        <v>12.23</v>
      </c>
      <c r="K170" s="10">
        <v>66797564758.338997</v>
      </c>
      <c r="L170" s="10">
        <v>81342660752.373199</v>
      </c>
      <c r="M170" s="10">
        <v>89083506277.234421</v>
      </c>
      <c r="N170" s="10">
        <f>VLOOKUP(B170,[2]Data!$B$1:$G$267,4,FALSE)</f>
        <v>10024.819111259634</v>
      </c>
      <c r="O170" s="10">
        <f>VLOOKUP(B170,[2]Data!$B$1:$G$267,5,FALSE)</f>
        <v>12281.707946166955</v>
      </c>
      <c r="P170" s="10">
        <f>VLOOKUP(B170,[2]Data!$B$1:$G$267,6,FALSE)</f>
        <v>13679.206598355697</v>
      </c>
      <c r="Q170" s="12">
        <f>VLOOKUP(B170,[5]Sheet1!$B$421:$K$628,10,FALSE)</f>
        <v>0</v>
      </c>
      <c r="R170" s="12">
        <f>VLOOKUP(B170,[5]Sheet1!$B$213:$K$420,10,FALSE)</f>
        <v>0</v>
      </c>
      <c r="S170" s="12">
        <f>VLOOKUP(B170,[5]Sheet1!$B$2:$K$207,10,FALSE)</f>
        <v>0</v>
      </c>
      <c r="T170" s="12">
        <f>VLOOKUP(B170,[6]Sheet1!$B$421:$K$628,10,FALSE)</f>
        <v>15.2</v>
      </c>
      <c r="U170" s="12">
        <f>VLOOKUP(B170,[6]Sheet1!$B$213:$K$420,10,FALSE)</f>
        <v>14.03</v>
      </c>
      <c r="V170" s="12">
        <f>VLOOKUP(B170,[6]Sheet1!$B$2:$K$212,10,FALSE)</f>
        <v>13.28</v>
      </c>
      <c r="W170" s="13">
        <v>0</v>
      </c>
      <c r="X170" s="13">
        <v>0</v>
      </c>
      <c r="Y170" s="13">
        <v>0</v>
      </c>
      <c r="Z170" s="10">
        <v>22.507535568900401</v>
      </c>
      <c r="AA170" s="10">
        <v>14.3546142379414</v>
      </c>
      <c r="AB170" s="10">
        <v>14.3502902099022</v>
      </c>
      <c r="AC170" s="10">
        <v>14.3110315939988</v>
      </c>
      <c r="AD170" s="10">
        <v>22.077674336110899</v>
      </c>
      <c r="AE170" s="10">
        <v>22.338359661849701</v>
      </c>
      <c r="AF170" s="10">
        <v>22.686037680501901</v>
      </c>
      <c r="AG170" s="10">
        <v>79.253763824473779</v>
      </c>
      <c r="AH170" s="10">
        <v>78.763027708407662</v>
      </c>
      <c r="AI170" s="12">
        <f>VLOOKUP(B170,[7]all!$A$2:$I$247,6,FALSE)</f>
        <v>71.930000000000007</v>
      </c>
      <c r="AJ170" s="12">
        <f>VLOOKUP(B170,[7]all!$A$2:$I$247,7,FALSE)</f>
        <v>72.069999999999993</v>
      </c>
      <c r="AK170" s="12">
        <f>VLOOKUP(B170,[7]all!$A$2:$I$247,8,FALSE)</f>
        <v>72.099999999999994</v>
      </c>
      <c r="AL170" s="12"/>
    </row>
    <row r="171" spans="1:38" ht="21.4" x14ac:dyDescent="1.1000000000000001">
      <c r="A171" s="10" t="s">
        <v>337</v>
      </c>
      <c r="B171" s="11" t="s">
        <v>338</v>
      </c>
      <c r="C171" s="10" t="str">
        <f>VLOOKUP(B171,'[1]who-regions'!$B$1:$D$206,3,FALSE)</f>
        <v>AFR</v>
      </c>
      <c r="D171" s="12" t="str">
        <f>VLOOKUP(B171,'[2]Metadata - Countries'!$A$1:$B$266,2,FALSE)</f>
        <v>Sub-Saharan Africa</v>
      </c>
      <c r="E171" s="12" t="str">
        <f>VLOOKUP(B171,'[2]Metadata - Countries'!$A$1:$C$266,3,FALSE)</f>
        <v>High income</v>
      </c>
      <c r="F171" s="12"/>
      <c r="G171" s="10">
        <v>100</v>
      </c>
      <c r="H171" s="12">
        <f>VLOOKUP(B171,[4]tas!$A$2:$H$247,5,FALSE)</f>
        <v>26.56</v>
      </c>
      <c r="I171" s="12">
        <f>VLOOKUP(B171,[4]tas!$A$2:$H$247,6,FALSE)</f>
        <v>26.6</v>
      </c>
      <c r="J171" s="12">
        <f>VLOOKUP(B171,[4]tas!$A$2:$H$247,7,FALSE)</f>
        <v>26.63</v>
      </c>
      <c r="K171" s="10">
        <v>2018346588.7375247</v>
      </c>
      <c r="L171" s="10">
        <v>2187379754.6616659</v>
      </c>
      <c r="M171" s="10">
        <v>2167239562.4601293</v>
      </c>
      <c r="N171" s="10">
        <f>VLOOKUP(B171,[2]Data!$B$1:$G$267,4,FALSE)</f>
        <v>16836.672189538738</v>
      </c>
      <c r="O171" s="10">
        <f>VLOOKUP(B171,[2]Data!$B$1:$G$267,5,FALSE)</f>
        <v>18262.711584928707</v>
      </c>
      <c r="P171" s="10">
        <f>VLOOKUP(B171,[2]Data!$B$1:$G$267,6,FALSE)</f>
        <v>17858.822638397822</v>
      </c>
      <c r="Q171" s="12">
        <f>VLOOKUP(B171,[5]Sheet1!$B$421:$K$628,10,FALSE)</f>
        <v>0</v>
      </c>
      <c r="R171" s="12">
        <f>VLOOKUP(B171,[5]Sheet1!$B$213:$K$420,10,FALSE)</f>
        <v>0</v>
      </c>
      <c r="S171" s="12">
        <f>VLOOKUP(B171,[5]Sheet1!$B$2:$K$207,10,FALSE)</f>
        <v>0</v>
      </c>
      <c r="T171" s="12">
        <f>VLOOKUP(B171,[6]Sheet1!$B$421:$K$628,10,FALSE)</f>
        <v>0</v>
      </c>
      <c r="U171" s="12">
        <f>VLOOKUP(B171,[6]Sheet1!$B$213:$K$420,10,FALSE)</f>
        <v>0</v>
      </c>
      <c r="V171" s="12">
        <f>VLOOKUP(B171,[6]Sheet1!$B$2:$K$212,10,FALSE)</f>
        <v>0</v>
      </c>
      <c r="W171" s="13">
        <v>95.811882019042997</v>
      </c>
      <c r="X171" s="13">
        <v>95.328582763671903</v>
      </c>
      <c r="Y171" s="13">
        <v>0</v>
      </c>
      <c r="Z171" s="10">
        <v>8.49983857722866</v>
      </c>
      <c r="AA171" s="10">
        <v>20.310302933736999</v>
      </c>
      <c r="AB171" s="10">
        <v>20.139819695898002</v>
      </c>
      <c r="AC171" s="10">
        <v>19.951157236128299</v>
      </c>
      <c r="AD171" s="10">
        <v>8.1475432691350207</v>
      </c>
      <c r="AE171" s="10">
        <v>8.3309561119339097</v>
      </c>
      <c r="AF171" s="10">
        <v>8.5390492913198699</v>
      </c>
      <c r="AG171" s="10">
        <v>260.60434782608695</v>
      </c>
      <c r="AH171" s="10">
        <v>260.37608695652176</v>
      </c>
      <c r="AI171" s="12">
        <f>VLOOKUP(B171,[7]all!$A$2:$I$247,6,FALSE)</f>
        <v>82.03</v>
      </c>
      <c r="AJ171" s="12">
        <f>VLOOKUP(B171,[7]all!$A$2:$I$247,7,FALSE)</f>
        <v>82</v>
      </c>
      <c r="AK171" s="12">
        <f>VLOOKUP(B171,[7]all!$A$2:$I$247,8,FALSE)</f>
        <v>81.84</v>
      </c>
      <c r="AL171" s="12"/>
    </row>
    <row r="172" spans="1:38" ht="21.4" x14ac:dyDescent="1.1000000000000001">
      <c r="A172" s="10" t="s">
        <v>339</v>
      </c>
      <c r="B172" s="11" t="s">
        <v>340</v>
      </c>
      <c r="C172" s="10" t="str">
        <f>VLOOKUP(B172,'[1]who-regions'!$B$1:$D$206,3,FALSE)</f>
        <v>AFR</v>
      </c>
      <c r="D172" s="12" t="str">
        <f>VLOOKUP(B172,'[2]Metadata - Countries'!$A$1:$B$266,2,FALSE)</f>
        <v>Sub-Saharan Africa</v>
      </c>
      <c r="E172" s="12" t="str">
        <f>VLOOKUP(B172,'[2]Metadata - Countries'!$A$1:$C$266,3,FALSE)</f>
        <v>Low income</v>
      </c>
      <c r="F172" s="12"/>
      <c r="G172" s="10">
        <v>22.9191871774247</v>
      </c>
      <c r="H172" s="12">
        <f>VLOOKUP(B172,[4]tas!$A$2:$H$247,5,FALSE)</f>
        <v>26.9</v>
      </c>
      <c r="I172" s="12">
        <f>VLOOKUP(B172,[4]tas!$A$2:$H$247,6,FALSE)</f>
        <v>26.92</v>
      </c>
      <c r="J172" s="12">
        <f>VLOOKUP(B172,[4]tas!$A$2:$H$247,7,FALSE)</f>
        <v>26.99</v>
      </c>
      <c r="K172" s="10">
        <v>7124465159.653038</v>
      </c>
      <c r="L172" s="10">
        <v>6411787856.0658064</v>
      </c>
      <c r="M172" s="10">
        <v>7547843281.2742462</v>
      </c>
      <c r="N172" s="10">
        <f>VLOOKUP(B172,[2]Data!$B$1:$G$267,4,FALSE)</f>
        <v>860.37106791609642</v>
      </c>
      <c r="O172" s="10">
        <f>VLOOKUP(B172,[2]Data!$B$1:$G$267,5,FALSE)</f>
        <v>758.32913737824811</v>
      </c>
      <c r="P172" s="10">
        <f>VLOOKUP(B172,[2]Data!$B$1:$G$267,6,FALSE)</f>
        <v>806.65465041772586</v>
      </c>
      <c r="Q172" s="12">
        <f>VLOOKUP(B172,[5]Sheet1!$B$421:$K$628,10,FALSE)</f>
        <v>0</v>
      </c>
      <c r="R172" s="12">
        <f>VLOOKUP(B172,[5]Sheet1!$B$213:$K$420,10,FALSE)</f>
        <v>0</v>
      </c>
      <c r="S172" s="12">
        <f>VLOOKUP(B172,[5]Sheet1!$B$2:$K$207,10,FALSE)</f>
        <v>0</v>
      </c>
      <c r="T172" s="12">
        <f>VLOOKUP(B172,[6]Sheet1!$B$421:$K$628,10,FALSE)</f>
        <v>0</v>
      </c>
      <c r="U172" s="12">
        <f>VLOOKUP(B172,[6]Sheet1!$B$213:$K$420,10,FALSE)</f>
        <v>0</v>
      </c>
      <c r="V172" s="12">
        <f>VLOOKUP(B172,[6]Sheet1!$B$2:$K$212,10,FALSE)</f>
        <v>0</v>
      </c>
      <c r="W172" s="13">
        <v>0</v>
      </c>
      <c r="X172" s="13">
        <v>0</v>
      </c>
      <c r="Y172" s="13">
        <v>0</v>
      </c>
      <c r="Z172" s="10">
        <v>43.2210935036927</v>
      </c>
      <c r="AA172" s="10">
        <v>38.976234372520402</v>
      </c>
      <c r="AB172" s="10">
        <v>38.531710610421698</v>
      </c>
      <c r="AC172" s="10">
        <v>38.0887344368752</v>
      </c>
      <c r="AD172" s="10">
        <v>3.1753792963505898</v>
      </c>
      <c r="AE172" s="10">
        <v>3.20667945391485</v>
      </c>
      <c r="AF172" s="10">
        <v>3.2426957925647599</v>
      </c>
      <c r="AG172" s="10">
        <v>114.66898032696038</v>
      </c>
      <c r="AH172" s="10">
        <v>117.21407592130784</v>
      </c>
      <c r="AI172" s="12">
        <f>VLOOKUP(B172,[7]all!$A$2:$I$247,6,FALSE)</f>
        <v>75.67</v>
      </c>
      <c r="AJ172" s="12">
        <f>VLOOKUP(B172,[7]all!$A$2:$I$247,7,FALSE)</f>
        <v>75.73</v>
      </c>
      <c r="AK172" s="12">
        <f>VLOOKUP(B172,[7]all!$A$2:$I$247,8,FALSE)</f>
        <v>75.55</v>
      </c>
      <c r="AL172" s="12"/>
    </row>
    <row r="173" spans="1:38" ht="21.4" x14ac:dyDescent="1.1000000000000001">
      <c r="A173" s="10" t="s">
        <v>341</v>
      </c>
      <c r="B173" s="11" t="s">
        <v>342</v>
      </c>
      <c r="C173" s="10" t="str">
        <f>VLOOKUP(B173,'[1]who-regions'!$B$1:$D$206,3,FALSE)</f>
        <v>WPR</v>
      </c>
      <c r="D173" s="12" t="str">
        <f>VLOOKUP(B173,'[2]Metadata - Countries'!$A$1:$B$266,2,FALSE)</f>
        <v>East Asia &amp; Pacific</v>
      </c>
      <c r="E173" s="12" t="str">
        <f>VLOOKUP(B173,'[2]Metadata - Countries'!$A$1:$C$266,3,FALSE)</f>
        <v>High income</v>
      </c>
      <c r="F173" s="12"/>
      <c r="G173" s="10">
        <v>100</v>
      </c>
      <c r="H173" s="12">
        <f>VLOOKUP(B173,[4]tas!$A$2:$H$247,5,FALSE)</f>
        <v>27.43</v>
      </c>
      <c r="I173" s="12">
        <f>VLOOKUP(B173,[4]tas!$A$2:$H$247,6,FALSE)</f>
        <v>27.45</v>
      </c>
      <c r="J173" s="12">
        <f>VLOOKUP(B173,[4]tas!$A$2:$H$247,7,FALSE)</f>
        <v>27.49</v>
      </c>
      <c r="K173" s="10">
        <v>509017841146.55676</v>
      </c>
      <c r="L173" s="10">
        <v>505439514078.01947</v>
      </c>
      <c r="M173" s="10">
        <v>547386645891.84668</v>
      </c>
      <c r="N173" s="10">
        <f>VLOOKUP(B173,[2]Data!$B$1:$G$267,4,FALSE)</f>
        <v>90299.069463726904</v>
      </c>
      <c r="O173" s="10">
        <f>VLOOKUP(B173,[2]Data!$B$1:$G$267,5,FALSE)</f>
        <v>85412.230345235046</v>
      </c>
      <c r="P173" s="10">
        <f>VLOOKUP(B173,[2]Data!$B$1:$G$267,6,FALSE)</f>
        <v>90674.066632628004</v>
      </c>
      <c r="Q173" s="12">
        <f>VLOOKUP(B173,[5]Sheet1!$B$421:$K$628,10,FALSE)</f>
        <v>0</v>
      </c>
      <c r="R173" s="12">
        <f>VLOOKUP(B173,[5]Sheet1!$B$213:$K$420,10,FALSE)</f>
        <v>0</v>
      </c>
      <c r="S173" s="12">
        <f>VLOOKUP(B173,[5]Sheet1!$B$2:$K$207,10,FALSE)</f>
        <v>0</v>
      </c>
      <c r="T173" s="12">
        <f>VLOOKUP(B173,[6]Sheet1!$B$421:$K$628,10,FALSE)</f>
        <v>0</v>
      </c>
      <c r="U173" s="12">
        <f>VLOOKUP(B173,[6]Sheet1!$B$213:$K$420,10,FALSE)</f>
        <v>0</v>
      </c>
      <c r="V173" s="12">
        <f>VLOOKUP(B173,[6]Sheet1!$B$2:$K$212,10,FALSE)</f>
        <v>42.24</v>
      </c>
      <c r="W173" s="13">
        <v>99.371772766113295</v>
      </c>
      <c r="X173" s="13">
        <v>0</v>
      </c>
      <c r="Y173" s="13">
        <v>0</v>
      </c>
      <c r="Z173" s="10">
        <v>13.869195586547599</v>
      </c>
      <c r="AA173" s="10">
        <v>12.005289665656001</v>
      </c>
      <c r="AB173" s="10">
        <v>11.787475387969</v>
      </c>
      <c r="AC173" s="10">
        <v>11.686158685972</v>
      </c>
      <c r="AD173" s="10">
        <v>12.6908966015146</v>
      </c>
      <c r="AE173" s="10">
        <v>13.0953667239036</v>
      </c>
      <c r="AF173" s="10">
        <v>13.656218285926499</v>
      </c>
      <c r="AG173" s="10">
        <v>7851.0055710306406</v>
      </c>
      <c r="AH173" s="10">
        <v>8241.849582172701</v>
      </c>
      <c r="AI173" s="12">
        <f>VLOOKUP(B173,[7]all!$A$2:$I$247,6,FALSE)</f>
        <v>82.76</v>
      </c>
      <c r="AJ173" s="12">
        <f>VLOOKUP(B173,[7]all!$A$2:$I$247,7,FALSE)</f>
        <v>82.86</v>
      </c>
      <c r="AK173" s="12">
        <f>VLOOKUP(B173,[7]all!$A$2:$I$247,8,FALSE)</f>
        <v>82.85</v>
      </c>
      <c r="AL173" s="12"/>
    </row>
    <row r="174" spans="1:38" ht="21.4" x14ac:dyDescent="1.1000000000000001">
      <c r="A174" s="10" t="s">
        <v>343</v>
      </c>
      <c r="B174" s="11" t="s">
        <v>344</v>
      </c>
      <c r="C174" s="10" t="s">
        <v>487</v>
      </c>
      <c r="D174" s="12" t="str">
        <f>VLOOKUP(B174,'[2]Metadata - Countries'!$A$1:$B$266,2,FALSE)</f>
        <v>Latin America &amp; Caribbean</v>
      </c>
      <c r="E174" s="12" t="str">
        <f>VLOOKUP(B174,'[2]Metadata - Countries'!$A$1:$C$266,3,FALSE)</f>
        <v>High income</v>
      </c>
      <c r="F174" s="12"/>
      <c r="G174" s="10">
        <v>0</v>
      </c>
      <c r="H174" s="12">
        <f>VLOOKUP(B174,[4]tas!$A$2:$H$247,5,FALSE)</f>
        <v>26.55</v>
      </c>
      <c r="I174" s="12">
        <f>VLOOKUP(B174,[4]tas!$A$2:$H$247,6,FALSE)</f>
        <v>26.57</v>
      </c>
      <c r="J174" s="12">
        <f>VLOOKUP(B174,[4]tas!$A$2:$H$247,7,FALSE)</f>
        <v>26.61</v>
      </c>
      <c r="K174" s="10">
        <v>1537088715.0837989</v>
      </c>
      <c r="L174" s="10">
        <v>1627776949.2737429</v>
      </c>
      <c r="M174" s="10">
        <v>1735210227.9258101</v>
      </c>
      <c r="N174" s="10">
        <f>VLOOKUP(B174,[2]Data!$B$1:$G$267,4,FALSE)</f>
        <v>37793.12843991573</v>
      </c>
      <c r="O174" s="10">
        <f>VLOOKUP(B174,[2]Data!$B$1:$G$267,5,FALSE)</f>
        <v>39451.822336196303</v>
      </c>
      <c r="P174" s="10">
        <f>VLOOKUP(B174,[2]Data!$B$1:$G$267,6,FALSE)</f>
        <v>41472.5874498583</v>
      </c>
      <c r="Q174" s="12" t="e">
        <f>VLOOKUP(B174,[5]Sheet1!$B$421:$K$628,10,FALSE)</f>
        <v>#N/A</v>
      </c>
      <c r="R174" s="12" t="e">
        <f>VLOOKUP(B174,[5]Sheet1!$B$213:$K$420,10,FALSE)</f>
        <v>#N/A</v>
      </c>
      <c r="S174" s="12" t="e">
        <f>VLOOKUP(B174,[5]Sheet1!$B$2:$K$207,10,FALSE)</f>
        <v>#N/A</v>
      </c>
      <c r="T174" s="12" t="e">
        <f>VLOOKUP(B174,[6]Sheet1!$B$421:$K$628,10,FALSE)</f>
        <v>#N/A</v>
      </c>
      <c r="U174" s="12" t="e">
        <f>VLOOKUP(B174,[6]Sheet1!$B$213:$K$420,10,FALSE)</f>
        <v>#N/A</v>
      </c>
      <c r="V174" s="12" t="e">
        <f>VLOOKUP(B174,[6]Sheet1!$B$2:$K$212,10,FALSE)</f>
        <v>#N/A</v>
      </c>
      <c r="W174" s="13">
        <v>0</v>
      </c>
      <c r="X174" s="13">
        <v>0</v>
      </c>
      <c r="Y174" s="13">
        <v>0</v>
      </c>
      <c r="Z174" s="10">
        <v>0</v>
      </c>
      <c r="AA174" s="10">
        <v>16.038776890492102</v>
      </c>
      <c r="AB174" s="10">
        <v>15.560597908723</v>
      </c>
      <c r="AC174" s="10">
        <v>15.1359269212581</v>
      </c>
      <c r="AD174" s="10">
        <v>12.976256867235399</v>
      </c>
      <c r="AE174" s="10">
        <v>13.447098177735199</v>
      </c>
      <c r="AF174" s="10">
        <v>13.942169063793999</v>
      </c>
      <c r="AG174" s="10">
        <v>1239.3823529411766</v>
      </c>
      <c r="AH174" s="10">
        <v>1257.3235294117646</v>
      </c>
      <c r="AI174" s="12">
        <f>VLOOKUP(B174,[7]all!$A$2:$I$247,6,FALSE)</f>
        <v>80.05</v>
      </c>
      <c r="AJ174" s="12">
        <f>VLOOKUP(B174,[7]all!$A$2:$I$247,7,FALSE)</f>
        <v>80.040000000000006</v>
      </c>
      <c r="AK174" s="12">
        <f>VLOOKUP(B174,[7]all!$A$2:$I$247,8,FALSE)</f>
        <v>79.98</v>
      </c>
      <c r="AL174" s="12"/>
    </row>
    <row r="175" spans="1:38" ht="21.4" x14ac:dyDescent="1.1000000000000001">
      <c r="A175" s="10" t="s">
        <v>345</v>
      </c>
      <c r="B175" s="11" t="s">
        <v>346</v>
      </c>
      <c r="C175" s="10" t="str">
        <f>VLOOKUP(B175,'[1]who-regions'!$B$1:$D$206,3,FALSE)</f>
        <v>EUR</v>
      </c>
      <c r="D175" s="12" t="str">
        <f>VLOOKUP(B175,'[2]Metadata - Countries'!$A$1:$B$266,2,FALSE)</f>
        <v>Europe &amp; Central Asia</v>
      </c>
      <c r="E175" s="12" t="str">
        <f>VLOOKUP(B175,'[2]Metadata - Countries'!$A$1:$C$266,3,FALSE)</f>
        <v>High income</v>
      </c>
      <c r="F175" s="12"/>
      <c r="G175" s="10">
        <v>97.536360698202998</v>
      </c>
      <c r="H175" s="12">
        <f>VLOOKUP(B175,[4]tas!$A$2:$H$247,5,FALSE)</f>
        <v>9.59</v>
      </c>
      <c r="I175" s="12">
        <f>VLOOKUP(B175,[4]tas!$A$2:$H$247,6,FALSE)</f>
        <v>9.49</v>
      </c>
      <c r="J175" s="12">
        <f>VLOOKUP(B175,[4]tas!$A$2:$H$247,7,FALSE)</f>
        <v>9.52</v>
      </c>
      <c r="K175" s="10">
        <v>115884262197.69695</v>
      </c>
      <c r="L175" s="10">
        <v>133896931490.22394</v>
      </c>
      <c r="M175" s="10">
        <v>141775733420.11404</v>
      </c>
      <c r="N175" s="10">
        <f>VLOOKUP(B175,[2]Data!$B$1:$G$267,4,FALSE)</f>
        <v>21317.794398236263</v>
      </c>
      <c r="O175" s="10">
        <f>VLOOKUP(B175,[2]Data!$B$1:$G$267,5,FALSE)</f>
        <v>24614.87346427939</v>
      </c>
      <c r="P175" s="10">
        <f>VLOOKUP(B175,[2]Data!$B$1:$G$267,6,FALSE)</f>
        <v>25992.674850204778</v>
      </c>
      <c r="Q175" s="12">
        <f>VLOOKUP(B175,[5]Sheet1!$B$421:$K$628,10,FALSE)</f>
        <v>6</v>
      </c>
      <c r="R175" s="12">
        <f>VLOOKUP(B175,[5]Sheet1!$B$213:$K$420,10,FALSE)</f>
        <v>4.8099999999999996</v>
      </c>
      <c r="S175" s="12">
        <f>VLOOKUP(B175,[5]Sheet1!$B$2:$K$207,10,FALSE)</f>
        <v>4.8099999999999996</v>
      </c>
      <c r="T175" s="12">
        <f>VLOOKUP(B175,[6]Sheet1!$B$421:$K$628,10,FALSE)</f>
        <v>12.93</v>
      </c>
      <c r="U175" s="12">
        <f>VLOOKUP(B175,[6]Sheet1!$B$213:$K$420,10,FALSE)</f>
        <v>11.86</v>
      </c>
      <c r="V175" s="12">
        <f>VLOOKUP(B175,[6]Sheet1!$B$2:$K$212,10,FALSE)</f>
        <v>11.71</v>
      </c>
      <c r="W175" s="13">
        <v>99.672271728515597</v>
      </c>
      <c r="X175" s="13">
        <v>0</v>
      </c>
      <c r="Y175" s="13">
        <v>0</v>
      </c>
      <c r="Z175" s="10">
        <v>15.391619425736501</v>
      </c>
      <c r="AA175" s="10">
        <v>15.968337698089201</v>
      </c>
      <c r="AB175" s="10">
        <v>15.9071734431039</v>
      </c>
      <c r="AC175" s="10">
        <v>15.761202209756901</v>
      </c>
      <c r="AD175" s="10">
        <v>17.570637195284299</v>
      </c>
      <c r="AE175" s="10">
        <v>18.050836576550701</v>
      </c>
      <c r="AF175" s="10">
        <v>18.5373993543753</v>
      </c>
      <c r="AG175" s="10">
        <v>112.97321131447588</v>
      </c>
      <c r="AH175" s="10">
        <v>112.8689683860233</v>
      </c>
      <c r="AI175" s="12">
        <f>VLOOKUP(B175,[7]all!$A$2:$I$247,6,FALSE)</f>
        <v>76.790000000000006</v>
      </c>
      <c r="AJ175" s="12">
        <f>VLOOKUP(B175,[7]all!$A$2:$I$247,7,FALSE)</f>
        <v>76.86</v>
      </c>
      <c r="AK175" s="12">
        <f>VLOOKUP(B175,[7]all!$A$2:$I$247,8,FALSE)</f>
        <v>76.88</v>
      </c>
      <c r="AL175" s="12"/>
    </row>
    <row r="176" spans="1:38" ht="21.4" x14ac:dyDescent="1.1000000000000001">
      <c r="A176" s="10" t="s">
        <v>347</v>
      </c>
      <c r="B176" s="11" t="s">
        <v>348</v>
      </c>
      <c r="C176" s="10" t="str">
        <f>VLOOKUP(B176,'[1]who-regions'!$B$1:$D$206,3,FALSE)</f>
        <v>EUR</v>
      </c>
      <c r="D176" s="12" t="str">
        <f>VLOOKUP(B176,'[2]Metadata - Countries'!$A$1:$B$266,2,FALSE)</f>
        <v>Europe &amp; Central Asia</v>
      </c>
      <c r="E176" s="12" t="str">
        <f>VLOOKUP(B176,'[2]Metadata - Countries'!$A$1:$C$266,3,FALSE)</f>
        <v>High income</v>
      </c>
      <c r="F176" s="12"/>
      <c r="G176" s="10">
        <v>98.311157750878607</v>
      </c>
      <c r="H176" s="12">
        <f>VLOOKUP(B176,[4]tas!$A$2:$H$247,5,FALSE)</f>
        <v>10.9</v>
      </c>
      <c r="I176" s="12">
        <f>VLOOKUP(B176,[4]tas!$A$2:$H$247,6,FALSE)</f>
        <v>10.83</v>
      </c>
      <c r="J176" s="12">
        <f>VLOOKUP(B176,[4]tas!$A$2:$H$247,7,FALSE)</f>
        <v>10.84</v>
      </c>
      <c r="K176" s="10">
        <v>59927702746.284279</v>
      </c>
      <c r="L176" s="10">
        <v>69148468417.320831</v>
      </c>
      <c r="M176" s="10">
        <v>72485008929.27655</v>
      </c>
      <c r="N176" s="10">
        <f>VLOOKUP(B176,[2]Data!$B$1:$G$267,4,FALSE)</f>
        <v>28360.304146726812</v>
      </c>
      <c r="O176" s="10">
        <f>VLOOKUP(B176,[2]Data!$B$1:$G$267,5,FALSE)</f>
        <v>32660.475358134645</v>
      </c>
      <c r="P176" s="10">
        <f>VLOOKUP(B176,[2]Data!$B$1:$G$267,6,FALSE)</f>
        <v>34301.031868659353</v>
      </c>
      <c r="Q176" s="12">
        <f>VLOOKUP(B176,[5]Sheet1!$B$421:$K$628,10,FALSE)</f>
        <v>0</v>
      </c>
      <c r="R176" s="12">
        <f>VLOOKUP(B176,[5]Sheet1!$B$213:$K$420,10,FALSE)</f>
        <v>6.12</v>
      </c>
      <c r="S176" s="12">
        <f>VLOOKUP(B176,[5]Sheet1!$B$2:$K$207,10,FALSE)</f>
        <v>5.55</v>
      </c>
      <c r="T176" s="12">
        <f>VLOOKUP(B176,[6]Sheet1!$B$421:$K$628,10,FALSE)</f>
        <v>24.46</v>
      </c>
      <c r="U176" s="12">
        <f>VLOOKUP(B176,[6]Sheet1!$B$213:$K$420,10,FALSE)</f>
        <v>19.13</v>
      </c>
      <c r="V176" s="12">
        <f>VLOOKUP(B176,[6]Sheet1!$B$2:$K$212,10,FALSE)</f>
        <v>17.23</v>
      </c>
      <c r="W176" s="13">
        <v>99.363967895507798</v>
      </c>
      <c r="X176" s="13">
        <v>0</v>
      </c>
      <c r="Y176" s="13">
        <v>0</v>
      </c>
      <c r="Z176" s="10">
        <v>14.2911527506818</v>
      </c>
      <c r="AA176" s="10">
        <v>15.09619766758</v>
      </c>
      <c r="AB176" s="10">
        <v>14.9298337043688</v>
      </c>
      <c r="AC176" s="10">
        <v>14.714920235154</v>
      </c>
      <c r="AD176" s="10">
        <v>20.8812714279501</v>
      </c>
      <c r="AE176" s="10">
        <v>21.332342961372699</v>
      </c>
      <c r="AF176" s="10">
        <v>21.772349177902498</v>
      </c>
      <c r="AG176" s="10">
        <v>104.88846069803937</v>
      </c>
      <c r="AH176" s="10">
        <v>105.31480791675979</v>
      </c>
      <c r="AI176" s="12">
        <f>VLOOKUP(B176,[7]all!$A$2:$I$247,6,FALSE)</f>
        <v>76.540000000000006</v>
      </c>
      <c r="AJ176" s="12">
        <f>VLOOKUP(B176,[7]all!$A$2:$I$247,7,FALSE)</f>
        <v>76.69</v>
      </c>
      <c r="AK176" s="12">
        <f>VLOOKUP(B176,[7]all!$A$2:$I$247,8,FALSE)</f>
        <v>76.709999999999994</v>
      </c>
      <c r="AL176" s="12"/>
    </row>
    <row r="177" spans="1:38" ht="21.4" x14ac:dyDescent="1.1000000000000001">
      <c r="A177" s="10" t="s">
        <v>349</v>
      </c>
      <c r="B177" s="11" t="s">
        <v>350</v>
      </c>
      <c r="C177" s="10" t="str">
        <f>VLOOKUP(B177,'[1]who-regions'!$B$1:$D$206,3,FALSE)</f>
        <v>WPR</v>
      </c>
      <c r="D177" s="12" t="str">
        <f>VLOOKUP(B177,'[2]Metadata - Countries'!$A$1:$B$266,2,FALSE)</f>
        <v>East Asia &amp; Pacific</v>
      </c>
      <c r="E177" s="12" t="str">
        <f>VLOOKUP(B177,'[2]Metadata - Countries'!$A$1:$C$266,3,FALSE)</f>
        <v>Lower middle income</v>
      </c>
      <c r="F177" s="12"/>
      <c r="G177" s="10">
        <v>0</v>
      </c>
      <c r="H177" s="12">
        <f>VLOOKUP(B177,[4]tas!$A$2:$H$247,5,FALSE)</f>
        <v>26.69</v>
      </c>
      <c r="I177" s="12">
        <f>VLOOKUP(B177,[4]tas!$A$2:$H$247,6,FALSE)</f>
        <v>26.73</v>
      </c>
      <c r="J177" s="12">
        <f>VLOOKUP(B177,[4]tas!$A$2:$H$247,7,FALSE)</f>
        <v>26.73</v>
      </c>
      <c r="K177" s="10">
        <v>1566360686.1063213</v>
      </c>
      <c r="L177" s="10">
        <v>1660896530.7189443</v>
      </c>
      <c r="M177" s="10">
        <v>1760767447.1746111</v>
      </c>
      <c r="N177" s="10">
        <f>VLOOKUP(B177,[2]Data!$B$1:$G$267,4,FALSE)</f>
        <v>1877.7810449095555</v>
      </c>
      <c r="O177" s="10">
        <f>VLOOKUP(B177,[2]Data!$B$1:$G$267,5,FALSE)</f>
        <v>1882.6439414804188</v>
      </c>
      <c r="P177" s="10">
        <f>VLOOKUP(B177,[2]Data!$B$1:$G$267,6,FALSE)</f>
        <v>1933.55538435227</v>
      </c>
      <c r="Q177" s="12">
        <f>VLOOKUP(B177,[5]Sheet1!$B$421:$K$628,10,FALSE)</f>
        <v>0</v>
      </c>
      <c r="R177" s="12">
        <f>VLOOKUP(B177,[5]Sheet1!$B$213:$K$420,10,FALSE)</f>
        <v>0</v>
      </c>
      <c r="S177" s="12">
        <f>VLOOKUP(B177,[5]Sheet1!$B$2:$K$207,10,FALSE)</f>
        <v>0</v>
      </c>
      <c r="T177" s="12">
        <f>VLOOKUP(B177,[6]Sheet1!$B$421:$K$628,10,FALSE)</f>
        <v>0</v>
      </c>
      <c r="U177" s="12">
        <f>VLOOKUP(B177,[6]Sheet1!$B$213:$K$420,10,FALSE)</f>
        <v>0</v>
      </c>
      <c r="V177" s="12">
        <f>VLOOKUP(B177,[6]Sheet1!$B$2:$K$212,10,FALSE)</f>
        <v>0</v>
      </c>
      <c r="W177" s="13">
        <v>0</v>
      </c>
      <c r="X177" s="13">
        <v>0</v>
      </c>
      <c r="Y177" s="13">
        <v>0</v>
      </c>
      <c r="Z177" s="10">
        <v>13.9542830081778</v>
      </c>
      <c r="AA177" s="10">
        <v>37.742905209034802</v>
      </c>
      <c r="AB177" s="10">
        <v>37.363055628992498</v>
      </c>
      <c r="AC177" s="10">
        <v>36.970366138589199</v>
      </c>
      <c r="AD177" s="10">
        <v>3.6286946301592899</v>
      </c>
      <c r="AE177" s="10">
        <v>3.62653756755422</v>
      </c>
      <c r="AF177" s="10">
        <v>3.63880282910847</v>
      </c>
      <c r="AG177" s="10">
        <v>27.905180421579136</v>
      </c>
      <c r="AH177" s="10">
        <v>28.581814933904965</v>
      </c>
      <c r="AI177" s="12">
        <f>VLOOKUP(B177,[7]all!$A$2:$I$247,6,FALSE)</f>
        <v>84.57</v>
      </c>
      <c r="AJ177" s="12">
        <f>VLOOKUP(B177,[7]all!$A$2:$I$247,7,FALSE)</f>
        <v>84.63</v>
      </c>
      <c r="AK177" s="12">
        <f>VLOOKUP(B177,[7]all!$A$2:$I$247,8,FALSE)</f>
        <v>84.63</v>
      </c>
      <c r="AL177" s="12"/>
    </row>
    <row r="178" spans="1:38" ht="21.4" x14ac:dyDescent="1.1000000000000001">
      <c r="A178" s="10" t="s">
        <v>351</v>
      </c>
      <c r="B178" s="11" t="s">
        <v>352</v>
      </c>
      <c r="C178" s="10" t="str">
        <f>VLOOKUP(B178,'[1]who-regions'!$B$1:$D$206,3,FALSE)</f>
        <v>EMR</v>
      </c>
      <c r="D178" s="12" t="str">
        <f>VLOOKUP(B178,'[2]Metadata - Countries'!$A$1:$B$266,2,FALSE)</f>
        <v>Sub-Saharan Africa</v>
      </c>
      <c r="E178" s="12" t="str">
        <f>VLOOKUP(B178,'[2]Metadata - Countries'!$A$1:$C$266,3,FALSE)</f>
        <v>Low income</v>
      </c>
      <c r="F178" s="12"/>
      <c r="G178" s="10">
        <v>40.575803115891901</v>
      </c>
      <c r="H178" s="12">
        <f>VLOOKUP(B178,[4]tas!$A$2:$H$247,5,FALSE)</f>
        <v>27.45</v>
      </c>
      <c r="I178" s="12">
        <f>VLOOKUP(B178,[4]tas!$A$2:$H$247,6,FALSE)</f>
        <v>27.54</v>
      </c>
      <c r="J178" s="12">
        <f>VLOOKUP(B178,[4]tas!$A$2:$H$247,7,FALSE)</f>
        <v>27.55</v>
      </c>
      <c r="K178" s="10">
        <v>10202767269.999239</v>
      </c>
      <c r="L178" s="10">
        <v>10968517089.99824</v>
      </c>
      <c r="M178" s="10">
        <v>12108515109.999598</v>
      </c>
      <c r="N178" s="10">
        <f>VLOOKUP(B178,[2]Data!$B$1:$G$267,4,FALSE)</f>
        <v>573.14116579822928</v>
      </c>
      <c r="O178" s="10">
        <f>VLOOKUP(B178,[2]Data!$B$1:$G$267,5,FALSE)</f>
        <v>596.88598513558895</v>
      </c>
      <c r="P178" s="10">
        <f>VLOOKUP(B178,[2]Data!$B$1:$G$267,6,FALSE)</f>
        <v>629.53889944900743</v>
      </c>
      <c r="Q178" s="12">
        <f>VLOOKUP(B178,[5]Sheet1!$B$421:$K$628,10,FALSE)</f>
        <v>0</v>
      </c>
      <c r="R178" s="12">
        <f>VLOOKUP(B178,[5]Sheet1!$B$213:$K$420,10,FALSE)</f>
        <v>0</v>
      </c>
      <c r="S178" s="12">
        <f>VLOOKUP(B178,[5]Sheet1!$B$2:$K$207,10,FALSE)</f>
        <v>0</v>
      </c>
      <c r="T178" s="12">
        <f>VLOOKUP(B178,[6]Sheet1!$B$421:$K$628,10,FALSE)</f>
        <v>0</v>
      </c>
      <c r="U178" s="12">
        <f>VLOOKUP(B178,[6]Sheet1!$B$213:$K$420,10,FALSE)</f>
        <v>0</v>
      </c>
      <c r="V178" s="12">
        <f>VLOOKUP(B178,[6]Sheet1!$B$2:$K$212,10,FALSE)</f>
        <v>0</v>
      </c>
      <c r="W178" s="13">
        <v>0</v>
      </c>
      <c r="X178" s="13">
        <v>0</v>
      </c>
      <c r="Y178" s="13">
        <v>0</v>
      </c>
      <c r="Z178" s="10">
        <v>24.525108218562</v>
      </c>
      <c r="AA178" s="10">
        <v>46.821448298459401</v>
      </c>
      <c r="AB178" s="10">
        <v>46.678711874506902</v>
      </c>
      <c r="AC178" s="10">
        <v>46.5932329118749</v>
      </c>
      <c r="AD178" s="10">
        <v>2.5418133808998</v>
      </c>
      <c r="AE178" s="10">
        <v>2.5645670983350302</v>
      </c>
      <c r="AF178" s="10">
        <v>2.591583390547</v>
      </c>
      <c r="AG178" s="10">
        <v>28.376792488921478</v>
      </c>
      <c r="AH178" s="10">
        <v>29.264218764944051</v>
      </c>
      <c r="AI178" s="12">
        <f>VLOOKUP(B178,[7]all!$A$2:$I$247,6,FALSE)</f>
        <v>57.71</v>
      </c>
      <c r="AJ178" s="12">
        <f>VLOOKUP(B178,[7]all!$A$2:$I$247,7,FALSE)</f>
        <v>57.63</v>
      </c>
      <c r="AK178" s="12">
        <f>VLOOKUP(B178,[7]all!$A$2:$I$247,8,FALSE)</f>
        <v>57.35</v>
      </c>
      <c r="AL178" s="12"/>
    </row>
    <row r="179" spans="1:38" ht="21.4" x14ac:dyDescent="1.1000000000000001">
      <c r="A179" s="10" t="s">
        <v>353</v>
      </c>
      <c r="B179" s="11" t="s">
        <v>354</v>
      </c>
      <c r="C179" s="10" t="str">
        <f>VLOOKUP(B179,'[1]who-regions'!$B$1:$D$206,3,FALSE)</f>
        <v>AFR</v>
      </c>
      <c r="D179" s="12" t="str">
        <f>VLOOKUP(B179,'[2]Metadata - Countries'!$A$1:$B$266,2,FALSE)</f>
        <v>Sub-Saharan Africa</v>
      </c>
      <c r="E179" s="12" t="str">
        <f>VLOOKUP(B179,'[2]Metadata - Countries'!$A$1:$C$266,3,FALSE)</f>
        <v>Upper middle income</v>
      </c>
      <c r="F179" s="12"/>
      <c r="G179" s="10">
        <v>77.634245978246199</v>
      </c>
      <c r="H179" s="12">
        <f>VLOOKUP(B179,[4]tas!$A$2:$H$247,5,FALSE)</f>
        <v>18.84</v>
      </c>
      <c r="I179" s="12">
        <f>VLOOKUP(B179,[4]tas!$A$2:$H$247,6,FALSE)</f>
        <v>18.899999999999999</v>
      </c>
      <c r="J179" s="12">
        <f>VLOOKUP(B179,[4]tas!$A$2:$H$247,7,FALSE)</f>
        <v>18.91</v>
      </c>
      <c r="K179" s="10">
        <v>406920004594.0741</v>
      </c>
      <c r="L179" s="10">
        <v>380699271816.3949</v>
      </c>
      <c r="M179" s="10">
        <v>400260724226.06696</v>
      </c>
      <c r="N179" s="10">
        <f>VLOOKUP(B179,[2]Data!$B$1:$G$267,4,FALSE)</f>
        <v>6534.2486778339689</v>
      </c>
      <c r="O179" s="10">
        <f>VLOOKUP(B179,[2]Data!$B$1:$G$267,5,FALSE)</f>
        <v>6034.2720896467317</v>
      </c>
      <c r="P179" s="10">
        <f>VLOOKUP(B179,[2]Data!$B$1:$G$267,6,FALSE)</f>
        <v>6267.1868140930046</v>
      </c>
      <c r="Q179" s="12">
        <f>VLOOKUP(B179,[5]Sheet1!$B$421:$K$628,10,FALSE)</f>
        <v>0</v>
      </c>
      <c r="R179" s="12">
        <f>VLOOKUP(B179,[5]Sheet1!$B$213:$K$420,10,FALSE)</f>
        <v>0</v>
      </c>
      <c r="S179" s="12">
        <f>VLOOKUP(B179,[5]Sheet1!$B$2:$K$207,10,FALSE)</f>
        <v>0</v>
      </c>
      <c r="T179" s="12">
        <f>VLOOKUP(B179,[6]Sheet1!$B$421:$K$628,10,FALSE)</f>
        <v>0</v>
      </c>
      <c r="U179" s="12">
        <f>VLOOKUP(B179,[6]Sheet1!$B$213:$K$420,10,FALSE)</f>
        <v>0</v>
      </c>
      <c r="V179" s="12">
        <f>VLOOKUP(B179,[6]Sheet1!$B$2:$K$212,10,FALSE)</f>
        <v>0</v>
      </c>
      <c r="W179" s="13">
        <v>95.376678466796903</v>
      </c>
      <c r="X179" s="13">
        <v>0</v>
      </c>
      <c r="Y179" s="13">
        <v>0</v>
      </c>
      <c r="Z179" s="10">
        <v>23.753069242361001</v>
      </c>
      <c r="AA179" s="10">
        <v>26.3211830824158</v>
      </c>
      <c r="AB179" s="10">
        <v>26.084898380710499</v>
      </c>
      <c r="AC179" s="10">
        <v>25.883759161949701</v>
      </c>
      <c r="AD179" s="10">
        <v>6.3616265627802999</v>
      </c>
      <c r="AE179" s="10">
        <v>6.5150936762256402</v>
      </c>
      <c r="AF179" s="10">
        <v>6.6905479433938204</v>
      </c>
      <c r="AG179" s="10">
        <v>51.42108994386237</v>
      </c>
      <c r="AH179" s="10">
        <v>52.108569026205807</v>
      </c>
      <c r="AI179" s="12">
        <f>VLOOKUP(B179,[7]all!$A$2:$I$247,6,FALSE)</f>
        <v>52.59</v>
      </c>
      <c r="AJ179" s="12">
        <f>VLOOKUP(B179,[7]all!$A$2:$I$247,7,FALSE)</f>
        <v>52.34</v>
      </c>
      <c r="AK179" s="12">
        <f>VLOOKUP(B179,[7]all!$A$2:$I$247,8,FALSE)</f>
        <v>52.92</v>
      </c>
      <c r="AL179" s="15">
        <v>210365</v>
      </c>
    </row>
    <row r="180" spans="1:38" ht="21.4" x14ac:dyDescent="1.1000000000000001">
      <c r="A180" s="10" t="s">
        <v>355</v>
      </c>
      <c r="B180" s="11" t="s">
        <v>356</v>
      </c>
      <c r="C180" s="10" t="str">
        <f>VLOOKUP(B180,'[1]who-regions'!$B$1:$D$206,3,FALSE)</f>
        <v>AFR</v>
      </c>
      <c r="D180" s="12" t="str">
        <f>VLOOKUP(B180,'[2]Metadata - Countries'!$A$1:$B$266,2,FALSE)</f>
        <v>Sub-Saharan Africa</v>
      </c>
      <c r="E180" s="12" t="str">
        <f>VLOOKUP(B180,'[2]Metadata - Countries'!$A$1:$C$266,3,FALSE)</f>
        <v>Low income</v>
      </c>
      <c r="F180" s="12"/>
      <c r="G180" s="10">
        <v>16.0551793971587</v>
      </c>
      <c r="H180" s="12">
        <f>VLOOKUP(B180,[4]tas!$A$2:$H$247,5,FALSE)</f>
        <v>28.15</v>
      </c>
      <c r="I180" s="12">
        <f>VLOOKUP(B180,[4]tas!$A$2:$H$247,6,FALSE)</f>
        <v>28.24</v>
      </c>
      <c r="J180" s="12">
        <f>VLOOKUP(B180,[4]tas!$A$2:$H$247,7,FALSE)</f>
        <v>28.38</v>
      </c>
      <c r="K180" s="10">
        <v>0</v>
      </c>
      <c r="L180" s="10">
        <v>0</v>
      </c>
      <c r="M180" s="10">
        <v>0</v>
      </c>
      <c r="N180" s="10">
        <f>VLOOKUP(B180,[2]Data!$B$1:$G$267,4,FALSE)</f>
        <v>0</v>
      </c>
      <c r="O180" s="10">
        <f>VLOOKUP(B180,[2]Data!$B$1:$G$267,5,FALSE)</f>
        <v>0</v>
      </c>
      <c r="P180" s="10">
        <f>VLOOKUP(B180,[2]Data!$B$1:$G$267,6,FALSE)</f>
        <v>0</v>
      </c>
      <c r="Q180" s="12">
        <f>VLOOKUP(B180,[5]Sheet1!$B$421:$K$628,10,FALSE)</f>
        <v>0</v>
      </c>
      <c r="R180" s="12">
        <f>VLOOKUP(B180,[5]Sheet1!$B$213:$K$420,10,FALSE)</f>
        <v>0</v>
      </c>
      <c r="S180" s="12">
        <f>VLOOKUP(B180,[5]Sheet1!$B$2:$K$207,10,FALSE)</f>
        <v>0</v>
      </c>
      <c r="T180" s="12">
        <f>VLOOKUP(B180,[6]Sheet1!$B$421:$K$628,10,FALSE)</f>
        <v>0</v>
      </c>
      <c r="U180" s="12">
        <f>VLOOKUP(B180,[6]Sheet1!$B$213:$K$420,10,FALSE)</f>
        <v>0</v>
      </c>
      <c r="V180" s="12">
        <f>VLOOKUP(B180,[6]Sheet1!$B$2:$K$212,10,FALSE)</f>
        <v>0</v>
      </c>
      <c r="W180" s="13">
        <v>0</v>
      </c>
      <c r="X180" s="13">
        <v>0</v>
      </c>
      <c r="Y180" s="13">
        <v>0</v>
      </c>
      <c r="Z180" s="10">
        <v>30.737347861347601</v>
      </c>
      <c r="AA180" s="10">
        <v>40.854105652504003</v>
      </c>
      <c r="AB180" s="10">
        <v>39.851536665095097</v>
      </c>
      <c r="AC180" s="10">
        <v>38.917470670119002</v>
      </c>
      <c r="AD180" s="10">
        <v>2.8357904588688498</v>
      </c>
      <c r="AE180" s="10">
        <v>2.91238881534295</v>
      </c>
      <c r="AF180" s="10">
        <v>2.9916752826464901</v>
      </c>
      <c r="AG180" s="10">
        <v>17.440502903802635</v>
      </c>
      <c r="AH180" s="10">
        <v>18.171908280980489</v>
      </c>
      <c r="AI180" s="12">
        <f>VLOOKUP(B180,[7]all!$A$2:$I$247,6,FALSE)</f>
        <v>58.47</v>
      </c>
      <c r="AJ180" s="12">
        <f>VLOOKUP(B180,[7]all!$A$2:$I$247,7,FALSE)</f>
        <v>57.78</v>
      </c>
      <c r="AK180" s="12">
        <f>VLOOKUP(B180,[7]all!$A$2:$I$247,8,FALSE)</f>
        <v>57.65</v>
      </c>
      <c r="AL180" s="12"/>
    </row>
    <row r="181" spans="1:38" ht="21.4" x14ac:dyDescent="1.1000000000000001">
      <c r="A181" s="10" t="s">
        <v>357</v>
      </c>
      <c r="B181" s="11" t="s">
        <v>358</v>
      </c>
      <c r="C181" s="10" t="str">
        <f>VLOOKUP(B181,'[1]who-regions'!$B$1:$D$206,3,FALSE)</f>
        <v>EUR</v>
      </c>
      <c r="D181" s="12" t="str">
        <f>VLOOKUP(B181,'[2]Metadata - Countries'!$A$1:$B$266,2,FALSE)</f>
        <v>Europe &amp; Central Asia</v>
      </c>
      <c r="E181" s="12" t="str">
        <f>VLOOKUP(B181,'[2]Metadata - Countries'!$A$1:$C$266,3,FALSE)</f>
        <v>High income</v>
      </c>
      <c r="F181" s="12"/>
      <c r="G181" s="10">
        <v>99.918616417853897</v>
      </c>
      <c r="H181" s="12">
        <f>VLOOKUP(B181,[4]tas!$A$2:$H$247,5,FALSE)</f>
        <v>14.78</v>
      </c>
      <c r="I181" s="12">
        <f>VLOOKUP(B181,[4]tas!$A$2:$H$247,6,FALSE)</f>
        <v>14.75</v>
      </c>
      <c r="J181" s="12">
        <f>VLOOKUP(B181,[4]tas!$A$2:$H$247,7,FALSE)</f>
        <v>14.78</v>
      </c>
      <c r="K181" s="10">
        <v>1446498147749.033</v>
      </c>
      <c r="L181" s="10">
        <v>1620090734956.8914</v>
      </c>
      <c r="M181" s="10">
        <v>1722745978335.156</v>
      </c>
      <c r="N181" s="10">
        <f>VLOOKUP(B181,[2]Data!$B$1:$G$267,4,FALSE)</f>
        <v>30319.498719661635</v>
      </c>
      <c r="O181" s="10">
        <f>VLOOKUP(B181,[2]Data!$B$1:$G$267,5,FALSE)</f>
        <v>33493.222540911127</v>
      </c>
      <c r="P181" s="10">
        <f>VLOOKUP(B181,[2]Data!$B$1:$G$267,6,FALSE)</f>
        <v>35326.768306927806</v>
      </c>
      <c r="Q181" s="12">
        <f>VLOOKUP(B181,[5]Sheet1!$B$421:$K$628,10,FALSE)</f>
        <v>0</v>
      </c>
      <c r="R181" s="12">
        <f>VLOOKUP(B181,[5]Sheet1!$B$213:$K$420,10,FALSE)</f>
        <v>0</v>
      </c>
      <c r="S181" s="12">
        <f>VLOOKUP(B181,[5]Sheet1!$B$2:$K$207,10,FALSE)</f>
        <v>0</v>
      </c>
      <c r="T181" s="12">
        <f>VLOOKUP(B181,[6]Sheet1!$B$421:$K$628,10,FALSE)</f>
        <v>64.599999999999994</v>
      </c>
      <c r="U181" s="12">
        <f>VLOOKUP(B181,[6]Sheet1!$B$213:$K$420,10,FALSE)</f>
        <v>68.45</v>
      </c>
      <c r="V181" s="12">
        <f>VLOOKUP(B181,[6]Sheet1!$B$2:$K$212,10,FALSE)</f>
        <v>68.45</v>
      </c>
      <c r="W181" s="13">
        <v>0</v>
      </c>
      <c r="X181" s="13">
        <v>0</v>
      </c>
      <c r="Y181" s="13">
        <v>0</v>
      </c>
      <c r="Z181" s="10">
        <v>9.5810546069067506</v>
      </c>
      <c r="AA181" s="10">
        <v>13.595910336294599</v>
      </c>
      <c r="AB181" s="10">
        <v>13.258650761033699</v>
      </c>
      <c r="AC181" s="10">
        <v>12.921744869574701</v>
      </c>
      <c r="AD181" s="10">
        <v>20.1879992491906</v>
      </c>
      <c r="AE181" s="10">
        <v>20.653707523877401</v>
      </c>
      <c r="AF181" s="10">
        <v>21.1454438932121</v>
      </c>
      <c r="AG181" s="10">
        <v>95.626963633200987</v>
      </c>
      <c r="AH181" s="10">
        <v>96.754375748202804</v>
      </c>
      <c r="AI181" s="12">
        <f>VLOOKUP(B181,[7]all!$A$2:$I$247,6,FALSE)</f>
        <v>66.08</v>
      </c>
      <c r="AJ181" s="12">
        <f>VLOOKUP(B181,[7]all!$A$2:$I$247,7,FALSE)</f>
        <v>66.55</v>
      </c>
      <c r="AK181" s="12">
        <f>VLOOKUP(B181,[7]all!$A$2:$I$247,8,FALSE)</f>
        <v>66.12</v>
      </c>
      <c r="AL181" s="15">
        <v>353920</v>
      </c>
    </row>
    <row r="182" spans="1:38" ht="21.4" x14ac:dyDescent="1.1000000000000001">
      <c r="A182" s="10" t="s">
        <v>359</v>
      </c>
      <c r="B182" s="11" t="s">
        <v>360</v>
      </c>
      <c r="C182" s="10" t="str">
        <f>VLOOKUP(B182,'[1]who-regions'!$B$1:$D$206,3,FALSE)</f>
        <v>SEAR</v>
      </c>
      <c r="D182" s="12" t="str">
        <f>VLOOKUP(B182,'[2]Metadata - Countries'!$A$1:$B$266,2,FALSE)</f>
        <v>South Asia</v>
      </c>
      <c r="E182" s="12" t="str">
        <f>VLOOKUP(B182,'[2]Metadata - Countries'!$A$1:$C$266,3,FALSE)</f>
        <v>Lower middle income</v>
      </c>
      <c r="F182" s="12"/>
      <c r="G182" s="10">
        <v>95.086360775655095</v>
      </c>
      <c r="H182" s="12">
        <f>VLOOKUP(B182,[4]tas!$A$2:$H$247,5,FALSE)</f>
        <v>27.3</v>
      </c>
      <c r="I182" s="12">
        <f>VLOOKUP(B182,[4]tas!$A$2:$H$247,6,FALSE)</f>
        <v>27.32</v>
      </c>
      <c r="J182" s="12">
        <f>VLOOKUP(B182,[4]tas!$A$2:$H$247,7,FALSE)</f>
        <v>27.37</v>
      </c>
      <c r="K182" s="10">
        <v>74143020262.807648</v>
      </c>
      <c r="L182" s="10">
        <v>83716142582.194534</v>
      </c>
      <c r="M182" s="10">
        <v>98963185509.649948</v>
      </c>
      <c r="N182" s="10">
        <f>VLOOKUP(B182,[2]Data!$B$1:$G$267,4,FALSE)</f>
        <v>3342.636502538553</v>
      </c>
      <c r="O182" s="10">
        <f>VLOOKUP(B182,[2]Data!$B$1:$G$267,5,FALSE)</f>
        <v>3798.8901657301144</v>
      </c>
      <c r="P182" s="10">
        <f>VLOOKUP(B182,[2]Data!$B$1:$G$267,6,FALSE)</f>
        <v>4515.56787322732</v>
      </c>
      <c r="Q182" s="12">
        <f>VLOOKUP(B182,[5]Sheet1!$B$421:$K$628,10,FALSE)</f>
        <v>0</v>
      </c>
      <c r="R182" s="12">
        <f>VLOOKUP(B182,[5]Sheet1!$B$213:$K$420,10,FALSE)</f>
        <v>0</v>
      </c>
      <c r="S182" s="12">
        <f>VLOOKUP(B182,[5]Sheet1!$B$2:$K$207,10,FALSE)</f>
        <v>0</v>
      </c>
      <c r="T182" s="12">
        <f>VLOOKUP(B182,[6]Sheet1!$B$421:$K$628,10,FALSE)</f>
        <v>0</v>
      </c>
      <c r="U182" s="12">
        <f>VLOOKUP(B182,[6]Sheet1!$B$213:$K$420,10,FALSE)</f>
        <v>0</v>
      </c>
      <c r="V182" s="12">
        <f>VLOOKUP(B182,[6]Sheet1!$B$2:$K$212,10,FALSE)</f>
        <v>0</v>
      </c>
      <c r="W182" s="13">
        <v>97.916519165039105</v>
      </c>
      <c r="X182" s="13">
        <v>0</v>
      </c>
      <c r="Y182" s="13">
        <v>0</v>
      </c>
      <c r="Z182" s="10">
        <v>19.964440863560799</v>
      </c>
      <c r="AA182" s="10">
        <v>22.690304101626602</v>
      </c>
      <c r="AB182" s="10">
        <v>22.361273044035201</v>
      </c>
      <c r="AC182" s="10">
        <v>22.030286711818899</v>
      </c>
      <c r="AD182" s="10">
        <v>11.3824347880542</v>
      </c>
      <c r="AE182" s="10">
        <v>11.738709991551801</v>
      </c>
      <c r="AF182" s="10">
        <v>12.103939632345501</v>
      </c>
      <c r="AG182" s="10">
        <v>358.56773359198189</v>
      </c>
      <c r="AH182" s="10">
        <v>356.2398965405755</v>
      </c>
      <c r="AI182" s="12">
        <f>VLOOKUP(B182,[7]all!$A$2:$I$247,6,FALSE)</f>
        <v>76.37</v>
      </c>
      <c r="AJ182" s="12">
        <f>VLOOKUP(B182,[7]all!$A$2:$I$247,7,FALSE)</f>
        <v>76.400000000000006</v>
      </c>
      <c r="AK182" s="12">
        <f>VLOOKUP(B182,[7]all!$A$2:$I$247,8,FALSE)</f>
        <v>76.489999999999995</v>
      </c>
      <c r="AL182" s="12"/>
    </row>
    <row r="183" spans="1:38" ht="21.4" x14ac:dyDescent="1.1000000000000001">
      <c r="A183" s="10" t="s">
        <v>361</v>
      </c>
      <c r="B183" s="11" t="s">
        <v>362</v>
      </c>
      <c r="C183" s="10" t="str">
        <f>VLOOKUP(B183,'[1]who-regions'!$B$1:$D$206,3,FALSE)</f>
        <v>AMR</v>
      </c>
      <c r="D183" s="12" t="str">
        <f>VLOOKUP(B183,'[2]Metadata - Countries'!$A$1:$B$266,2,FALSE)</f>
        <v>Latin America &amp; Caribbean</v>
      </c>
      <c r="E183" s="12" t="str">
        <f>VLOOKUP(B183,'[2]Metadata - Countries'!$A$1:$C$266,3,FALSE)</f>
        <v>High income</v>
      </c>
      <c r="F183" s="12"/>
      <c r="G183" s="10">
        <v>0</v>
      </c>
      <c r="H183" s="12">
        <f>VLOOKUP(B183,[4]tas!$A$2:$H$247,5,FALSE)</f>
        <v>26.51</v>
      </c>
      <c r="I183" s="12">
        <f>VLOOKUP(B183,[4]tas!$A$2:$H$247,6,FALSE)</f>
        <v>26.55</v>
      </c>
      <c r="J183" s="12">
        <f>VLOOKUP(B183,[4]tas!$A$2:$H$247,7,FALSE)</f>
        <v>26.59</v>
      </c>
      <c r="K183" s="10">
        <v>980188888.88888884</v>
      </c>
      <c r="L183" s="10">
        <v>1056751851.8518518</v>
      </c>
      <c r="M183" s="10">
        <v>1066681481.4814814</v>
      </c>
      <c r="N183" s="10">
        <f>VLOOKUP(B183,[2]Data!$B$1:$G$267,4,FALSE)</f>
        <v>21011.5744209816</v>
      </c>
      <c r="O183" s="10">
        <f>VLOOKUP(B183,[2]Data!$B$1:$G$267,5,FALSE)</f>
        <v>22576.924843916589</v>
      </c>
      <c r="P183" s="10">
        <f>VLOOKUP(B183,[2]Data!$B$1:$G$267,6,FALSE)</f>
        <v>23960.653435708406</v>
      </c>
      <c r="Q183" s="12">
        <f>VLOOKUP(B183,[5]Sheet1!$B$421:$K$628,10,FALSE)</f>
        <v>0</v>
      </c>
      <c r="R183" s="12">
        <f>VLOOKUP(B183,[5]Sheet1!$B$213:$K$420,10,FALSE)</f>
        <v>0</v>
      </c>
      <c r="S183" s="12">
        <f>VLOOKUP(B183,[5]Sheet1!$B$2:$K$207,10,FALSE)</f>
        <v>0</v>
      </c>
      <c r="T183" s="12">
        <f>VLOOKUP(B183,[6]Sheet1!$B$421:$K$628,10,FALSE)</f>
        <v>0</v>
      </c>
      <c r="U183" s="12">
        <f>VLOOKUP(B183,[6]Sheet1!$B$213:$K$420,10,FALSE)</f>
        <v>0</v>
      </c>
      <c r="V183" s="12">
        <f>VLOOKUP(B183,[6]Sheet1!$B$2:$K$212,10,FALSE)</f>
        <v>0</v>
      </c>
      <c r="W183" s="13">
        <v>0</v>
      </c>
      <c r="X183" s="13">
        <v>0</v>
      </c>
      <c r="Y183" s="13">
        <v>0</v>
      </c>
      <c r="Z183" s="10">
        <v>8.5943079884612992</v>
      </c>
      <c r="AA183" s="10">
        <v>18.579732174397101</v>
      </c>
      <c r="AB183" s="10">
        <v>18.334830403353401</v>
      </c>
      <c r="AC183" s="10">
        <v>18.189484021091701</v>
      </c>
      <c r="AD183" s="10">
        <v>10.235605176677099</v>
      </c>
      <c r="AE183" s="10">
        <v>10.696565293639599</v>
      </c>
      <c r="AF183" s="10">
        <v>11.2257968106227</v>
      </c>
      <c r="AG183" s="10">
        <v>179.65</v>
      </c>
      <c r="AH183" s="10">
        <v>179.83846153846153</v>
      </c>
      <c r="AI183" s="12">
        <f>VLOOKUP(B183,[7]all!$A$2:$I$247,6,FALSE)</f>
        <v>80.400000000000006</v>
      </c>
      <c r="AJ183" s="12">
        <f>VLOOKUP(B183,[7]all!$A$2:$I$247,7,FALSE)</f>
        <v>80.45</v>
      </c>
      <c r="AK183" s="12">
        <f>VLOOKUP(B183,[7]all!$A$2:$I$247,8,FALSE)</f>
        <v>80.34</v>
      </c>
      <c r="AL183" s="12"/>
    </row>
    <row r="184" spans="1:38" ht="21.4" x14ac:dyDescent="1.1000000000000001">
      <c r="A184" s="10" t="s">
        <v>363</v>
      </c>
      <c r="B184" s="11" t="s">
        <v>364</v>
      </c>
      <c r="C184" s="10" t="str">
        <f>VLOOKUP(B184,'[1]who-regions'!$B$1:$D$206,3,FALSE)</f>
        <v>AMR</v>
      </c>
      <c r="D184" s="12" t="str">
        <f>VLOOKUP(B184,'[2]Metadata - Countries'!$A$1:$B$266,2,FALSE)</f>
        <v>Latin America &amp; Caribbean</v>
      </c>
      <c r="E184" s="12" t="str">
        <f>VLOOKUP(B184,'[2]Metadata - Countries'!$A$1:$C$266,3,FALSE)</f>
        <v>Upper middle income</v>
      </c>
      <c r="F184" s="12"/>
      <c r="G184" s="10">
        <v>83.3579887895079</v>
      </c>
      <c r="H184" s="12">
        <f>VLOOKUP(B184,[4]tas!$A$2:$H$247,5,FALSE)</f>
        <v>27.09</v>
      </c>
      <c r="I184" s="12">
        <f>VLOOKUP(B184,[4]tas!$A$2:$H$247,6,FALSE)</f>
        <v>27.12</v>
      </c>
      <c r="J184" s="12">
        <f>VLOOKUP(B184,[4]tas!$A$2:$H$247,7,FALSE)</f>
        <v>27.15</v>
      </c>
      <c r="K184" s="10">
        <v>2342714814.8148146</v>
      </c>
      <c r="L184" s="10">
        <v>2430166666.6666665</v>
      </c>
      <c r="M184" s="10">
        <v>2549062962.9629626</v>
      </c>
      <c r="N184" s="10">
        <f>VLOOKUP(B184,[2]Data!$B$1:$G$267,4,FALSE)</f>
        <v>13103.824314747175</v>
      </c>
      <c r="O184" s="10">
        <f>VLOOKUP(B184,[2]Data!$B$1:$G$267,5,FALSE)</f>
        <v>13554.768478493274</v>
      </c>
      <c r="P184" s="10">
        <f>VLOOKUP(B184,[2]Data!$B$1:$G$267,6,FALSE)</f>
        <v>14181.630335159798</v>
      </c>
      <c r="Q184" s="12">
        <f>VLOOKUP(B184,[5]Sheet1!$B$421:$K$628,10,FALSE)</f>
        <v>0</v>
      </c>
      <c r="R184" s="12">
        <f>VLOOKUP(B184,[5]Sheet1!$B$213:$K$420,10,FALSE)</f>
        <v>0</v>
      </c>
      <c r="S184" s="12">
        <f>VLOOKUP(B184,[5]Sheet1!$B$2:$K$207,10,FALSE)</f>
        <v>0</v>
      </c>
      <c r="T184" s="12">
        <f>VLOOKUP(B184,[6]Sheet1!$B$421:$K$628,10,FALSE)</f>
        <v>0</v>
      </c>
      <c r="U184" s="12">
        <f>VLOOKUP(B184,[6]Sheet1!$B$213:$K$420,10,FALSE)</f>
        <v>0</v>
      </c>
      <c r="V184" s="12">
        <f>VLOOKUP(B184,[6]Sheet1!$B$2:$K$212,10,FALSE)</f>
        <v>0</v>
      </c>
      <c r="W184" s="13">
        <v>59.081600189208999</v>
      </c>
      <c r="X184" s="13">
        <v>0</v>
      </c>
      <c r="Y184" s="13">
        <v>0</v>
      </c>
      <c r="Z184" s="10">
        <v>23.758585550237498</v>
      </c>
      <c r="AA184" s="10">
        <v>18.181462235919899</v>
      </c>
      <c r="AB184" s="10">
        <v>17.870200714506801</v>
      </c>
      <c r="AC184" s="10">
        <v>17.5369345762156</v>
      </c>
      <c r="AD184" s="10">
        <v>9.0031938516956505</v>
      </c>
      <c r="AE184" s="10">
        <v>9.2980709431099697</v>
      </c>
      <c r="AF184" s="10">
        <v>9.6167594377543608</v>
      </c>
      <c r="AG184" s="10">
        <v>293.08360655737704</v>
      </c>
      <c r="AH184" s="10">
        <v>293.90983606557376</v>
      </c>
      <c r="AI184" s="12">
        <f>VLOOKUP(B184,[7]all!$A$2:$I$247,6,FALSE)</f>
        <v>76.040000000000006</v>
      </c>
      <c r="AJ184" s="12">
        <f>VLOOKUP(B184,[7]all!$A$2:$I$247,7,FALSE)</f>
        <v>76.11</v>
      </c>
      <c r="AK184" s="12">
        <f>VLOOKUP(B184,[7]all!$A$2:$I$247,8,FALSE)</f>
        <v>76.06</v>
      </c>
      <c r="AL184" s="12"/>
    </row>
    <row r="185" spans="1:38" ht="21.4" x14ac:dyDescent="1.1000000000000001">
      <c r="A185" s="10" t="s">
        <v>365</v>
      </c>
      <c r="B185" s="11" t="s">
        <v>366</v>
      </c>
      <c r="C185" s="10" t="s">
        <v>487</v>
      </c>
      <c r="D185" s="12" t="str">
        <f>VLOOKUP(B185,'[2]Metadata - Countries'!$A$1:$B$266,2,FALSE)</f>
        <v>Latin America &amp; Caribbean</v>
      </c>
      <c r="E185" s="12" t="str">
        <f>VLOOKUP(B185,'[2]Metadata - Countries'!$A$1:$C$266,3,FALSE)</f>
        <v>High income</v>
      </c>
      <c r="F185" s="12"/>
      <c r="G185" s="10">
        <v>100</v>
      </c>
      <c r="H185" s="12">
        <f>VLOOKUP(B185,[4]tas!$A$2:$H$247,5,FALSE)</f>
        <v>26.55</v>
      </c>
      <c r="I185" s="12">
        <f>VLOOKUP(B185,[4]tas!$A$2:$H$247,6,FALSE)</f>
        <v>26.57</v>
      </c>
      <c r="J185" s="12">
        <f>VLOOKUP(B185,[4]tas!$A$2:$H$247,7,FALSE)</f>
        <v>26.62</v>
      </c>
      <c r="K185" s="10">
        <v>0</v>
      </c>
      <c r="L185" s="10">
        <v>0</v>
      </c>
      <c r="M185" s="10">
        <v>0</v>
      </c>
      <c r="N185" s="10">
        <f>VLOOKUP(B185,[2]Data!$B$1:$G$267,4,FALSE)</f>
        <v>0</v>
      </c>
      <c r="O185" s="10">
        <f>VLOOKUP(B185,[2]Data!$B$1:$G$267,5,FALSE)</f>
        <v>0</v>
      </c>
      <c r="P185" s="10">
        <f>VLOOKUP(B185,[2]Data!$B$1:$G$267,6,FALSE)</f>
        <v>0</v>
      </c>
      <c r="Q185" s="12" t="e">
        <f>VLOOKUP(B185,[5]Sheet1!$B$421:$K$628,10,FALSE)</f>
        <v>#N/A</v>
      </c>
      <c r="R185" s="12" t="e">
        <f>VLOOKUP(B185,[5]Sheet1!$B$213:$K$420,10,FALSE)</f>
        <v>#N/A</v>
      </c>
      <c r="S185" s="12" t="e">
        <f>VLOOKUP(B185,[5]Sheet1!$B$2:$K$207,10,FALSE)</f>
        <v>#N/A</v>
      </c>
      <c r="T185" s="12" t="e">
        <f>VLOOKUP(B185,[6]Sheet1!$B$421:$K$628,10,FALSE)</f>
        <v>#N/A</v>
      </c>
      <c r="U185" s="12" t="e">
        <f>VLOOKUP(B185,[6]Sheet1!$B$213:$K$420,10,FALSE)</f>
        <v>#N/A</v>
      </c>
      <c r="V185" s="12" t="e">
        <f>VLOOKUP(B185,[6]Sheet1!$B$2:$K$212,10,FALSE)</f>
        <v>#N/A</v>
      </c>
      <c r="W185" s="13">
        <v>0</v>
      </c>
      <c r="X185" s="13">
        <v>0</v>
      </c>
      <c r="Y185" s="13">
        <v>0</v>
      </c>
      <c r="Z185" s="10">
        <v>0</v>
      </c>
      <c r="AA185" s="10">
        <v>20.964306125629999</v>
      </c>
      <c r="AB185" s="10">
        <v>21.130676552363301</v>
      </c>
      <c r="AC185" s="10">
        <v>21.336446094377902</v>
      </c>
      <c r="AD185" s="10">
        <v>16.345404478620001</v>
      </c>
      <c r="AE185" s="10">
        <v>17.2036562539752</v>
      </c>
      <c r="AF185" s="10">
        <v>18.406751119445801</v>
      </c>
      <c r="AG185" s="10">
        <v>577.4</v>
      </c>
      <c r="AH185" s="10">
        <v>550.29999999999995</v>
      </c>
      <c r="AI185" s="12">
        <f>VLOOKUP(B185,[7]all!$A$2:$I$247,6,FALSE)</f>
        <v>80.05</v>
      </c>
      <c r="AJ185" s="12">
        <f>VLOOKUP(B185,[7]all!$A$2:$I$247,7,FALSE)</f>
        <v>80.03</v>
      </c>
      <c r="AK185" s="12">
        <f>VLOOKUP(B185,[7]all!$A$2:$I$247,8,FALSE)</f>
        <v>79.98</v>
      </c>
      <c r="AL185" s="12"/>
    </row>
    <row r="186" spans="1:38" ht="21.4" x14ac:dyDescent="1.1000000000000001">
      <c r="A186" s="10" t="s">
        <v>367</v>
      </c>
      <c r="B186" s="11" t="s">
        <v>368</v>
      </c>
      <c r="C186" s="10" t="s">
        <v>487</v>
      </c>
      <c r="D186" s="12" t="str">
        <f>VLOOKUP(B186,'[2]Metadata - Countries'!$A$1:$B$266,2,FALSE)</f>
        <v>Latin America &amp; Caribbean</v>
      </c>
      <c r="E186" s="12" t="str">
        <f>VLOOKUP(B186,'[2]Metadata - Countries'!$A$1:$C$266,3,FALSE)</f>
        <v>Upper middle income</v>
      </c>
      <c r="F186" s="12"/>
      <c r="G186" s="10">
        <v>0</v>
      </c>
      <c r="H186" s="12">
        <f>VLOOKUP(B186,[4]tas!$A$2:$H$247,5,FALSE)</f>
        <v>26.72</v>
      </c>
      <c r="I186" s="12">
        <f>VLOOKUP(B186,[4]tas!$A$2:$H$247,6,FALSE)</f>
        <v>26.75</v>
      </c>
      <c r="J186" s="12">
        <f>VLOOKUP(B186,[4]tas!$A$2:$H$247,7,FALSE)</f>
        <v>26.77</v>
      </c>
      <c r="K186" s="10">
        <v>989188888.88888884</v>
      </c>
      <c r="L186" s="10">
        <v>1072237037.037037</v>
      </c>
      <c r="M186" s="10">
        <v>1157207407.4074073</v>
      </c>
      <c r="N186" s="10">
        <f>VLOOKUP(B186,[2]Data!$B$1:$G$267,4,FALSE)</f>
        <v>9693.5586783302515</v>
      </c>
      <c r="O186" s="10">
        <f>VLOOKUP(B186,[2]Data!$B$1:$G$267,5,FALSE)</f>
        <v>10582.365672522892</v>
      </c>
      <c r="P186" s="10">
        <f>VLOOKUP(B186,[2]Data!$B$1:$G$267,6,FALSE)</f>
        <v>11501.226518718766</v>
      </c>
      <c r="Q186" s="12">
        <f>VLOOKUP(B186,[5]Sheet1!$B$421:$K$628,10,FALSE)</f>
        <v>0</v>
      </c>
      <c r="R186" s="12">
        <f>VLOOKUP(B186,[5]Sheet1!$B$213:$K$420,10,FALSE)</f>
        <v>0</v>
      </c>
      <c r="S186" s="12">
        <f>VLOOKUP(B186,[5]Sheet1!$B$2:$K$207,10,FALSE)</f>
        <v>0</v>
      </c>
      <c r="T186" s="12">
        <f>VLOOKUP(B186,[6]Sheet1!$B$421:$K$628,10,FALSE)</f>
        <v>0</v>
      </c>
      <c r="U186" s="12">
        <f>VLOOKUP(B186,[6]Sheet1!$B$213:$K$420,10,FALSE)</f>
        <v>0</v>
      </c>
      <c r="V186" s="12">
        <f>VLOOKUP(B186,[6]Sheet1!$B$2:$K$212,10,FALSE)</f>
        <v>0</v>
      </c>
      <c r="W186" s="13">
        <v>0</v>
      </c>
      <c r="X186" s="13">
        <v>0</v>
      </c>
      <c r="Y186" s="13">
        <v>0</v>
      </c>
      <c r="Z186" s="10">
        <v>23.926275848185799</v>
      </c>
      <c r="AA186" s="10">
        <v>21.904337259667201</v>
      </c>
      <c r="AB186" s="10">
        <v>21.646722100224501</v>
      </c>
      <c r="AC186" s="10">
        <v>21.2913453128727</v>
      </c>
      <c r="AD186" s="10">
        <v>11.243458832291299</v>
      </c>
      <c r="AE186" s="10">
        <v>11.563078289619799</v>
      </c>
      <c r="AF186" s="10">
        <v>11.8912499006122</v>
      </c>
      <c r="AG186" s="10">
        <v>261.65641025641025</v>
      </c>
      <c r="AH186" s="10">
        <v>259.80256410256408</v>
      </c>
      <c r="AI186" s="12">
        <f>VLOOKUP(B186,[7]all!$A$2:$I$247,6,FALSE)</f>
        <v>81.5</v>
      </c>
      <c r="AJ186" s="12">
        <f>VLOOKUP(B186,[7]all!$A$2:$I$247,7,FALSE)</f>
        <v>81.569999999999993</v>
      </c>
      <c r="AK186" s="12">
        <f>VLOOKUP(B186,[7]all!$A$2:$I$247,8,FALSE)</f>
        <v>81.510000000000005</v>
      </c>
      <c r="AL186" s="12"/>
    </row>
    <row r="187" spans="1:38" ht="21.4" x14ac:dyDescent="1.1000000000000001">
      <c r="A187" s="10" t="s">
        <v>369</v>
      </c>
      <c r="B187" s="11" t="s">
        <v>370</v>
      </c>
      <c r="C187" s="10" t="str">
        <f>VLOOKUP(B187,'[1]who-regions'!$B$1:$D$206,3,FALSE)</f>
        <v>EMR</v>
      </c>
      <c r="D187" s="12" t="str">
        <f>VLOOKUP(B187,'[2]Metadata - Countries'!$A$1:$B$266,2,FALSE)</f>
        <v>Sub-Saharan Africa</v>
      </c>
      <c r="E187" s="12" t="str">
        <f>VLOOKUP(B187,'[2]Metadata - Countries'!$A$1:$C$266,3,FALSE)</f>
        <v>Low income</v>
      </c>
      <c r="F187" s="12"/>
      <c r="G187" s="10">
        <v>0</v>
      </c>
      <c r="H187" s="12">
        <f>VLOOKUP(B187,[4]tas!$A$2:$H$247,5,FALSE)</f>
        <v>27.81</v>
      </c>
      <c r="I187" s="12">
        <f>VLOOKUP(B187,[4]tas!$A$2:$H$247,6,FALSE)</f>
        <v>27.77</v>
      </c>
      <c r="J187" s="12">
        <f>VLOOKUP(B187,[4]tas!$A$2:$H$247,7,FALSE)</f>
        <v>27.93</v>
      </c>
      <c r="K187" s="10">
        <v>51666875363.096298</v>
      </c>
      <c r="L187" s="10">
        <v>39898289820.795052</v>
      </c>
      <c r="M187" s="10">
        <v>49909807029.699585</v>
      </c>
      <c r="N187" s="10">
        <f>VLOOKUP(B187,[2]Data!$B$1:$G$267,4,FALSE)</f>
        <v>1046.24084472656</v>
      </c>
      <c r="O187" s="10">
        <f>VLOOKUP(B187,[2]Data!$B$1:$G$267,5,FALSE)</f>
        <v>797.283447265625</v>
      </c>
      <c r="P187" s="10">
        <f>VLOOKUP(B187,[2]Data!$B$1:$G$267,6,FALSE)</f>
        <v>984.607666015625</v>
      </c>
      <c r="Q187" s="12">
        <f>VLOOKUP(B187,[5]Sheet1!$B$421:$K$628,10,FALSE)</f>
        <v>0</v>
      </c>
      <c r="R187" s="12">
        <f>VLOOKUP(B187,[5]Sheet1!$B$213:$K$420,10,FALSE)</f>
        <v>0</v>
      </c>
      <c r="S187" s="12">
        <f>VLOOKUP(B187,[5]Sheet1!$B$2:$K$207,10,FALSE)</f>
        <v>0</v>
      </c>
      <c r="T187" s="12">
        <f>VLOOKUP(B187,[6]Sheet1!$B$421:$K$628,10,FALSE)</f>
        <v>0</v>
      </c>
      <c r="U187" s="12">
        <f>VLOOKUP(B187,[6]Sheet1!$B$213:$K$420,10,FALSE)</f>
        <v>0</v>
      </c>
      <c r="V187" s="12">
        <f>VLOOKUP(B187,[6]Sheet1!$B$2:$K$212,10,FALSE)</f>
        <v>0</v>
      </c>
      <c r="W187" s="13">
        <v>0</v>
      </c>
      <c r="X187" s="13">
        <v>0</v>
      </c>
      <c r="Y187" s="13">
        <v>0</v>
      </c>
      <c r="Z187" s="10">
        <v>45.834902558121698</v>
      </c>
      <c r="AA187" s="10">
        <v>40.9119122964239</v>
      </c>
      <c r="AB187" s="10">
        <v>40.649431809762902</v>
      </c>
      <c r="AC187" s="10">
        <v>40.471351616002003</v>
      </c>
      <c r="AD187" s="10">
        <v>3.1250110424373698</v>
      </c>
      <c r="AE187" s="10">
        <v>3.2116604288883499</v>
      </c>
      <c r="AF187" s="10">
        <v>3.30171309271226</v>
      </c>
      <c r="AG187" s="10">
        <v>26.436480728051393</v>
      </c>
      <c r="AH187" s="10">
        <v>26.789502676659527</v>
      </c>
      <c r="AI187" s="12">
        <f>VLOOKUP(B187,[7]all!$A$2:$I$247,6,FALSE)</f>
        <v>32.799999999999997</v>
      </c>
      <c r="AJ187" s="12">
        <f>VLOOKUP(B187,[7]all!$A$2:$I$247,7,FALSE)</f>
        <v>32.83</v>
      </c>
      <c r="AK187" s="12">
        <f>VLOOKUP(B187,[7]all!$A$2:$I$247,8,FALSE)</f>
        <v>32.94</v>
      </c>
      <c r="AL187" s="12"/>
    </row>
    <row r="188" spans="1:38" ht="21.4" x14ac:dyDescent="1.1000000000000001">
      <c r="A188" s="10" t="s">
        <v>371</v>
      </c>
      <c r="B188" s="11" t="s">
        <v>372</v>
      </c>
      <c r="C188" s="10" t="str">
        <f>VLOOKUP(B188,'[1]who-regions'!$B$1:$D$206,3,FALSE)</f>
        <v>AMR</v>
      </c>
      <c r="D188" s="12" t="str">
        <f>VLOOKUP(B188,'[2]Metadata - Countries'!$A$1:$B$266,2,FALSE)</f>
        <v>Latin America &amp; Caribbean</v>
      </c>
      <c r="E188" s="12" t="str">
        <f>VLOOKUP(B188,'[2]Metadata - Countries'!$A$1:$C$266,3,FALSE)</f>
        <v>Upper middle income</v>
      </c>
      <c r="F188" s="12"/>
      <c r="G188" s="10">
        <v>89.972342036251604</v>
      </c>
      <c r="H188" s="12">
        <f>VLOOKUP(B188,[4]tas!$A$2:$H$247,5,FALSE)</f>
        <v>27.22</v>
      </c>
      <c r="I188" s="12">
        <f>VLOOKUP(B188,[4]tas!$A$2:$H$247,6,FALSE)</f>
        <v>27.24</v>
      </c>
      <c r="J188" s="12">
        <f>VLOOKUP(B188,[4]tas!$A$2:$H$247,7,FALSE)</f>
        <v>27.22</v>
      </c>
      <c r="K188" s="10">
        <v>3791603200.0259018</v>
      </c>
      <c r="L188" s="10">
        <v>3455146280.8397541</v>
      </c>
      <c r="M188" s="10">
        <v>4714267822.2233009</v>
      </c>
      <c r="N188" s="10">
        <f>VLOOKUP(B188,[2]Data!$B$1:$G$267,4,FALSE)</f>
        <v>6084.4387673644524</v>
      </c>
      <c r="O188" s="10">
        <f>VLOOKUP(B188,[2]Data!$B$1:$G$267,5,FALSE)</f>
        <v>5521.97602122638</v>
      </c>
      <c r="P188" s="10">
        <f>VLOOKUP(B188,[2]Data!$B$1:$G$267,6,FALSE)</f>
        <v>6961.7895596152566</v>
      </c>
      <c r="Q188" s="12">
        <f>VLOOKUP(B188,[5]Sheet1!$B$421:$K$628,10,FALSE)</f>
        <v>0</v>
      </c>
      <c r="R188" s="12">
        <f>VLOOKUP(B188,[5]Sheet1!$B$213:$K$420,10,FALSE)</f>
        <v>0</v>
      </c>
      <c r="S188" s="12">
        <f>VLOOKUP(B188,[5]Sheet1!$B$2:$K$207,10,FALSE)</f>
        <v>0</v>
      </c>
      <c r="T188" s="12">
        <f>VLOOKUP(B188,[6]Sheet1!$B$421:$K$628,10,FALSE)</f>
        <v>0</v>
      </c>
      <c r="U188" s="12">
        <f>VLOOKUP(B188,[6]Sheet1!$B$213:$K$420,10,FALSE)</f>
        <v>0</v>
      </c>
      <c r="V188" s="12">
        <f>VLOOKUP(B188,[6]Sheet1!$B$2:$K$212,10,FALSE)</f>
        <v>0</v>
      </c>
      <c r="W188" s="13">
        <v>0</v>
      </c>
      <c r="X188" s="13">
        <v>0</v>
      </c>
      <c r="Y188" s="13">
        <v>0</v>
      </c>
      <c r="Z188" s="10">
        <v>27.305969842599701</v>
      </c>
      <c r="AA188" s="10">
        <v>26.2550468255548</v>
      </c>
      <c r="AB188" s="10">
        <v>25.9463559373241</v>
      </c>
      <c r="AC188" s="10">
        <v>25.639194806054601</v>
      </c>
      <c r="AD188" s="10">
        <v>7.3556078335719004</v>
      </c>
      <c r="AE188" s="10">
        <v>7.6214926075632201</v>
      </c>
      <c r="AF188" s="10">
        <v>7.8992829795517503</v>
      </c>
      <c r="AG188" s="10">
        <v>3.882457660418718</v>
      </c>
      <c r="AH188" s="10">
        <v>3.9181070604689712</v>
      </c>
      <c r="AI188" s="12">
        <f>VLOOKUP(B188,[7]all!$A$2:$I$247,6,FALSE)</f>
        <v>75.81</v>
      </c>
      <c r="AJ188" s="12">
        <f>VLOOKUP(B188,[7]all!$A$2:$I$247,7,FALSE)</f>
        <v>75.87</v>
      </c>
      <c r="AK188" s="12">
        <f>VLOOKUP(B188,[7]all!$A$2:$I$247,8,FALSE)</f>
        <v>75.87</v>
      </c>
      <c r="AL188" s="12"/>
    </row>
    <row r="189" spans="1:38" ht="21.4" x14ac:dyDescent="1.1000000000000001">
      <c r="A189" s="10" t="s">
        <v>373</v>
      </c>
      <c r="B189" s="11" t="s">
        <v>374</v>
      </c>
      <c r="C189" s="10" t="str">
        <f>VLOOKUP(B189,'[1]who-regions'!$B$1:$D$206,3,FALSE)</f>
        <v>EUR</v>
      </c>
      <c r="D189" s="12" t="str">
        <f>VLOOKUP(B189,'[2]Metadata - Countries'!$A$1:$B$266,2,FALSE)</f>
        <v>Europe &amp; Central Asia</v>
      </c>
      <c r="E189" s="12" t="str">
        <f>VLOOKUP(B189,'[2]Metadata - Countries'!$A$1:$C$266,3,FALSE)</f>
        <v>High income</v>
      </c>
      <c r="F189" s="12"/>
      <c r="G189" s="10">
        <v>98.860814611476897</v>
      </c>
      <c r="H189" s="12">
        <f>VLOOKUP(B189,[4]tas!$A$2:$H$247,5,FALSE)</f>
        <v>4.47</v>
      </c>
      <c r="I189" s="12">
        <f>VLOOKUP(B189,[4]tas!$A$2:$H$247,6,FALSE)</f>
        <v>4.34</v>
      </c>
      <c r="J189" s="12">
        <f>VLOOKUP(B189,[4]tas!$A$2:$H$247,7,FALSE)</f>
        <v>4.3600000000000003</v>
      </c>
      <c r="K189" s="10">
        <v>579895717343.95605</v>
      </c>
      <c r="L189" s="10">
        <v>585489968189.0636</v>
      </c>
      <c r="M189" s="10">
        <v>610117791237.08911</v>
      </c>
      <c r="N189" s="10">
        <f>VLOOKUP(B189,[2]Data!$B$1:$G$267,4,FALSE)</f>
        <v>54836.890723512355</v>
      </c>
      <c r="O189" s="10">
        <f>VLOOKUP(B189,[2]Data!$B$1:$G$267,5,FALSE)</f>
        <v>54950.283472562231</v>
      </c>
      <c r="P189" s="10">
        <f>VLOOKUP(B189,[2]Data!$B$1:$G$267,6,FALSE)</f>
        <v>57117.487744061626</v>
      </c>
      <c r="Q189" s="12">
        <f>VLOOKUP(B189,[5]Sheet1!$B$421:$K$628,10,FALSE)</f>
        <v>0</v>
      </c>
      <c r="R189" s="12">
        <f>VLOOKUP(B189,[5]Sheet1!$B$213:$K$420,10,FALSE)</f>
        <v>0</v>
      </c>
      <c r="S189" s="12">
        <f>VLOOKUP(B189,[5]Sheet1!$B$2:$K$207,10,FALSE)</f>
        <v>0</v>
      </c>
      <c r="T189" s="12">
        <f>VLOOKUP(B189,[6]Sheet1!$B$421:$K$628,10,FALSE)</f>
        <v>70</v>
      </c>
      <c r="U189" s="12">
        <f>VLOOKUP(B189,[6]Sheet1!$B$213:$K$420,10,FALSE)</f>
        <v>70</v>
      </c>
      <c r="V189" s="12">
        <f>VLOOKUP(B189,[6]Sheet1!$B$2:$K$212,10,FALSE)</f>
        <v>69</v>
      </c>
      <c r="W189" s="13">
        <v>99.670852661132798</v>
      </c>
      <c r="X189" s="13">
        <v>0</v>
      </c>
      <c r="Y189" s="13">
        <v>0</v>
      </c>
      <c r="Z189" s="10">
        <v>5.6367079060014804</v>
      </c>
      <c r="AA189" s="10">
        <v>17.488785047263701</v>
      </c>
      <c r="AB189" s="10">
        <v>17.249784722428899</v>
      </c>
      <c r="AC189" s="10">
        <v>16.9857798610144</v>
      </c>
      <c r="AD189" s="10">
        <v>20.3419018248482</v>
      </c>
      <c r="AE189" s="10">
        <v>20.5364235623884</v>
      </c>
      <c r="AF189" s="10">
        <v>20.746768242365299</v>
      </c>
      <c r="AG189" s="10">
        <v>25.748725692398349</v>
      </c>
      <c r="AH189" s="10">
        <v>25.871367888624253</v>
      </c>
      <c r="AI189" s="12">
        <f>VLOOKUP(B189,[7]all!$A$2:$I$247,6,FALSE)</f>
        <v>79.64</v>
      </c>
      <c r="AJ189" s="12">
        <f>VLOOKUP(B189,[7]all!$A$2:$I$247,7,FALSE)</f>
        <v>79.739999999999995</v>
      </c>
      <c r="AK189" s="12">
        <f>VLOOKUP(B189,[7]all!$A$2:$I$247,8,FALSE)</f>
        <v>79.78</v>
      </c>
      <c r="AL189" s="12"/>
    </row>
    <row r="190" spans="1:38" ht="21.4" x14ac:dyDescent="1.1000000000000001">
      <c r="A190" s="10" t="s">
        <v>375</v>
      </c>
      <c r="B190" s="11" t="s">
        <v>376</v>
      </c>
      <c r="C190" s="10" t="str">
        <f>VLOOKUP(B190,'[1]who-regions'!$B$1:$D$206,3,FALSE)</f>
        <v>EUR</v>
      </c>
      <c r="D190" s="12" t="str">
        <f>VLOOKUP(B190,'[2]Metadata - Countries'!$A$1:$B$266,2,FALSE)</f>
        <v>Europe &amp; Central Asia</v>
      </c>
      <c r="E190" s="12" t="str">
        <f>VLOOKUP(B190,'[2]Metadata - Countries'!$A$1:$C$266,3,FALSE)</f>
        <v>High income</v>
      </c>
      <c r="F190" s="12"/>
      <c r="G190" s="10">
        <v>99.899875833806405</v>
      </c>
      <c r="H190" s="12">
        <f>VLOOKUP(B190,[4]tas!$A$2:$H$247,5,FALSE)</f>
        <v>6.16</v>
      </c>
      <c r="I190" s="12">
        <f>VLOOKUP(B190,[4]tas!$A$2:$H$247,6,FALSE)</f>
        <v>6.05</v>
      </c>
      <c r="J190" s="12">
        <f>VLOOKUP(B190,[4]tas!$A$2:$H$247,7,FALSE)</f>
        <v>6.04</v>
      </c>
      <c r="K190" s="10">
        <v>828508926958.39331</v>
      </c>
      <c r="L190" s="10">
        <v>894424821645.20471</v>
      </c>
      <c r="M190" s="10">
        <v>936564198048.51587</v>
      </c>
      <c r="N190" s="10">
        <f>VLOOKUP(B190,[2]Data!$B$1:$G$267,4,FALSE)</f>
        <v>94394.510680352454</v>
      </c>
      <c r="O190" s="10">
        <f>VLOOKUP(B190,[2]Data!$B$1:$G$267,5,FALSE)</f>
        <v>100623.54962729648</v>
      </c>
      <c r="P190" s="10">
        <f>VLOOKUP(B190,[2]Data!$B$1:$G$267,6,FALSE)</f>
        <v>103998.18668560409</v>
      </c>
      <c r="Q190" s="12">
        <f>VLOOKUP(B190,[5]Sheet1!$B$421:$K$628,10,FALSE)</f>
        <v>0</v>
      </c>
      <c r="R190" s="12">
        <f>VLOOKUP(B190,[5]Sheet1!$B$213:$K$420,10,FALSE)</f>
        <v>0</v>
      </c>
      <c r="S190" s="12">
        <f>VLOOKUP(B190,[5]Sheet1!$B$2:$K$207,10,FALSE)</f>
        <v>0</v>
      </c>
      <c r="T190" s="12">
        <f>VLOOKUP(B190,[6]Sheet1!$B$421:$K$628,10,FALSE)</f>
        <v>37</v>
      </c>
      <c r="U190" s="12">
        <f>VLOOKUP(B190,[6]Sheet1!$B$213:$K$420,10,FALSE)</f>
        <v>39</v>
      </c>
      <c r="V190" s="12">
        <f>VLOOKUP(B190,[6]Sheet1!$B$2:$K$212,10,FALSE)</f>
        <v>0</v>
      </c>
      <c r="W190" s="13">
        <v>0</v>
      </c>
      <c r="X190" s="13">
        <v>0</v>
      </c>
      <c r="Y190" s="13">
        <v>0</v>
      </c>
      <c r="Z190" s="10">
        <v>9.0610496862163608</v>
      </c>
      <c r="AA190" s="10">
        <v>15.070422791520899</v>
      </c>
      <c r="AB190" s="10">
        <v>15.010989722070599</v>
      </c>
      <c r="AC190" s="10">
        <v>14.9508108120831</v>
      </c>
      <c r="AD190" s="10">
        <v>19.2186649457438</v>
      </c>
      <c r="AE190" s="10">
        <v>19.611380836003502</v>
      </c>
      <c r="AF190" s="10">
        <v>20.019051822683799</v>
      </c>
      <c r="AG190" s="10">
        <v>222.15059973986089</v>
      </c>
      <c r="AH190" s="10">
        <v>224.96016793880381</v>
      </c>
      <c r="AI190" s="12">
        <f>VLOOKUP(B190,[7]all!$A$2:$I$247,6,FALSE)</f>
        <v>77.23</v>
      </c>
      <c r="AJ190" s="12">
        <f>VLOOKUP(B190,[7]all!$A$2:$I$247,7,FALSE)</f>
        <v>77.53</v>
      </c>
      <c r="AK190" s="12">
        <f>VLOOKUP(B190,[7]all!$A$2:$I$247,8,FALSE)</f>
        <v>77.150000000000006</v>
      </c>
      <c r="AL190" s="15">
        <v>59994.3</v>
      </c>
    </row>
    <row r="191" spans="1:38" ht="21.4" x14ac:dyDescent="1.1000000000000001">
      <c r="A191" s="10" t="s">
        <v>377</v>
      </c>
      <c r="B191" s="11" t="s">
        <v>378</v>
      </c>
      <c r="C191" s="10" t="str">
        <f>VLOOKUP(B191,'[1]who-regions'!$B$1:$D$206,3,FALSE)</f>
        <v>EMR</v>
      </c>
      <c r="D191" s="12" t="str">
        <f>VLOOKUP(B191,'[2]Metadata - Countries'!$A$1:$B$266,2,FALSE)</f>
        <v>Middle East &amp; North Africa</v>
      </c>
      <c r="E191" s="12" t="str">
        <f>VLOOKUP(B191,'[2]Metadata - Countries'!$A$1:$C$266,3,FALSE)</f>
        <v>Low income</v>
      </c>
      <c r="F191" s="12"/>
      <c r="G191" s="10">
        <v>94.980325115384005</v>
      </c>
      <c r="H191" s="12">
        <f>VLOOKUP(B191,[4]tas!$A$2:$H$247,5,FALSE)</f>
        <v>19.760000000000002</v>
      </c>
      <c r="I191" s="12">
        <f>VLOOKUP(B191,[4]tas!$A$2:$H$247,6,FALSE)</f>
        <v>19.760000000000002</v>
      </c>
      <c r="J191" s="12">
        <f>VLOOKUP(B191,[4]tas!$A$2:$H$247,7,FALSE)</f>
        <v>19.87</v>
      </c>
      <c r="K191" s="10">
        <v>23622827079.50465</v>
      </c>
      <c r="L191" s="10">
        <v>19993439949.543522</v>
      </c>
      <c r="M191" s="10">
        <v>0</v>
      </c>
      <c r="N191" s="10">
        <f>VLOOKUP(B191,[2]Data!$B$1:$G$267,4,FALSE)</f>
        <v>1051.6714958746265</v>
      </c>
      <c r="O191" s="10">
        <f>VLOOKUP(B191,[2]Data!$B$1:$G$267,5,FALSE)</f>
        <v>0</v>
      </c>
      <c r="P191" s="10">
        <f>VLOOKUP(B191,[2]Data!$B$1:$G$267,6,FALSE)</f>
        <v>0</v>
      </c>
      <c r="Q191" s="12">
        <f>VLOOKUP(B191,[5]Sheet1!$B$421:$K$628,10,FALSE)</f>
        <v>0</v>
      </c>
      <c r="R191" s="12">
        <f>VLOOKUP(B191,[5]Sheet1!$B$213:$K$420,10,FALSE)</f>
        <v>0</v>
      </c>
      <c r="S191" s="12">
        <f>VLOOKUP(B191,[5]Sheet1!$B$2:$K$207,10,FALSE)</f>
        <v>0</v>
      </c>
      <c r="T191" s="12">
        <f>VLOOKUP(B191,[6]Sheet1!$B$421:$K$628,10,FALSE)</f>
        <v>0</v>
      </c>
      <c r="U191" s="12">
        <f>VLOOKUP(B191,[6]Sheet1!$B$213:$K$420,10,FALSE)</f>
        <v>0</v>
      </c>
      <c r="V191" s="12">
        <f>VLOOKUP(B191,[6]Sheet1!$B$2:$K$212,10,FALSE)</f>
        <v>0</v>
      </c>
      <c r="W191" s="13">
        <v>89.178649902343807</v>
      </c>
      <c r="X191" s="13">
        <v>88.381591796875</v>
      </c>
      <c r="Y191" s="13">
        <v>0</v>
      </c>
      <c r="Z191" s="10">
        <v>24.705838262742201</v>
      </c>
      <c r="AA191" s="10">
        <v>31.934791703696501</v>
      </c>
      <c r="AB191" s="10">
        <v>30.335528141305801</v>
      </c>
      <c r="AC191" s="10">
        <v>29.1634383255752</v>
      </c>
      <c r="AD191" s="10">
        <v>4.66656330771211</v>
      </c>
      <c r="AE191" s="10">
        <v>4.6868369119523496</v>
      </c>
      <c r="AF191" s="10">
        <v>4.7417091712015402</v>
      </c>
      <c r="AG191" s="10">
        <v>122.32300277732396</v>
      </c>
      <c r="AH191" s="10">
        <v>128.49002341665306</v>
      </c>
      <c r="AI191" s="12">
        <f>VLOOKUP(B191,[7]all!$A$2:$I$247,6,FALSE)</f>
        <v>49.08</v>
      </c>
      <c r="AJ191" s="12">
        <f>VLOOKUP(B191,[7]all!$A$2:$I$247,7,FALSE)</f>
        <v>48.64</v>
      </c>
      <c r="AK191" s="12">
        <f>VLOOKUP(B191,[7]all!$A$2:$I$247,8,FALSE)</f>
        <v>49.06</v>
      </c>
      <c r="AL191" s="12"/>
    </row>
    <row r="192" spans="1:38" ht="21.4" x14ac:dyDescent="1.1000000000000001">
      <c r="A192" s="10" t="s">
        <v>379</v>
      </c>
      <c r="B192" s="11" t="s">
        <v>380</v>
      </c>
      <c r="C192" s="10" t="str">
        <f>VLOOKUP(B192,'[1]who-regions'!$B$1:$D$206,3,FALSE)</f>
        <v>EUR</v>
      </c>
      <c r="D192" s="12" t="str">
        <f>VLOOKUP(B192,'[2]Metadata - Countries'!$A$1:$B$266,2,FALSE)</f>
        <v>Europe &amp; Central Asia</v>
      </c>
      <c r="E192" s="12" t="str">
        <f>VLOOKUP(B192,'[2]Metadata - Countries'!$A$1:$C$266,3,FALSE)</f>
        <v>Lower middle income</v>
      </c>
      <c r="F192" s="12"/>
      <c r="G192" s="10">
        <v>96.748329119322804</v>
      </c>
      <c r="H192" s="12">
        <f>VLOOKUP(B192,[4]tas!$A$2:$H$247,5,FALSE)</f>
        <v>0.85</v>
      </c>
      <c r="I192" s="12">
        <f>VLOOKUP(B192,[4]tas!$A$2:$H$247,6,FALSE)</f>
        <v>0.9</v>
      </c>
      <c r="J192" s="12">
        <f>VLOOKUP(B192,[4]tas!$A$2:$H$247,7,FALSE)</f>
        <v>0.92</v>
      </c>
      <c r="K192" s="10">
        <v>10713525200.39978</v>
      </c>
      <c r="L192" s="10">
        <v>12244169292.799824</v>
      </c>
      <c r="M192" s="10">
        <v>14204575548.553579</v>
      </c>
      <c r="N192" s="10">
        <f>VLOOKUP(B192,[2]Data!$B$1:$G$267,4,FALSE)</f>
        <v>1052.1794948489417</v>
      </c>
      <c r="O192" s="10">
        <f>VLOOKUP(B192,[2]Data!$B$1:$G$267,5,FALSE)</f>
        <v>1178.4799006024873</v>
      </c>
      <c r="P192" s="10">
        <f>VLOOKUP(B192,[2]Data!$B$1:$G$267,6,FALSE)</f>
        <v>1341.2022902767226</v>
      </c>
      <c r="Q192" s="12">
        <f>VLOOKUP(B192,[5]Sheet1!$B$421:$K$628,10,FALSE)</f>
        <v>0</v>
      </c>
      <c r="R192" s="12">
        <f>VLOOKUP(B192,[5]Sheet1!$B$213:$K$420,10,FALSE)</f>
        <v>0</v>
      </c>
      <c r="S192" s="12">
        <f>VLOOKUP(B192,[5]Sheet1!$B$2:$K$207,10,FALSE)</f>
        <v>0</v>
      </c>
      <c r="T192" s="12">
        <f>VLOOKUP(B192,[6]Sheet1!$B$421:$K$628,10,FALSE)</f>
        <v>0</v>
      </c>
      <c r="U192" s="12">
        <f>VLOOKUP(B192,[6]Sheet1!$B$213:$K$420,10,FALSE)</f>
        <v>0</v>
      </c>
      <c r="V192" s="12">
        <f>VLOOKUP(B192,[6]Sheet1!$B$2:$K$212,10,FALSE)</f>
        <v>0</v>
      </c>
      <c r="W192" s="13">
        <v>0</v>
      </c>
      <c r="X192" s="13">
        <v>0</v>
      </c>
      <c r="Y192" s="13">
        <v>0</v>
      </c>
      <c r="Z192" s="10">
        <v>37.053406230626699</v>
      </c>
      <c r="AA192" s="10">
        <v>36.590142112399398</v>
      </c>
      <c r="AB192" s="10">
        <v>36.506232531843601</v>
      </c>
      <c r="AC192" s="10">
        <v>36.261403923310802</v>
      </c>
      <c r="AD192" s="10">
        <v>3.47287654894973</v>
      </c>
      <c r="AE192" s="10">
        <v>3.6500563509484798</v>
      </c>
      <c r="AF192" s="10">
        <v>3.85166927070363</v>
      </c>
      <c r="AG192" s="10">
        <v>73.364233734418903</v>
      </c>
      <c r="AH192" s="10">
        <v>74.859853015346928</v>
      </c>
      <c r="AI192" s="12">
        <f>VLOOKUP(B192,[7]all!$A$2:$I$247,6,FALSE)</f>
        <v>65.709999999999994</v>
      </c>
      <c r="AJ192" s="12">
        <f>VLOOKUP(B192,[7]all!$A$2:$I$247,7,FALSE)</f>
        <v>65.510000000000005</v>
      </c>
      <c r="AK192" s="12">
        <f>VLOOKUP(B192,[7]all!$A$2:$I$247,8,FALSE)</f>
        <v>65.48</v>
      </c>
      <c r="AL192" s="12"/>
    </row>
    <row r="193" spans="1:38" ht="21.4" x14ac:dyDescent="1.1000000000000001">
      <c r="A193" s="10" t="s">
        <v>381</v>
      </c>
      <c r="B193" s="11" t="s">
        <v>382</v>
      </c>
      <c r="C193" s="10" t="str">
        <f>VLOOKUP(B193,'[1]who-regions'!$B$1:$D$206,3,FALSE)</f>
        <v>AFR</v>
      </c>
      <c r="D193" s="12" t="str">
        <f>VLOOKUP(B193,'[2]Metadata - Countries'!$A$1:$B$266,2,FALSE)</f>
        <v>Sub-Saharan Africa</v>
      </c>
      <c r="E193" s="12" t="str">
        <f>VLOOKUP(B193,'[2]Metadata - Countries'!$A$1:$C$266,3,FALSE)</f>
        <v>Lower middle income</v>
      </c>
      <c r="F193" s="12"/>
      <c r="G193" s="10">
        <v>30.617949679213101</v>
      </c>
      <c r="H193" s="12">
        <f>VLOOKUP(B193,[4]tas!$A$2:$H$247,5,FALSE)</f>
        <v>23.46</v>
      </c>
      <c r="I193" s="12">
        <f>VLOOKUP(B193,[4]tas!$A$2:$H$247,6,FALSE)</f>
        <v>23.49</v>
      </c>
      <c r="J193" s="12">
        <f>VLOOKUP(B193,[4]tas!$A$2:$H$247,7,FALSE)</f>
        <v>23.56</v>
      </c>
      <c r="K193" s="10">
        <v>75769974505.010574</v>
      </c>
      <c r="L193" s="10">
        <v>79062403836.843231</v>
      </c>
      <c r="M193" s="10">
        <v>78779864877.301834</v>
      </c>
      <c r="N193" s="10">
        <f>VLOOKUP(B193,[2]Data!$B$1:$G$267,4,FALSE)</f>
        <v>1207.52062988281</v>
      </c>
      <c r="O193" s="10">
        <f>VLOOKUP(B193,[2]Data!$B$1:$G$267,5,FALSE)</f>
        <v>1224.00219726563</v>
      </c>
      <c r="P193" s="10">
        <f>VLOOKUP(B193,[2]Data!$B$1:$G$267,6,FALSE)</f>
        <v>1186.71691894531</v>
      </c>
      <c r="Q193" s="12">
        <f>VLOOKUP(B193,[5]Sheet1!$B$421:$K$628,10,FALSE)</f>
        <v>0</v>
      </c>
      <c r="R193" s="12">
        <f>VLOOKUP(B193,[5]Sheet1!$B$213:$K$420,10,FALSE)</f>
        <v>0</v>
      </c>
      <c r="S193" s="12">
        <f>VLOOKUP(B193,[5]Sheet1!$B$2:$K$207,10,FALSE)</f>
        <v>0</v>
      </c>
      <c r="T193" s="12">
        <f>VLOOKUP(B193,[6]Sheet1!$B$421:$K$628,10,FALSE)</f>
        <v>0</v>
      </c>
      <c r="U193" s="12">
        <f>VLOOKUP(B193,[6]Sheet1!$B$213:$K$420,10,FALSE)</f>
        <v>0</v>
      </c>
      <c r="V193" s="12">
        <f>VLOOKUP(B193,[6]Sheet1!$B$2:$K$212,10,FALSE)</f>
        <v>0</v>
      </c>
      <c r="W193" s="13">
        <v>0</v>
      </c>
      <c r="X193" s="13">
        <v>0</v>
      </c>
      <c r="Y193" s="13">
        <v>0</v>
      </c>
      <c r="Z193" s="10">
        <v>25.081431153535</v>
      </c>
      <c r="AA193" s="10">
        <v>42.916223142600202</v>
      </c>
      <c r="AB193" s="10">
        <v>42.723894620861202</v>
      </c>
      <c r="AC193" s="10">
        <v>42.536108107220301</v>
      </c>
      <c r="AD193" s="10">
        <v>3.0350498095239802</v>
      </c>
      <c r="AE193" s="10">
        <v>3.04319999848689</v>
      </c>
      <c r="AF193" s="10">
        <v>3.0450010492245498</v>
      </c>
      <c r="AG193" s="10">
        <v>73.054663580943782</v>
      </c>
      <c r="AH193" s="10">
        <v>75.206148114698578</v>
      </c>
      <c r="AI193" s="12">
        <f>VLOOKUP(B193,[7]all!$A$2:$I$247,6,FALSE)</f>
        <v>65.540000000000006</v>
      </c>
      <c r="AJ193" s="12">
        <f>VLOOKUP(B193,[7]all!$A$2:$I$247,7,FALSE)</f>
        <v>65.58</v>
      </c>
      <c r="AK193" s="12">
        <f>VLOOKUP(B193,[7]all!$A$2:$I$247,8,FALSE)</f>
        <v>65.36</v>
      </c>
      <c r="AL193" s="12"/>
    </row>
    <row r="194" spans="1:38" ht="21.4" x14ac:dyDescent="1.1000000000000001">
      <c r="A194" s="10" t="s">
        <v>383</v>
      </c>
      <c r="B194" s="11" t="s">
        <v>384</v>
      </c>
      <c r="C194" s="10" t="str">
        <f>VLOOKUP(B194,'[1]who-regions'!$B$1:$D$206,3,FALSE)</f>
        <v>SEAR</v>
      </c>
      <c r="D194" s="12" t="str">
        <f>VLOOKUP(B194,'[2]Metadata - Countries'!$A$1:$B$266,2,FALSE)</f>
        <v>East Asia &amp; Pacific</v>
      </c>
      <c r="E194" s="12" t="str">
        <f>VLOOKUP(B194,'[2]Metadata - Countries'!$A$1:$C$266,3,FALSE)</f>
        <v>Upper middle income</v>
      </c>
      <c r="F194" s="12"/>
      <c r="G194" s="10">
        <v>99.015625258931394</v>
      </c>
      <c r="H194" s="12">
        <f>VLOOKUP(B194,[4]tas!$A$2:$H$247,5,FALSE)</f>
        <v>27.17</v>
      </c>
      <c r="I194" s="12">
        <f>VLOOKUP(B194,[4]tas!$A$2:$H$247,6,FALSE)</f>
        <v>27.18</v>
      </c>
      <c r="J194" s="12">
        <f>VLOOKUP(B194,[4]tas!$A$2:$H$247,7,FALSE)</f>
        <v>27.22</v>
      </c>
      <c r="K194" s="10">
        <v>495644697587.66052</v>
      </c>
      <c r="L194" s="10">
        <v>515906283940.93262</v>
      </c>
      <c r="M194" s="10">
        <v>526411265427.68256</v>
      </c>
      <c r="N194" s="10">
        <f>VLOOKUP(B194,[2]Data!$B$1:$G$267,4,FALSE)</f>
        <v>6909.3528181582678</v>
      </c>
      <c r="O194" s="10">
        <f>VLOOKUP(B194,[2]Data!$B$1:$G$267,5,FALSE)</f>
        <v>7195.1013091944869</v>
      </c>
      <c r="P194" s="10">
        <f>VLOOKUP(B194,[2]Data!$B$1:$G$267,6,FALSE)</f>
        <v>7346.620221421852</v>
      </c>
      <c r="Q194" s="12">
        <f>VLOOKUP(B194,[5]Sheet1!$B$421:$K$628,10,FALSE)</f>
        <v>0</v>
      </c>
      <c r="R194" s="12">
        <f>VLOOKUP(B194,[5]Sheet1!$B$213:$K$420,10,FALSE)</f>
        <v>0</v>
      </c>
      <c r="S194" s="12">
        <f>VLOOKUP(B194,[5]Sheet1!$B$2:$K$207,10,FALSE)</f>
        <v>0</v>
      </c>
      <c r="T194" s="12">
        <f>VLOOKUP(B194,[6]Sheet1!$B$421:$K$628,10,FALSE)</f>
        <v>81.16</v>
      </c>
      <c r="U194" s="12">
        <f>VLOOKUP(B194,[6]Sheet1!$B$213:$K$420,10,FALSE)</f>
        <v>43.34</v>
      </c>
      <c r="V194" s="12">
        <f>VLOOKUP(B194,[6]Sheet1!$B$2:$K$212,10,FALSE)</f>
        <v>46.89</v>
      </c>
      <c r="W194" s="13">
        <v>0</v>
      </c>
      <c r="X194" s="13">
        <v>0</v>
      </c>
      <c r="Y194" s="13">
        <v>0</v>
      </c>
      <c r="Z194" s="10">
        <v>31.007201627715901</v>
      </c>
      <c r="AA194" s="10">
        <v>15.432966091226801</v>
      </c>
      <c r="AB194" s="10">
        <v>15.089679311448799</v>
      </c>
      <c r="AC194" s="10">
        <v>14.7494821643648</v>
      </c>
      <c r="AD194" s="10">
        <v>14.0967841661394</v>
      </c>
      <c r="AE194" s="10">
        <v>14.7182560815403</v>
      </c>
      <c r="AF194" s="10">
        <v>15.3627543814492</v>
      </c>
      <c r="AG194" s="10">
        <v>140.41247430953825</v>
      </c>
      <c r="AH194" s="10">
        <v>140.3480886296463</v>
      </c>
      <c r="AI194" s="12">
        <f>VLOOKUP(B194,[7]all!$A$2:$I$247,6,FALSE)</f>
        <v>72.290000000000006</v>
      </c>
      <c r="AJ194" s="12">
        <f>VLOOKUP(B194,[7]all!$A$2:$I$247,7,FALSE)</f>
        <v>72.39</v>
      </c>
      <c r="AK194" s="12">
        <f>VLOOKUP(B194,[7]all!$A$2:$I$247,8,FALSE)</f>
        <v>72.39</v>
      </c>
      <c r="AL194" s="12"/>
    </row>
    <row r="195" spans="1:38" ht="21.4" x14ac:dyDescent="1.1000000000000001">
      <c r="A195" s="10" t="s">
        <v>385</v>
      </c>
      <c r="B195" s="11" t="s">
        <v>386</v>
      </c>
      <c r="C195" s="10" t="str">
        <f>VLOOKUP(B195,'[1]who-regions'!$B$1:$D$206,3,FALSE)</f>
        <v>SEAR</v>
      </c>
      <c r="D195" s="12" t="str">
        <f>VLOOKUP(B195,'[2]Metadata - Countries'!$A$1:$B$266,2,FALSE)</f>
        <v>East Asia &amp; Pacific</v>
      </c>
      <c r="E195" s="12" t="str">
        <f>VLOOKUP(B195,'[2]Metadata - Countries'!$A$1:$C$266,3,FALSE)</f>
        <v>Lower middle income</v>
      </c>
      <c r="F195" s="12"/>
      <c r="G195" s="10">
        <v>58.378353213354302</v>
      </c>
      <c r="H195" s="12">
        <f>VLOOKUP(B195,[4]tas!$A$2:$H$247,5,FALSE)</f>
        <v>25.26</v>
      </c>
      <c r="I195" s="12">
        <f>VLOOKUP(B195,[4]tas!$A$2:$H$247,6,FALSE)</f>
        <v>25.3</v>
      </c>
      <c r="J195" s="12">
        <f>VLOOKUP(B195,[4]tas!$A$2:$H$247,7,FALSE)</f>
        <v>25.31</v>
      </c>
      <c r="K195" s="10">
        <v>3208593982.0107102</v>
      </c>
      <c r="L195" s="10">
        <v>2079916909.4948502</v>
      </c>
      <c r="M195" s="10">
        <v>1881265333.4187</v>
      </c>
      <c r="N195" s="10">
        <f>VLOOKUP(B195,[2]Data!$B$1:$G$267,4,FALSE)</f>
        <v>2343.2495474018747</v>
      </c>
      <c r="O195" s="10">
        <f>VLOOKUP(B195,[2]Data!$B$1:$G$267,5,FALSE)</f>
        <v>1502.4114743821076</v>
      </c>
      <c r="P195" s="10">
        <f>VLOOKUP(B195,[2]Data!$B$1:$G$267,6,FALSE)</f>
        <v>1331.970513018503</v>
      </c>
      <c r="Q195" s="12">
        <f>VLOOKUP(B195,[5]Sheet1!$B$421:$K$628,10,FALSE)</f>
        <v>0</v>
      </c>
      <c r="R195" s="12">
        <f>VLOOKUP(B195,[5]Sheet1!$B$213:$K$420,10,FALSE)</f>
        <v>0</v>
      </c>
      <c r="S195" s="12">
        <f>VLOOKUP(B195,[5]Sheet1!$B$2:$K$207,10,FALSE)</f>
        <v>0</v>
      </c>
      <c r="T195" s="12">
        <f>VLOOKUP(B195,[6]Sheet1!$B$421:$K$628,10,FALSE)</f>
        <v>0</v>
      </c>
      <c r="U195" s="12">
        <f>VLOOKUP(B195,[6]Sheet1!$B$213:$K$420,10,FALSE)</f>
        <v>0</v>
      </c>
      <c r="V195" s="12">
        <f>VLOOKUP(B195,[6]Sheet1!$B$2:$K$212,10,FALSE)</f>
        <v>0</v>
      </c>
      <c r="W195" s="13">
        <v>0</v>
      </c>
      <c r="X195" s="13">
        <v>0</v>
      </c>
      <c r="Y195" s="13">
        <v>0</v>
      </c>
      <c r="Z195" s="10">
        <v>17.410466197088802</v>
      </c>
      <c r="AA195" s="10">
        <v>34.8343363430319</v>
      </c>
      <c r="AB195" s="10">
        <v>34.229776216764499</v>
      </c>
      <c r="AC195" s="10">
        <v>33.658447079116797</v>
      </c>
      <c r="AD195" s="10">
        <v>5.4052613186854099</v>
      </c>
      <c r="AE195" s="10">
        <v>5.3341578257672202</v>
      </c>
      <c r="AF195" s="10">
        <v>5.2777020186514996</v>
      </c>
      <c r="AG195" s="10">
        <v>92.084398117014118</v>
      </c>
      <c r="AH195" s="10">
        <v>93.092535305985209</v>
      </c>
      <c r="AI195" s="12">
        <f>VLOOKUP(B195,[7]all!$A$2:$I$247,6,FALSE)</f>
        <v>78.180000000000007</v>
      </c>
      <c r="AJ195" s="12">
        <f>VLOOKUP(B195,[7]all!$A$2:$I$247,7,FALSE)</f>
        <v>78.19</v>
      </c>
      <c r="AK195" s="12">
        <f>VLOOKUP(B195,[7]all!$A$2:$I$247,8,FALSE)</f>
        <v>78.2</v>
      </c>
      <c r="AL195" s="12"/>
    </row>
    <row r="196" spans="1:38" ht="21.4" x14ac:dyDescent="1.1000000000000001">
      <c r="A196" s="10" t="s">
        <v>387</v>
      </c>
      <c r="B196" s="11" t="s">
        <v>388</v>
      </c>
      <c r="C196" s="10" t="str">
        <f>VLOOKUP(B196,'[1]who-regions'!$B$1:$D$206,3,FALSE)</f>
        <v>AFR</v>
      </c>
      <c r="D196" s="12" t="str">
        <f>VLOOKUP(B196,'[2]Metadata - Countries'!$A$1:$B$266,2,FALSE)</f>
        <v>Sub-Saharan Africa</v>
      </c>
      <c r="E196" s="12" t="str">
        <f>VLOOKUP(B196,'[2]Metadata - Countries'!$A$1:$C$266,3,FALSE)</f>
        <v>Low income</v>
      </c>
      <c r="F196" s="12"/>
      <c r="G196" s="10">
        <v>19.197636708317901</v>
      </c>
      <c r="H196" s="12">
        <f>VLOOKUP(B196,[4]tas!$A$2:$H$247,5,FALSE)</f>
        <v>27.65</v>
      </c>
      <c r="I196" s="12">
        <f>VLOOKUP(B196,[4]tas!$A$2:$H$247,6,FALSE)</f>
        <v>27.66</v>
      </c>
      <c r="J196" s="12">
        <f>VLOOKUP(B196,[4]tas!$A$2:$H$247,7,FALSE)</f>
        <v>27.74</v>
      </c>
      <c r="K196" s="10">
        <v>8169476148.9569206</v>
      </c>
      <c r="L196" s="10">
        <v>9171261837.5710297</v>
      </c>
      <c r="M196" s="10">
        <v>9925732119.7203388</v>
      </c>
      <c r="N196" s="10">
        <f>VLOOKUP(B196,[2]Data!$B$1:$G$267,4,FALSE)</f>
        <v>951.23237869038655</v>
      </c>
      <c r="O196" s="10">
        <f>VLOOKUP(B196,[2]Data!$B$1:$G$267,5,FALSE)</f>
        <v>1055.0172787792565</v>
      </c>
      <c r="P196" s="10">
        <f>VLOOKUP(B196,[2]Data!$B$1:$G$267,6,FALSE)</f>
        <v>1119.3816050942892</v>
      </c>
      <c r="Q196" s="12">
        <f>VLOOKUP(B196,[5]Sheet1!$B$421:$K$628,10,FALSE)</f>
        <v>0</v>
      </c>
      <c r="R196" s="12">
        <f>VLOOKUP(B196,[5]Sheet1!$B$213:$K$420,10,FALSE)</f>
        <v>0</v>
      </c>
      <c r="S196" s="12">
        <f>VLOOKUP(B196,[5]Sheet1!$B$2:$K$207,10,FALSE)</f>
        <v>0</v>
      </c>
      <c r="T196" s="12">
        <f>VLOOKUP(B196,[6]Sheet1!$B$421:$K$628,10,FALSE)</f>
        <v>0</v>
      </c>
      <c r="U196" s="12">
        <f>VLOOKUP(B196,[6]Sheet1!$B$213:$K$420,10,FALSE)</f>
        <v>0</v>
      </c>
      <c r="V196" s="12">
        <f>VLOOKUP(B196,[6]Sheet1!$B$2:$K$212,10,FALSE)</f>
        <v>0</v>
      </c>
      <c r="W196" s="13">
        <v>55.2441596984863</v>
      </c>
      <c r="X196" s="13">
        <v>62.607139587402301</v>
      </c>
      <c r="Y196" s="13">
        <v>0</v>
      </c>
      <c r="Z196" s="10">
        <v>51.666136939822302</v>
      </c>
      <c r="AA196" s="10">
        <v>40.216960036859099</v>
      </c>
      <c r="AB196" s="10">
        <v>39.882549402362102</v>
      </c>
      <c r="AC196" s="10">
        <v>39.525811000684101</v>
      </c>
      <c r="AD196" s="10">
        <v>3.11541415630384</v>
      </c>
      <c r="AE196" s="10">
        <v>3.16375561398111</v>
      </c>
      <c r="AF196" s="10">
        <v>3.21344647749391</v>
      </c>
      <c r="AG196" s="10">
        <v>167.12149292149292</v>
      </c>
      <c r="AH196" s="10">
        <v>171.06705276705276</v>
      </c>
      <c r="AI196" s="12">
        <f>VLOOKUP(B196,[7]all!$A$2:$I$247,6,FALSE)</f>
        <v>68.47</v>
      </c>
      <c r="AJ196" s="12">
        <f>VLOOKUP(B196,[7]all!$A$2:$I$247,7,FALSE)</f>
        <v>68.59</v>
      </c>
      <c r="AK196" s="12">
        <f>VLOOKUP(B196,[7]all!$A$2:$I$247,8,FALSE)</f>
        <v>68.47</v>
      </c>
      <c r="AL196" s="12"/>
    </row>
    <row r="197" spans="1:38" ht="21.4" x14ac:dyDescent="1.1000000000000001">
      <c r="A197" s="10" t="s">
        <v>389</v>
      </c>
      <c r="B197" s="11" t="s">
        <v>390</v>
      </c>
      <c r="C197" s="10" t="str">
        <f>VLOOKUP(B197,'[1]who-regions'!$B$1:$D$206,3,FALSE)</f>
        <v>WPR</v>
      </c>
      <c r="D197" s="12" t="str">
        <f>VLOOKUP(B197,'[2]Metadata - Countries'!$A$1:$B$266,2,FALSE)</f>
        <v>East Asia &amp; Pacific</v>
      </c>
      <c r="E197" s="12" t="str">
        <f>VLOOKUP(B197,'[2]Metadata - Countries'!$A$1:$C$266,3,FALSE)</f>
        <v>Upper middle income</v>
      </c>
      <c r="F197" s="12"/>
      <c r="G197" s="10">
        <v>95.295541299889507</v>
      </c>
      <c r="H197" s="12">
        <f>VLOOKUP(B197,[4]tas!$A$2:$H$247,5,FALSE)</f>
        <v>25.03</v>
      </c>
      <c r="I197" s="12">
        <f>VLOOKUP(B197,[4]tas!$A$2:$H$247,6,FALSE)</f>
        <v>25.07</v>
      </c>
      <c r="J197" s="12">
        <f>VLOOKUP(B197,[4]tas!$A$2:$H$247,7,FALSE)</f>
        <v>25.11</v>
      </c>
      <c r="K197" s="10">
        <v>518180029.4134348</v>
      </c>
      <c r="L197" s="10">
        <v>508735107.03373355</v>
      </c>
      <c r="M197" s="10">
        <v>0</v>
      </c>
      <c r="N197" s="10">
        <f>VLOOKUP(B197,[2]Data!$B$1:$G$267,4,FALSE)</f>
        <v>5298.0194150995067</v>
      </c>
      <c r="O197" s="10">
        <f>VLOOKUP(B197,[2]Data!$B$1:$G$267,5,FALSE)</f>
        <v>5651.5937306315691</v>
      </c>
      <c r="P197" s="10">
        <f>VLOOKUP(B197,[2]Data!$B$1:$G$267,6,FALSE)</f>
        <v>0</v>
      </c>
      <c r="Q197" s="12">
        <f>VLOOKUP(B197,[5]Sheet1!$B$421:$K$628,10,FALSE)</f>
        <v>0</v>
      </c>
      <c r="R197" s="12">
        <f>VLOOKUP(B197,[5]Sheet1!$B$213:$K$420,10,FALSE)</f>
        <v>0</v>
      </c>
      <c r="S197" s="12">
        <f>VLOOKUP(B197,[5]Sheet1!$B$2:$K$207,10,FALSE)</f>
        <v>0</v>
      </c>
      <c r="T197" s="12">
        <f>VLOOKUP(B197,[6]Sheet1!$B$421:$K$628,10,FALSE)</f>
        <v>0</v>
      </c>
      <c r="U197" s="12">
        <f>VLOOKUP(B197,[6]Sheet1!$B$213:$K$420,10,FALSE)</f>
        <v>0</v>
      </c>
      <c r="V197" s="12">
        <f>VLOOKUP(B197,[6]Sheet1!$B$2:$K$212,10,FALSE)</f>
        <v>0</v>
      </c>
      <c r="W197" s="13">
        <v>0</v>
      </c>
      <c r="X197" s="13">
        <v>0</v>
      </c>
      <c r="Y197" s="13">
        <v>0</v>
      </c>
      <c r="Z197" s="10">
        <v>12.4784129504796</v>
      </c>
      <c r="AA197" s="10">
        <v>35.641933702709402</v>
      </c>
      <c r="AB197" s="10">
        <v>35.623700375247999</v>
      </c>
      <c r="AC197" s="10">
        <v>35.403237805434102</v>
      </c>
      <c r="AD197" s="10">
        <v>6.5007330401172903</v>
      </c>
      <c r="AE197" s="10">
        <v>6.6024522574631304</v>
      </c>
      <c r="AF197" s="10">
        <v>6.7155905179240802</v>
      </c>
      <c r="AG197" s="10">
        <v>145.89166666666668</v>
      </c>
      <c r="AH197" s="10">
        <v>145.27361111111111</v>
      </c>
      <c r="AI197" s="12">
        <f>VLOOKUP(B197,[7]all!$A$2:$I$247,6,FALSE)</f>
        <v>78.34</v>
      </c>
      <c r="AJ197" s="12">
        <f>VLOOKUP(B197,[7]all!$A$2:$I$247,7,FALSE)</f>
        <v>78.23</v>
      </c>
      <c r="AK197" s="12">
        <f>VLOOKUP(B197,[7]all!$A$2:$I$247,8,FALSE)</f>
        <v>78.430000000000007</v>
      </c>
      <c r="AL197" s="12"/>
    </row>
    <row r="198" spans="1:38" ht="21.4" x14ac:dyDescent="1.1000000000000001">
      <c r="A198" s="10" t="s">
        <v>391</v>
      </c>
      <c r="B198" s="11" t="s">
        <v>392</v>
      </c>
      <c r="C198" s="10" t="str">
        <f>VLOOKUP(B198,'[1]who-regions'!$B$1:$D$206,3,FALSE)</f>
        <v>AMR</v>
      </c>
      <c r="D198" s="12" t="str">
        <f>VLOOKUP(B198,'[2]Metadata - Countries'!$A$1:$B$266,2,FALSE)</f>
        <v>Latin America &amp; Caribbean</v>
      </c>
      <c r="E198" s="12" t="str">
        <f>VLOOKUP(B198,'[2]Metadata - Countries'!$A$1:$C$266,3,FALSE)</f>
        <v>High income</v>
      </c>
      <c r="F198" s="12"/>
      <c r="G198" s="10">
        <v>93.915211012116899</v>
      </c>
      <c r="H198" s="12">
        <f>VLOOKUP(B198,[4]tas!$A$2:$H$247,5,FALSE)</f>
        <v>26.89</v>
      </c>
      <c r="I198" s="12">
        <f>VLOOKUP(B198,[4]tas!$A$2:$H$247,6,FALSE)</f>
        <v>26.9</v>
      </c>
      <c r="J198" s="12">
        <f>VLOOKUP(B198,[4]tas!$A$2:$H$247,7,FALSE)</f>
        <v>26.91</v>
      </c>
      <c r="K198" s="10">
        <v>28510328245.137161</v>
      </c>
      <c r="L198" s="10">
        <v>25489373405.061905</v>
      </c>
      <c r="M198" s="10">
        <v>26428963758.130711</v>
      </c>
      <c r="N198" s="10">
        <f>VLOOKUP(B198,[2]Data!$B$1:$G$267,4,FALSE)</f>
        <v>20750.520243465224</v>
      </c>
      <c r="O198" s="10">
        <f>VLOOKUP(B198,[2]Data!$B$1:$G$267,5,FALSE)</f>
        <v>18308.453629857464</v>
      </c>
      <c r="P198" s="10">
        <f>VLOOKUP(B198,[2]Data!$B$1:$G$267,6,FALSE)</f>
        <v>18733.411040649364</v>
      </c>
      <c r="Q198" s="12">
        <f>VLOOKUP(B198,[5]Sheet1!$B$421:$K$628,10,FALSE)</f>
        <v>0</v>
      </c>
      <c r="R198" s="12">
        <f>VLOOKUP(B198,[5]Sheet1!$B$213:$K$420,10,FALSE)</f>
        <v>0</v>
      </c>
      <c r="S198" s="12">
        <f>VLOOKUP(B198,[5]Sheet1!$B$2:$K$207,10,FALSE)</f>
        <v>0</v>
      </c>
      <c r="T198" s="12">
        <f>VLOOKUP(B198,[6]Sheet1!$B$421:$K$628,10,FALSE)</f>
        <v>0</v>
      </c>
      <c r="U198" s="12">
        <f>VLOOKUP(B198,[6]Sheet1!$B$213:$K$420,10,FALSE)</f>
        <v>0</v>
      </c>
      <c r="V198" s="12">
        <f>VLOOKUP(B198,[6]Sheet1!$B$2:$K$212,10,FALSE)</f>
        <v>0</v>
      </c>
      <c r="W198" s="13">
        <v>96.143341064453097</v>
      </c>
      <c r="X198" s="13">
        <v>0</v>
      </c>
      <c r="Y198" s="13">
        <v>0</v>
      </c>
      <c r="Z198" s="10">
        <v>25.602258364228899</v>
      </c>
      <c r="AA198" s="10">
        <v>18.298119252915299</v>
      </c>
      <c r="AB198" s="10">
        <v>18.027023835069102</v>
      </c>
      <c r="AC198" s="10">
        <v>17.760298823138498</v>
      </c>
      <c r="AD198" s="10">
        <v>11.358116050875701</v>
      </c>
      <c r="AE198" s="10">
        <v>11.8539588437937</v>
      </c>
      <c r="AF198" s="10">
        <v>12.3783519031106</v>
      </c>
      <c r="AG198" s="10">
        <v>266.23879142300194</v>
      </c>
      <c r="AH198" s="10">
        <v>266.57115009746587</v>
      </c>
      <c r="AI198" s="12">
        <f>VLOOKUP(B198,[7]all!$A$2:$I$247,6,FALSE)</f>
        <v>81.599999999999994</v>
      </c>
      <c r="AJ198" s="12">
        <f>VLOOKUP(B198,[7]all!$A$2:$I$247,7,FALSE)</f>
        <v>81.47</v>
      </c>
      <c r="AK198" s="12">
        <f>VLOOKUP(B198,[7]all!$A$2:$I$247,8,FALSE)</f>
        <v>81.53</v>
      </c>
      <c r="AL198" s="15">
        <v>1337</v>
      </c>
    </row>
    <row r="199" spans="1:38" ht="21.4" x14ac:dyDescent="1.1000000000000001">
      <c r="A199" s="10" t="s">
        <v>393</v>
      </c>
      <c r="B199" s="11" t="s">
        <v>394</v>
      </c>
      <c r="C199" s="10" t="str">
        <f>VLOOKUP(B199,'[1]who-regions'!$B$1:$D$206,3,FALSE)</f>
        <v>EMR</v>
      </c>
      <c r="D199" s="12" t="str">
        <f>VLOOKUP(B199,'[2]Metadata - Countries'!$A$1:$B$266,2,FALSE)</f>
        <v>Middle East &amp; North Africa</v>
      </c>
      <c r="E199" s="12" t="str">
        <f>VLOOKUP(B199,'[2]Metadata - Countries'!$A$1:$C$266,3,FALSE)</f>
        <v>Lower middle income</v>
      </c>
      <c r="F199" s="12"/>
      <c r="G199" s="10">
        <v>97.437526991108399</v>
      </c>
      <c r="H199" s="12">
        <f>VLOOKUP(B199,[4]tas!$A$2:$H$247,5,FALSE)</f>
        <v>20.99</v>
      </c>
      <c r="I199" s="12">
        <f>VLOOKUP(B199,[4]tas!$A$2:$H$247,6,FALSE)</f>
        <v>20.98</v>
      </c>
      <c r="J199" s="12">
        <f>VLOOKUP(B199,[4]tas!$A$2:$H$247,7,FALSE)</f>
        <v>20.96</v>
      </c>
      <c r="K199" s="10">
        <v>44948769171.284958</v>
      </c>
      <c r="L199" s="10">
        <v>48196281783.947868</v>
      </c>
      <c r="M199" s="10">
        <v>53409988744.596809</v>
      </c>
      <c r="N199" s="10">
        <f>VLOOKUP(B199,[2]Data!$B$1:$G$267,4,FALSE)</f>
        <v>3707.2928341438123</v>
      </c>
      <c r="O199" s="10">
        <f>VLOOKUP(B199,[2]Data!$B$1:$G$267,5,FALSE)</f>
        <v>3951.1168337692147</v>
      </c>
      <c r="P199" s="10">
        <f>VLOOKUP(B199,[2]Data!$B$1:$G$267,6,FALSE)</f>
        <v>4181.1378930122846</v>
      </c>
      <c r="Q199" s="12">
        <f>VLOOKUP(B199,[5]Sheet1!$B$421:$K$628,10,FALSE)</f>
        <v>0</v>
      </c>
      <c r="R199" s="12">
        <f>VLOOKUP(B199,[5]Sheet1!$B$213:$K$420,10,FALSE)</f>
        <v>0</v>
      </c>
      <c r="S199" s="12">
        <f>VLOOKUP(B199,[5]Sheet1!$B$2:$K$207,10,FALSE)</f>
        <v>0</v>
      </c>
      <c r="T199" s="12">
        <f>VLOOKUP(B199,[6]Sheet1!$B$421:$K$628,10,FALSE)</f>
        <v>0</v>
      </c>
      <c r="U199" s="12">
        <f>VLOOKUP(B199,[6]Sheet1!$B$213:$K$420,10,FALSE)</f>
        <v>0</v>
      </c>
      <c r="V199" s="12">
        <f>VLOOKUP(B199,[6]Sheet1!$B$2:$K$212,10,FALSE)</f>
        <v>0</v>
      </c>
      <c r="W199" s="13">
        <v>0</v>
      </c>
      <c r="X199" s="13">
        <v>0</v>
      </c>
      <c r="Y199" s="13">
        <v>0</v>
      </c>
      <c r="Z199" s="10">
        <v>24.182982673532699</v>
      </c>
      <c r="AA199" s="10">
        <v>24.738563387169801</v>
      </c>
      <c r="AB199" s="10">
        <v>24.434903160388401</v>
      </c>
      <c r="AC199" s="10">
        <v>24.03896145257</v>
      </c>
      <c r="AD199" s="10">
        <v>8.8389761697703904</v>
      </c>
      <c r="AE199" s="10">
        <v>9.1662745357110698</v>
      </c>
      <c r="AF199" s="10">
        <v>9.5296213465238395</v>
      </c>
      <c r="AG199" s="10">
        <v>78.008071575695155</v>
      </c>
      <c r="AH199" s="10">
        <v>78.530065653964982</v>
      </c>
      <c r="AI199" s="12">
        <f>VLOOKUP(B199,[7]all!$A$2:$I$247,6,FALSE)</f>
        <v>53.74</v>
      </c>
      <c r="AJ199" s="12">
        <f>VLOOKUP(B199,[7]all!$A$2:$I$247,7,FALSE)</f>
        <v>53.62</v>
      </c>
      <c r="AK199" s="12">
        <f>VLOOKUP(B199,[7]all!$A$2:$I$247,8,FALSE)</f>
        <v>53.88</v>
      </c>
      <c r="AL199" s="12"/>
    </row>
    <row r="200" spans="1:38" ht="21.4" x14ac:dyDescent="1.1000000000000001">
      <c r="A200" s="10" t="s">
        <v>395</v>
      </c>
      <c r="B200" s="11" t="s">
        <v>396</v>
      </c>
      <c r="C200" s="10" t="str">
        <f>VLOOKUP(B200,'[1]who-regions'!$B$1:$D$206,3,FALSE)</f>
        <v>EUR</v>
      </c>
      <c r="D200" s="12" t="str">
        <f>VLOOKUP(B200,'[2]Metadata - Countries'!$A$1:$B$266,2,FALSE)</f>
        <v>Europe &amp; Central Asia</v>
      </c>
      <c r="E200" s="12" t="str">
        <f>VLOOKUP(B200,'[2]Metadata - Countries'!$A$1:$C$266,3,FALSE)</f>
        <v>Upper middle income</v>
      </c>
      <c r="F200" s="12"/>
      <c r="G200" s="10">
        <v>99.248750021802806</v>
      </c>
      <c r="H200" s="12">
        <f>VLOOKUP(B200,[4]tas!$A$2:$H$247,5,FALSE)</f>
        <v>12.5</v>
      </c>
      <c r="I200" s="12">
        <f>VLOOKUP(B200,[4]tas!$A$2:$H$247,6,FALSE)</f>
        <v>12.48</v>
      </c>
      <c r="J200" s="12">
        <f>VLOOKUP(B200,[4]tas!$A$2:$H$247,7,FALSE)</f>
        <v>12.59</v>
      </c>
      <c r="K200" s="10">
        <v>907118434653.50476</v>
      </c>
      <c r="L200" s="10">
        <v>1118252958513.7173</v>
      </c>
      <c r="M200" s="10">
        <v>1323254808058.7441</v>
      </c>
      <c r="N200" s="10">
        <f>VLOOKUP(B200,[2]Data!$B$1:$G$267,4,FALSE)</f>
        <v>10897.83978613649</v>
      </c>
      <c r="O200" s="10">
        <f>VLOOKUP(B200,[2]Data!$B$1:$G$267,5,FALSE)</f>
        <v>13375.094728286429</v>
      </c>
      <c r="P200" s="10">
        <f>VLOOKUP(B200,[2]Data!$B$1:$G$267,6,FALSE)</f>
        <v>15892.715728724077</v>
      </c>
      <c r="Q200" s="12">
        <f>VLOOKUP(B200,[5]Sheet1!$B$421:$K$628,10,FALSE)</f>
        <v>0</v>
      </c>
      <c r="R200" s="12">
        <f>VLOOKUP(B200,[5]Sheet1!$B$213:$K$420,10,FALSE)</f>
        <v>0</v>
      </c>
      <c r="S200" s="12">
        <f>VLOOKUP(B200,[5]Sheet1!$B$2:$K$207,10,FALSE)</f>
        <v>0</v>
      </c>
      <c r="T200" s="12">
        <f>VLOOKUP(B200,[6]Sheet1!$B$421:$K$628,10,FALSE)</f>
        <v>0</v>
      </c>
      <c r="U200" s="12">
        <f>VLOOKUP(B200,[6]Sheet1!$B$213:$K$420,10,FALSE)</f>
        <v>0</v>
      </c>
      <c r="V200" s="12">
        <f>VLOOKUP(B200,[6]Sheet1!$B$2:$K$212,10,FALSE)</f>
        <v>0</v>
      </c>
      <c r="W200" s="13">
        <v>0</v>
      </c>
      <c r="X200" s="13">
        <v>0</v>
      </c>
      <c r="Y200" s="13">
        <v>0</v>
      </c>
      <c r="Z200" s="10">
        <v>21.612046917978301</v>
      </c>
      <c r="AA200" s="10">
        <v>22.189766194209302</v>
      </c>
      <c r="AB200" s="10">
        <v>21.839728971879499</v>
      </c>
      <c r="AC200" s="10">
        <v>21.448907475786601</v>
      </c>
      <c r="AD200" s="10">
        <v>9.7195204062419105</v>
      </c>
      <c r="AE200" s="10">
        <v>10.0010276668343</v>
      </c>
      <c r="AF200" s="10">
        <v>10.284181075694599</v>
      </c>
      <c r="AG200" s="10">
        <v>110.4165806946195</v>
      </c>
      <c r="AH200" s="10">
        <v>110.86621493444902</v>
      </c>
      <c r="AI200" s="12">
        <f>VLOOKUP(B200,[7]all!$A$2:$I$247,6,FALSE)</f>
        <v>62.99</v>
      </c>
      <c r="AJ200" s="12">
        <f>VLOOKUP(B200,[7]all!$A$2:$I$247,7,FALSE)</f>
        <v>62.9</v>
      </c>
      <c r="AK200" s="12">
        <f>VLOOKUP(B200,[7]all!$A$2:$I$247,8,FALSE)</f>
        <v>63</v>
      </c>
      <c r="AL200" s="15">
        <v>76567</v>
      </c>
    </row>
    <row r="201" spans="1:38" ht="21.4" x14ac:dyDescent="1.1000000000000001">
      <c r="A201" s="10" t="s">
        <v>397</v>
      </c>
      <c r="B201" s="11" t="s">
        <v>398</v>
      </c>
      <c r="C201" s="10" t="str">
        <f>VLOOKUP(B201,'[1]who-regions'!$B$1:$D$206,3,FALSE)</f>
        <v>EUR</v>
      </c>
      <c r="D201" s="12" t="str">
        <f>VLOOKUP(B201,'[2]Metadata - Countries'!$A$1:$B$266,2,FALSE)</f>
        <v>Europe &amp; Central Asia</v>
      </c>
      <c r="E201" s="12" t="str">
        <f>VLOOKUP(B201,'[2]Metadata - Countries'!$A$1:$C$266,3,FALSE)</f>
        <v>Upper middle income</v>
      </c>
      <c r="F201" s="12"/>
      <c r="G201" s="10">
        <v>99.818208385689601</v>
      </c>
      <c r="H201" s="12">
        <f>VLOOKUP(B201,[4]tas!$A$2:$H$247,5,FALSE)</f>
        <v>17.32</v>
      </c>
      <c r="I201" s="12">
        <f>VLOOKUP(B201,[4]tas!$A$2:$H$247,6,FALSE)</f>
        <v>17.18</v>
      </c>
      <c r="J201" s="12">
        <f>VLOOKUP(B201,[4]tas!$A$2:$H$247,7,FALSE)</f>
        <v>17.37</v>
      </c>
      <c r="K201" s="10">
        <v>58972000000</v>
      </c>
      <c r="L201" s="10">
        <v>60628857142.85714</v>
      </c>
      <c r="M201" s="10">
        <v>64239891739.331139</v>
      </c>
      <c r="N201" s="10">
        <f>VLOOKUP(B201,[2]Data!$B$1:$G$267,4,FALSE)</f>
        <v>5837.8422453894673</v>
      </c>
      <c r="O201" s="10">
        <f>VLOOKUP(B201,[2]Data!$B$1:$G$267,5,FALSE)</f>
        <v>6231.9132383969809</v>
      </c>
      <c r="P201" s="10">
        <f>VLOOKUP(B201,[2]Data!$B$1:$G$267,6,FALSE)</f>
        <v>6856.6580273020782</v>
      </c>
      <c r="Q201" s="12">
        <f>VLOOKUP(B201,[5]Sheet1!$B$421:$K$628,10,FALSE)</f>
        <v>0</v>
      </c>
      <c r="R201" s="12">
        <f>VLOOKUP(B201,[5]Sheet1!$B$213:$K$420,10,FALSE)</f>
        <v>0</v>
      </c>
      <c r="S201" s="12">
        <f>VLOOKUP(B201,[5]Sheet1!$B$2:$K$207,10,FALSE)</f>
        <v>0</v>
      </c>
      <c r="T201" s="12">
        <f>VLOOKUP(B201,[6]Sheet1!$B$421:$K$628,10,FALSE)</f>
        <v>0</v>
      </c>
      <c r="U201" s="12">
        <f>VLOOKUP(B201,[6]Sheet1!$B$213:$K$420,10,FALSE)</f>
        <v>65</v>
      </c>
      <c r="V201" s="12">
        <f>VLOOKUP(B201,[6]Sheet1!$B$2:$K$212,10,FALSE)</f>
        <v>0</v>
      </c>
      <c r="W201" s="13">
        <v>99.757629394531193</v>
      </c>
      <c r="X201" s="13">
        <v>99.468452453613295</v>
      </c>
      <c r="Y201" s="13">
        <v>0</v>
      </c>
      <c r="Z201" s="10">
        <v>19.599761143818899</v>
      </c>
      <c r="AA201" s="10">
        <v>31.689797215648301</v>
      </c>
      <c r="AB201" s="10">
        <v>31.670454690500499</v>
      </c>
      <c r="AC201" s="10">
        <v>31.506864668796698</v>
      </c>
      <c r="AD201" s="10">
        <v>4.0446776455344997</v>
      </c>
      <c r="AE201" s="10">
        <v>4.27238303859711</v>
      </c>
      <c r="AF201" s="10">
        <v>4.5302430843104498</v>
      </c>
      <c r="AG201" s="10">
        <v>15.38568084608346</v>
      </c>
      <c r="AH201" s="10">
        <v>15.671351052284383</v>
      </c>
      <c r="AI201" s="12">
        <f>VLOOKUP(B201,[7]all!$A$2:$I$247,6,FALSE)</f>
        <v>49.46</v>
      </c>
      <c r="AJ201" s="12">
        <f>VLOOKUP(B201,[7]all!$A$2:$I$247,7,FALSE)</f>
        <v>49.54</v>
      </c>
      <c r="AK201" s="12">
        <f>VLOOKUP(B201,[7]all!$A$2:$I$247,8,FALSE)</f>
        <v>49.61</v>
      </c>
      <c r="AL201" s="12"/>
    </row>
    <row r="202" spans="1:38" ht="21.4" x14ac:dyDescent="1.1000000000000001">
      <c r="A202" s="10" t="s">
        <v>399</v>
      </c>
      <c r="B202" s="11" t="s">
        <v>400</v>
      </c>
      <c r="C202" s="10" t="s">
        <v>487</v>
      </c>
      <c r="D202" s="12" t="str">
        <f>VLOOKUP(B202,'[2]Metadata - Countries'!$A$1:$B$266,2,FALSE)</f>
        <v>Latin America &amp; Caribbean</v>
      </c>
      <c r="E202" s="12" t="str">
        <f>VLOOKUP(B202,'[2]Metadata - Countries'!$A$1:$C$266,3,FALSE)</f>
        <v>High income</v>
      </c>
      <c r="F202" s="12"/>
      <c r="G202" s="10">
        <v>93.146218201062595</v>
      </c>
      <c r="H202" s="12">
        <f>VLOOKUP(B202,[4]tas!$A$2:$H$247,5,FALSE)</f>
        <v>26.42</v>
      </c>
      <c r="I202" s="12">
        <f>VLOOKUP(B202,[4]tas!$A$2:$H$247,6,FALSE)</f>
        <v>26.43</v>
      </c>
      <c r="J202" s="12">
        <f>VLOOKUP(B202,[4]tas!$A$2:$H$247,7,FALSE)</f>
        <v>26.46</v>
      </c>
      <c r="K202" s="10">
        <v>1434119000</v>
      </c>
      <c r="L202" s="10">
        <v>1638653000</v>
      </c>
      <c r="M202" s="10">
        <v>1745378000</v>
      </c>
      <c r="N202" s="10">
        <f>VLOOKUP(B202,[2]Data!$B$1:$G$267,4,FALSE)</f>
        <v>31280.541802080836</v>
      </c>
      <c r="O202" s="10">
        <f>VLOOKUP(B202,[2]Data!$B$1:$G$267,5,FALSE)</f>
        <v>35470.215160829473</v>
      </c>
      <c r="P202" s="10">
        <f>VLOOKUP(B202,[2]Data!$B$1:$G$267,6,FALSE)</f>
        <v>37506.779843128825</v>
      </c>
      <c r="Q202" s="12">
        <f>VLOOKUP(B202,[5]Sheet1!$B$421:$K$628,10,FALSE)</f>
        <v>0</v>
      </c>
      <c r="R202" s="12">
        <f>VLOOKUP(B202,[5]Sheet1!$B$213:$K$420,10,FALSE)</f>
        <v>0</v>
      </c>
      <c r="S202" s="12">
        <f>VLOOKUP(B202,[5]Sheet1!$B$2:$K$207,10,FALSE)</f>
        <v>0</v>
      </c>
      <c r="T202" s="12">
        <f>VLOOKUP(B202,[6]Sheet1!$B$421:$K$628,10,FALSE)</f>
        <v>0</v>
      </c>
      <c r="U202" s="12">
        <f>VLOOKUP(B202,[6]Sheet1!$B$213:$K$420,10,FALSE)</f>
        <v>0</v>
      </c>
      <c r="V202" s="12">
        <f>VLOOKUP(B202,[6]Sheet1!$B$2:$K$212,10,FALSE)</f>
        <v>0</v>
      </c>
      <c r="W202" s="13">
        <v>0</v>
      </c>
      <c r="X202" s="13">
        <v>0</v>
      </c>
      <c r="Y202" s="13">
        <v>0</v>
      </c>
      <c r="Z202" s="10">
        <v>0</v>
      </c>
      <c r="AA202" s="10">
        <v>16.3705763673047</v>
      </c>
      <c r="AB202" s="10">
        <v>16.2182345556085</v>
      </c>
      <c r="AC202" s="10">
        <v>16.0708721486209</v>
      </c>
      <c r="AD202" s="10">
        <v>10.6058127487867</v>
      </c>
      <c r="AE202" s="10">
        <v>10.898740205203699</v>
      </c>
      <c r="AF202" s="10">
        <v>11.2518668944547</v>
      </c>
      <c r="AG202" s="10">
        <v>48.26</v>
      </c>
      <c r="AH202" s="10">
        <v>48.629473684210524</v>
      </c>
      <c r="AI202" s="12">
        <f>VLOOKUP(B202,[7]all!$A$2:$I$247,6,FALSE)</f>
        <v>79.37</v>
      </c>
      <c r="AJ202" s="12">
        <f>VLOOKUP(B202,[7]all!$A$2:$I$247,7,FALSE)</f>
        <v>79.42</v>
      </c>
      <c r="AK202" s="12">
        <f>VLOOKUP(B202,[7]all!$A$2:$I$247,8,FALSE)</f>
        <v>79.3</v>
      </c>
      <c r="AL202" s="12"/>
    </row>
    <row r="203" spans="1:38" ht="21.4" x14ac:dyDescent="1.1000000000000001">
      <c r="A203" s="10" t="s">
        <v>401</v>
      </c>
      <c r="B203" s="11" t="s">
        <v>402</v>
      </c>
      <c r="C203" s="10" t="str">
        <f>VLOOKUP(B203,'[1]who-regions'!$B$1:$D$206,3,FALSE)</f>
        <v>WPR</v>
      </c>
      <c r="D203" s="12" t="str">
        <f>VLOOKUP(B203,'[2]Metadata - Countries'!$A$1:$B$266,2,FALSE)</f>
        <v>East Asia &amp; Pacific</v>
      </c>
      <c r="E203" s="12" t="str">
        <f>VLOOKUP(B203,'[2]Metadata - Countries'!$A$1:$C$266,3,FALSE)</f>
        <v>Upper middle income</v>
      </c>
      <c r="F203" s="12"/>
      <c r="G203" s="10">
        <v>83.546334661925499</v>
      </c>
      <c r="H203" s="12">
        <f>VLOOKUP(B203,[4]tas!$A$2:$H$247,5,FALSE)</f>
        <v>27.66</v>
      </c>
      <c r="I203" s="12">
        <f>VLOOKUP(B203,[4]tas!$A$2:$H$247,6,FALSE)</f>
        <v>27.72</v>
      </c>
      <c r="J203" s="12">
        <f>VLOOKUP(B203,[4]tas!$A$2:$H$247,7,FALSE)</f>
        <v>27.72</v>
      </c>
      <c r="K203" s="10">
        <v>59065982.087365709</v>
      </c>
      <c r="L203" s="10">
        <v>62280311.585217156</v>
      </c>
      <c r="M203" s="10">
        <v>0</v>
      </c>
      <c r="N203" s="10">
        <f>VLOOKUP(B203,[2]Data!$B$1:$G$267,4,FALSE)</f>
        <v>5911.3272705530135</v>
      </c>
      <c r="O203" s="10">
        <f>VLOOKUP(B203,[2]Data!$B$1:$G$267,5,FALSE)</f>
        <v>6344.7750188689033</v>
      </c>
      <c r="P203" s="10">
        <f>VLOOKUP(B203,[2]Data!$B$1:$G$267,6,FALSE)</f>
        <v>0</v>
      </c>
      <c r="Q203" s="12">
        <f>VLOOKUP(B203,[5]Sheet1!$B$421:$K$628,10,FALSE)</f>
        <v>0</v>
      </c>
      <c r="R203" s="12">
        <f>VLOOKUP(B203,[5]Sheet1!$B$213:$K$420,10,FALSE)</f>
        <v>0</v>
      </c>
      <c r="S203" s="12">
        <f>VLOOKUP(B203,[5]Sheet1!$B$2:$K$207,10,FALSE)</f>
        <v>0</v>
      </c>
      <c r="T203" s="12">
        <f>VLOOKUP(B203,[6]Sheet1!$B$421:$K$628,10,FALSE)</f>
        <v>0</v>
      </c>
      <c r="U203" s="12">
        <f>VLOOKUP(B203,[6]Sheet1!$B$213:$K$420,10,FALSE)</f>
        <v>0</v>
      </c>
      <c r="V203" s="12">
        <f>VLOOKUP(B203,[6]Sheet1!$B$2:$K$212,10,FALSE)</f>
        <v>0</v>
      </c>
      <c r="W203" s="13">
        <v>0</v>
      </c>
      <c r="X203" s="13">
        <v>0</v>
      </c>
      <c r="Y203" s="13">
        <v>0</v>
      </c>
      <c r="Z203" s="10">
        <v>5.9178010559126202</v>
      </c>
      <c r="AA203" s="10">
        <v>31.985588470776602</v>
      </c>
      <c r="AB203" s="10">
        <v>32.601497631297399</v>
      </c>
      <c r="AC203" s="10">
        <v>32.9480068425691</v>
      </c>
      <c r="AD203" s="10">
        <v>5.8847077662129701</v>
      </c>
      <c r="AE203" s="10">
        <v>6.2757882940247596</v>
      </c>
      <c r="AF203" s="10">
        <v>6.6663210823700201</v>
      </c>
      <c r="AG203" s="10">
        <v>333.06666666666666</v>
      </c>
      <c r="AH203" s="10">
        <v>327.2</v>
      </c>
      <c r="AI203" s="12">
        <f>VLOOKUP(B203,[7]all!$A$2:$I$247,6,FALSE)</f>
        <v>82.61</v>
      </c>
      <c r="AJ203" s="12">
        <f>VLOOKUP(B203,[7]all!$A$2:$I$247,7,FALSE)</f>
        <v>82.67</v>
      </c>
      <c r="AK203" s="12">
        <f>VLOOKUP(B203,[7]all!$A$2:$I$247,8,FALSE)</f>
        <v>82.5</v>
      </c>
      <c r="AL203" s="12"/>
    </row>
    <row r="204" spans="1:38" ht="21.4" x14ac:dyDescent="1.1000000000000001">
      <c r="A204" s="10" t="s">
        <v>403</v>
      </c>
      <c r="B204" s="11" t="s">
        <v>404</v>
      </c>
      <c r="C204" s="10" t="str">
        <f>VLOOKUP(B204,'[1]who-regions'!$B$1:$D$206,3,FALSE)</f>
        <v>AFR</v>
      </c>
      <c r="D204" s="12" t="str">
        <f>VLOOKUP(B204,'[2]Metadata - Countries'!$A$1:$B$266,2,FALSE)</f>
        <v>Sub-Saharan Africa</v>
      </c>
      <c r="E204" s="12" t="str">
        <f>VLOOKUP(B204,'[2]Metadata - Countries'!$A$1:$C$266,3,FALSE)</f>
        <v>Low income</v>
      </c>
      <c r="F204" s="12"/>
      <c r="G204" s="10">
        <v>21.0121303393868</v>
      </c>
      <c r="H204" s="12">
        <f>VLOOKUP(B204,[4]tas!$A$2:$H$247,5,FALSE)</f>
        <v>23.56</v>
      </c>
      <c r="I204" s="12">
        <f>VLOOKUP(B204,[4]tas!$A$2:$H$247,6,FALSE)</f>
        <v>23.63</v>
      </c>
      <c r="J204" s="12">
        <f>VLOOKUP(B204,[4]tas!$A$2:$H$247,7,FALSE)</f>
        <v>23.72</v>
      </c>
      <c r="K204" s="10">
        <v>45565333216.414154</v>
      </c>
      <c r="L204" s="10">
        <v>48768955859.283386</v>
      </c>
      <c r="M204" s="10">
        <v>53651874313.98362</v>
      </c>
      <c r="N204" s="10">
        <f>VLOOKUP(B204,[2]Data!$B$1:$G$267,4,FALSE)</f>
        <v>963.06731411717828</v>
      </c>
      <c r="O204" s="10">
        <f>VLOOKUP(B204,[2]Data!$B$1:$G$267,5,FALSE)</f>
        <v>1002.3091391714248</v>
      </c>
      <c r="P204" s="10">
        <f>VLOOKUP(B204,[2]Data!$B$1:$G$267,6,FALSE)</f>
        <v>1077.9127845281687</v>
      </c>
      <c r="Q204" s="12">
        <f>VLOOKUP(B204,[5]Sheet1!$B$421:$K$628,10,FALSE)</f>
        <v>0</v>
      </c>
      <c r="R204" s="12">
        <f>VLOOKUP(B204,[5]Sheet1!$B$213:$K$420,10,FALSE)</f>
        <v>0</v>
      </c>
      <c r="S204" s="12">
        <f>VLOOKUP(B204,[5]Sheet1!$B$2:$K$207,10,FALSE)</f>
        <v>0</v>
      </c>
      <c r="T204" s="12">
        <f>VLOOKUP(B204,[6]Sheet1!$B$421:$K$628,10,FALSE)</f>
        <v>0</v>
      </c>
      <c r="U204" s="12">
        <f>VLOOKUP(B204,[6]Sheet1!$B$213:$K$420,10,FALSE)</f>
        <v>0</v>
      </c>
      <c r="V204" s="12">
        <f>VLOOKUP(B204,[6]Sheet1!$B$2:$K$212,10,FALSE)</f>
        <v>0</v>
      </c>
      <c r="W204" s="13">
        <v>0</v>
      </c>
      <c r="X204" s="13">
        <v>0</v>
      </c>
      <c r="Y204" s="13">
        <v>0</v>
      </c>
      <c r="Z204" s="10">
        <v>33.807719257164202</v>
      </c>
      <c r="AA204" s="10">
        <v>44.3070937826772</v>
      </c>
      <c r="AB204" s="10">
        <v>43.938060491134003</v>
      </c>
      <c r="AC204" s="10">
        <v>43.543016540457302</v>
      </c>
      <c r="AD204" s="10">
        <v>2.1152049820344798</v>
      </c>
      <c r="AE204" s="10">
        <v>2.1505827939914801</v>
      </c>
      <c r="AF204" s="10">
        <v>2.1885663812378202</v>
      </c>
      <c r="AG204" s="10">
        <v>235.9501246758428</v>
      </c>
      <c r="AH204" s="10">
        <v>242.65210951526032</v>
      </c>
      <c r="AI204" s="12">
        <f>VLOOKUP(B204,[7]all!$A$2:$I$247,6,FALSE)</f>
        <v>71.55</v>
      </c>
      <c r="AJ204" s="12">
        <f>VLOOKUP(B204,[7]all!$A$2:$I$247,7,FALSE)</f>
        <v>71.34</v>
      </c>
      <c r="AK204" s="12">
        <f>VLOOKUP(B204,[7]all!$A$2:$I$247,8,FALSE)</f>
        <v>71.349999999999994</v>
      </c>
      <c r="AL204" s="15">
        <v>23608</v>
      </c>
    </row>
    <row r="205" spans="1:38" ht="21.4" x14ac:dyDescent="1.1000000000000001">
      <c r="A205" s="10" t="s">
        <v>405</v>
      </c>
      <c r="B205" s="11" t="s">
        <v>406</v>
      </c>
      <c r="C205" s="10" t="str">
        <f>VLOOKUP(B205,'[1]who-regions'!$B$1:$D$206,3,FALSE)</f>
        <v>EUR</v>
      </c>
      <c r="D205" s="12" t="str">
        <f>VLOOKUP(B205,'[2]Metadata - Countries'!$A$1:$B$266,2,FALSE)</f>
        <v>Europe &amp; Central Asia</v>
      </c>
      <c r="E205" s="12" t="str">
        <f>VLOOKUP(B205,'[2]Metadata - Countries'!$A$1:$C$266,3,FALSE)</f>
        <v>Upper middle income</v>
      </c>
      <c r="F205" s="12"/>
      <c r="G205" s="10">
        <v>97.745300718557502</v>
      </c>
      <c r="H205" s="12">
        <f>VLOOKUP(B205,[4]tas!$A$2:$H$247,5,FALSE)</f>
        <v>10.039999999999999</v>
      </c>
      <c r="I205" s="12">
        <f>VLOOKUP(B205,[4]tas!$A$2:$H$247,6,FALSE)</f>
        <v>9.93</v>
      </c>
      <c r="J205" s="12">
        <f>VLOOKUP(B205,[4]tas!$A$2:$H$247,7,FALSE)</f>
        <v>9.8800000000000008</v>
      </c>
      <c r="K205" s="10">
        <v>161989520721.19049</v>
      </c>
      <c r="L205" s="10">
        <v>181221517868.74365</v>
      </c>
      <c r="M205" s="10">
        <v>190741263731.53488</v>
      </c>
      <c r="N205" s="10">
        <f>VLOOKUP(B205,[2]Data!$B$1:$G$267,4,FALSE)</f>
        <v>4199.6708984375</v>
      </c>
      <c r="O205" s="10">
        <f>VLOOKUP(B205,[2]Data!$B$1:$G$267,5,FALSE)</f>
        <v>5139.59814453125</v>
      </c>
      <c r="P205" s="10">
        <f>VLOOKUP(B205,[2]Data!$B$1:$G$267,6,FALSE)</f>
        <v>5389.47314453125</v>
      </c>
      <c r="Q205" s="12">
        <f>VLOOKUP(B205,[5]Sheet1!$B$421:$K$628,10,FALSE)</f>
        <v>0.24</v>
      </c>
      <c r="R205" s="12">
        <f>VLOOKUP(B205,[5]Sheet1!$B$213:$K$420,10,FALSE)</f>
        <v>0.24</v>
      </c>
      <c r="S205" s="12">
        <f>VLOOKUP(B205,[5]Sheet1!$B$2:$K$207,10,FALSE)</f>
        <v>0</v>
      </c>
      <c r="T205" s="12">
        <f>VLOOKUP(B205,[6]Sheet1!$B$421:$K$628,10,FALSE)</f>
        <v>0.19</v>
      </c>
      <c r="U205" s="12">
        <f>VLOOKUP(B205,[6]Sheet1!$B$213:$K$420,10,FALSE)</f>
        <v>0.19</v>
      </c>
      <c r="V205" s="12">
        <f>VLOOKUP(B205,[6]Sheet1!$B$2:$K$212,10,FALSE)</f>
        <v>2.4</v>
      </c>
      <c r="W205" s="13">
        <v>0</v>
      </c>
      <c r="X205" s="13">
        <v>93.590049743652301</v>
      </c>
      <c r="Y205" s="13">
        <v>0</v>
      </c>
      <c r="Z205" s="10">
        <v>14.900100988789999</v>
      </c>
      <c r="AA205" s="10">
        <v>14.821728136723999</v>
      </c>
      <c r="AB205" s="10">
        <v>14.295537105871601</v>
      </c>
      <c r="AC205" s="10">
        <v>13.8885360192623</v>
      </c>
      <c r="AD205" s="10">
        <v>17.8569387445167</v>
      </c>
      <c r="AE205" s="10">
        <v>18.557534590794301</v>
      </c>
      <c r="AF205" s="10">
        <v>18.962448489637101</v>
      </c>
      <c r="AG205" s="10">
        <v>70.847024508111843</v>
      </c>
      <c r="AH205" s="10">
        <v>65.123983431135656</v>
      </c>
      <c r="AI205" s="12">
        <f>VLOOKUP(B205,[7]all!$A$2:$I$247,6,FALSE)</f>
        <v>73.739999999999995</v>
      </c>
      <c r="AJ205" s="12">
        <f>VLOOKUP(B205,[7]all!$A$2:$I$247,7,FALSE)</f>
        <v>74.13</v>
      </c>
      <c r="AK205" s="12">
        <f>VLOOKUP(B205,[7]all!$A$2:$I$247,8,FALSE)</f>
        <v>74.150000000000006</v>
      </c>
      <c r="AL205" s="12"/>
    </row>
    <row r="206" spans="1:38" ht="21.4" x14ac:dyDescent="1.1000000000000001">
      <c r="A206" s="10" t="s">
        <v>407</v>
      </c>
      <c r="B206" s="11" t="s">
        <v>408</v>
      </c>
      <c r="C206" s="10" t="str">
        <f>VLOOKUP(B206,'[1]who-regions'!$B$1:$D$206,3,FALSE)</f>
        <v>EMR</v>
      </c>
      <c r="D206" s="12" t="str">
        <f>VLOOKUP(B206,'[2]Metadata - Countries'!$A$1:$B$266,2,FALSE)</f>
        <v>Middle East &amp; North Africa</v>
      </c>
      <c r="E206" s="12" t="str">
        <f>VLOOKUP(B206,'[2]Metadata - Countries'!$A$1:$C$266,3,FALSE)</f>
        <v>High income</v>
      </c>
      <c r="F206" s="12"/>
      <c r="G206" s="10">
        <v>99.0913054641249</v>
      </c>
      <c r="H206" s="12">
        <f>VLOOKUP(B206,[4]tas!$A$2:$H$247,5,FALSE)</f>
        <v>28.43</v>
      </c>
      <c r="I206" s="12">
        <f>VLOOKUP(B206,[4]tas!$A$2:$H$247,6,FALSE)</f>
        <v>28.44</v>
      </c>
      <c r="J206" s="12">
        <f>VLOOKUP(B206,[4]tas!$A$2:$H$247,7,FALSE)</f>
        <v>28.49</v>
      </c>
      <c r="K206" s="10">
        <v>502731935194.00952</v>
      </c>
      <c r="L206" s="10">
        <v>514130432648.05994</v>
      </c>
      <c r="M206" s="10">
        <v>537078829135.46631</v>
      </c>
      <c r="N206" s="10">
        <f>VLOOKUP(B206,[2]Data!$B$1:$G$267,4,FALSE)</f>
        <v>50759.758923119138</v>
      </c>
      <c r="O206" s="10">
        <f>VLOOKUP(B206,[2]Data!$B$1:$G$267,5,FALSE)</f>
        <v>49850.687217516395</v>
      </c>
      <c r="P206" s="10">
        <f>VLOOKUP(B206,[2]Data!$B$1:$G$267,6,FALSE)</f>
        <v>50273.506046983675</v>
      </c>
      <c r="Q206" s="12">
        <f>VLOOKUP(B206,[5]Sheet1!$B$421:$K$628,10,FALSE)</f>
        <v>0</v>
      </c>
      <c r="R206" s="12">
        <f>VLOOKUP(B206,[5]Sheet1!$B$213:$K$420,10,FALSE)</f>
        <v>0</v>
      </c>
      <c r="S206" s="12">
        <f>VLOOKUP(B206,[5]Sheet1!$B$2:$K$207,10,FALSE)</f>
        <v>0</v>
      </c>
      <c r="T206" s="12">
        <f>VLOOKUP(B206,[6]Sheet1!$B$421:$K$628,10,FALSE)</f>
        <v>0</v>
      </c>
      <c r="U206" s="12">
        <f>VLOOKUP(B206,[6]Sheet1!$B$213:$K$420,10,FALSE)</f>
        <v>0</v>
      </c>
      <c r="V206" s="12">
        <f>VLOOKUP(B206,[6]Sheet1!$B$2:$K$212,10,FALSE)</f>
        <v>0</v>
      </c>
      <c r="W206" s="13">
        <v>0</v>
      </c>
      <c r="X206" s="13">
        <v>0</v>
      </c>
      <c r="Y206" s="13">
        <v>0</v>
      </c>
      <c r="Z206" s="10">
        <v>36.305503082659399</v>
      </c>
      <c r="AA206" s="10">
        <v>16.4756028959529</v>
      </c>
      <c r="AB206" s="10">
        <v>16.3389425432864</v>
      </c>
      <c r="AC206" s="10">
        <v>16.1109795668483</v>
      </c>
      <c r="AD206" s="10">
        <v>1.63973912932682</v>
      </c>
      <c r="AE206" s="10">
        <v>1.69563170962521</v>
      </c>
      <c r="AF206" s="10">
        <v>1.7669603756335801</v>
      </c>
      <c r="AG206" s="10">
        <v>141.86112362714729</v>
      </c>
      <c r="AH206" s="10">
        <v>147.61688256829063</v>
      </c>
      <c r="AI206" s="12">
        <f>VLOOKUP(B206,[7]all!$A$2:$I$247,6,FALSE)</f>
        <v>47.58</v>
      </c>
      <c r="AJ206" s="12">
        <f>VLOOKUP(B206,[7]all!$A$2:$I$247,7,FALSE)</f>
        <v>47.48</v>
      </c>
      <c r="AK206" s="12">
        <f>VLOOKUP(B206,[7]all!$A$2:$I$247,8,FALSE)</f>
        <v>47.22</v>
      </c>
      <c r="AL206" s="12"/>
    </row>
    <row r="207" spans="1:38" ht="21.4" x14ac:dyDescent="1.1000000000000001">
      <c r="A207" s="10" t="s">
        <v>409</v>
      </c>
      <c r="B207" s="11" t="s">
        <v>410</v>
      </c>
      <c r="C207" s="10" t="str">
        <f>VLOOKUP(B207,'[1]who-regions'!$B$1:$D$206,3,FALSE)</f>
        <v>EUR</v>
      </c>
      <c r="D207" s="12" t="str">
        <f>VLOOKUP(B207,'[2]Metadata - Countries'!$A$1:$B$266,2,FALSE)</f>
        <v>Europe &amp; Central Asia</v>
      </c>
      <c r="E207" s="12" t="str">
        <f>VLOOKUP(B207,'[2]Metadata - Countries'!$A$1:$C$266,3,FALSE)</f>
        <v>High income</v>
      </c>
      <c r="F207" s="12"/>
      <c r="G207" s="10">
        <v>99.104790264294095</v>
      </c>
      <c r="H207" s="12">
        <f>VLOOKUP(B207,[4]tas!$A$2:$H$247,5,FALSE)</f>
        <v>9.76</v>
      </c>
      <c r="I207" s="12">
        <f>VLOOKUP(B207,[4]tas!$A$2:$H$247,6,FALSE)</f>
        <v>9.7100000000000009</v>
      </c>
      <c r="J207" s="12">
        <f>VLOOKUP(B207,[4]tas!$A$2:$H$247,7,FALSE)</f>
        <v>9.7799999999999994</v>
      </c>
      <c r="K207" s="10">
        <v>3114042471144.3877</v>
      </c>
      <c r="L207" s="10">
        <v>3369861888972.877</v>
      </c>
      <c r="M207" s="10">
        <v>3643834188782.9146</v>
      </c>
      <c r="N207" s="10">
        <f>VLOOKUP(B207,[2]Data!$B$1:$G$267,4,FALSE)</f>
        <v>47057.043229178962</v>
      </c>
      <c r="O207" s="10">
        <f>VLOOKUP(B207,[2]Data!$B$1:$G$267,5,FALSE)</f>
        <v>49944.470212420143</v>
      </c>
      <c r="P207" s="10">
        <f>VLOOKUP(B207,[2]Data!$B$1:$G$267,6,FALSE)</f>
        <v>53246.367614510847</v>
      </c>
      <c r="Q207" s="12">
        <f>VLOOKUP(B207,[5]Sheet1!$B$421:$K$628,10,FALSE)</f>
        <v>0</v>
      </c>
      <c r="R207" s="12">
        <f>VLOOKUP(B207,[5]Sheet1!$B$213:$K$420,10,FALSE)</f>
        <v>0</v>
      </c>
      <c r="S207" s="12">
        <f>VLOOKUP(B207,[5]Sheet1!$B$2:$K$207,10,FALSE)</f>
        <v>0</v>
      </c>
      <c r="T207" s="12">
        <f>VLOOKUP(B207,[6]Sheet1!$B$421:$K$628,10,FALSE)</f>
        <v>84.19</v>
      </c>
      <c r="U207" s="12">
        <f>VLOOKUP(B207,[6]Sheet1!$B$213:$K$420,10,FALSE)</f>
        <v>75.510000000000005</v>
      </c>
      <c r="V207" s="12">
        <f>VLOOKUP(B207,[6]Sheet1!$B$2:$K$212,10,FALSE)</f>
        <v>77.819999999999993</v>
      </c>
      <c r="W207" s="13">
        <v>0</v>
      </c>
      <c r="X207" s="13">
        <v>0</v>
      </c>
      <c r="Y207" s="13">
        <v>0</v>
      </c>
      <c r="Z207" s="10">
        <v>9.9128856028211398</v>
      </c>
      <c r="AA207" s="10">
        <v>17.629257366187499</v>
      </c>
      <c r="AB207" s="10">
        <v>17.4091420415944</v>
      </c>
      <c r="AC207" s="10">
        <v>17.185046704613299</v>
      </c>
      <c r="AD207" s="10">
        <v>18.930314722798901</v>
      </c>
      <c r="AE207" s="10">
        <v>19.238129106618</v>
      </c>
      <c r="AF207" s="10">
        <v>19.4997673608515</v>
      </c>
      <c r="AG207" s="10">
        <v>279.43620055387925</v>
      </c>
      <c r="AH207" s="10">
        <v>283.10668375149839</v>
      </c>
      <c r="AI207" s="12">
        <f>VLOOKUP(B207,[7]all!$A$2:$I$247,6,FALSE)</f>
        <v>82.3</v>
      </c>
      <c r="AJ207" s="12">
        <f>VLOOKUP(B207,[7]all!$A$2:$I$247,7,FALSE)</f>
        <v>82.3</v>
      </c>
      <c r="AK207" s="12">
        <f>VLOOKUP(B207,[7]all!$A$2:$I$247,8,FALSE)</f>
        <v>82.34</v>
      </c>
      <c r="AL207" s="15">
        <v>2914000</v>
      </c>
    </row>
    <row r="208" spans="1:38" ht="21.4" x14ac:dyDescent="1.1000000000000001">
      <c r="A208" s="10" t="s">
        <v>411</v>
      </c>
      <c r="B208" s="11" t="s">
        <v>412</v>
      </c>
      <c r="C208" s="10" t="str">
        <f>VLOOKUP(B208,'[1]who-regions'!$B$1:$D$206,3,FALSE)</f>
        <v>AMR</v>
      </c>
      <c r="D208" s="12" t="str">
        <f>VLOOKUP(B208,'[2]Metadata - Countries'!$A$1:$B$266,2,FALSE)</f>
        <v>North America</v>
      </c>
      <c r="E208" s="12" t="str">
        <f>VLOOKUP(B208,'[2]Metadata - Countries'!$A$1:$C$266,3,FALSE)</f>
        <v>High income</v>
      </c>
      <c r="F208" s="12"/>
      <c r="G208" s="10">
        <v>99.631610907923005</v>
      </c>
      <c r="H208" s="12">
        <f>VLOOKUP(B208,[4]tas!$A$2:$H$247,5,FALSE)</f>
        <v>11.06</v>
      </c>
      <c r="I208" s="12">
        <f>VLOOKUP(B208,[4]tas!$A$2:$H$247,6,FALSE)</f>
        <v>11</v>
      </c>
      <c r="J208" s="12">
        <f>VLOOKUP(B208,[4]tas!$A$2:$H$247,7,FALSE)</f>
        <v>11.12</v>
      </c>
      <c r="K208" s="10">
        <v>26006893000000</v>
      </c>
      <c r="L208" s="10">
        <v>27720709000000</v>
      </c>
      <c r="M208" s="10">
        <v>29184890000000</v>
      </c>
      <c r="N208" s="10">
        <f>VLOOKUP(B208,[2]Data!$B$1:$G$267,4,FALSE)</f>
        <v>76657.248884440341</v>
      </c>
      <c r="O208" s="10">
        <f>VLOOKUP(B208,[2]Data!$B$1:$G$267,5,FALSE)</f>
        <v>81032.26211754496</v>
      </c>
      <c r="P208" s="10">
        <f>VLOOKUP(B208,[2]Data!$B$1:$G$267,6,FALSE)</f>
        <v>84534.040784154844</v>
      </c>
      <c r="Q208" s="12">
        <f>VLOOKUP(B208,[5]Sheet1!$B$421:$K$628,10,FALSE)</f>
        <v>0</v>
      </c>
      <c r="R208" s="12">
        <f>VLOOKUP(B208,[5]Sheet1!$B$213:$K$420,10,FALSE)</f>
        <v>0</v>
      </c>
      <c r="S208" s="12" t="e">
        <f>VLOOKUP(B208,[5]Sheet1!$B$2:$K$207,10,FALSE)</f>
        <v>#N/A</v>
      </c>
      <c r="T208" s="12">
        <f>VLOOKUP(B208,[6]Sheet1!$B$421:$K$628,10,FALSE)</f>
        <v>0</v>
      </c>
      <c r="U208" s="12">
        <f>VLOOKUP(B208,[6]Sheet1!$B$213:$K$420,10,FALSE)</f>
        <v>0</v>
      </c>
      <c r="V208" s="12" t="e">
        <f>VLOOKUP(B208,[6]Sheet1!$B$2:$K$212,10,FALSE)</f>
        <v>#N/A</v>
      </c>
      <c r="W208" s="13">
        <v>0</v>
      </c>
      <c r="X208" s="13">
        <v>0</v>
      </c>
      <c r="Y208" s="13">
        <v>0</v>
      </c>
      <c r="Z208" s="10">
        <v>7.8148575236511197</v>
      </c>
      <c r="AA208" s="10">
        <v>17.881825195667101</v>
      </c>
      <c r="AB208" s="10">
        <v>17.594637649089702</v>
      </c>
      <c r="AC208" s="10">
        <v>17.324576921443601</v>
      </c>
      <c r="AD208" s="10">
        <v>16.9196203896458</v>
      </c>
      <c r="AE208" s="10">
        <v>17.431819482353902</v>
      </c>
      <c r="AF208" s="10">
        <v>17.928730213403298</v>
      </c>
      <c r="AG208" s="10">
        <v>36.514921256485437</v>
      </c>
      <c r="AH208" s="10">
        <v>36.819806131127685</v>
      </c>
      <c r="AI208" s="12">
        <f>VLOOKUP(B208,[7]all!$A$2:$I$247,6,FALSE)</f>
        <v>60.98</v>
      </c>
      <c r="AJ208" s="12">
        <f>VLOOKUP(B208,[7]all!$A$2:$I$247,7,FALSE)</f>
        <v>61.05</v>
      </c>
      <c r="AK208" s="12">
        <f>VLOOKUP(B208,[7]all!$A$2:$I$247,8,FALSE)</f>
        <v>60.75</v>
      </c>
      <c r="AL208" s="12"/>
    </row>
    <row r="209" spans="1:38" ht="21.4" x14ac:dyDescent="1.1000000000000001">
      <c r="A209" s="10" t="s">
        <v>413</v>
      </c>
      <c r="B209" s="11" t="s">
        <v>414</v>
      </c>
      <c r="C209" s="10" t="str">
        <f>VLOOKUP(B209,'[1]who-regions'!$B$1:$D$206,3,FALSE)</f>
        <v>AMR</v>
      </c>
      <c r="D209" s="12" t="str">
        <f>VLOOKUP(B209,'[2]Metadata - Countries'!$A$1:$B$266,2,FALSE)</f>
        <v>Latin America &amp; Caribbean</v>
      </c>
      <c r="E209" s="12" t="str">
        <f>VLOOKUP(B209,'[2]Metadata - Countries'!$A$1:$C$266,3,FALSE)</f>
        <v>High income</v>
      </c>
      <c r="F209" s="12"/>
      <c r="G209" s="10">
        <v>98.324831288672101</v>
      </c>
      <c r="H209" s="12">
        <f>VLOOKUP(B209,[4]tas!$A$2:$H$247,5,FALSE)</f>
        <v>18.13</v>
      </c>
      <c r="I209" s="12">
        <f>VLOOKUP(B209,[4]tas!$A$2:$H$247,6,FALSE)</f>
        <v>18.100000000000001</v>
      </c>
      <c r="J209" s="12">
        <f>VLOOKUP(B209,[4]tas!$A$2:$H$247,7,FALSE)</f>
        <v>18.100000000000001</v>
      </c>
      <c r="K209" s="10">
        <v>70594110920.035782</v>
      </c>
      <c r="L209" s="10">
        <v>77991666837.73819</v>
      </c>
      <c r="M209" s="10">
        <v>80961511073.579651</v>
      </c>
      <c r="N209" s="10">
        <f>VLOOKUP(B209,[2]Data!$B$1:$G$267,4,FALSE)</f>
        <v>20818.614609114353</v>
      </c>
      <c r="O209" s="10">
        <f>VLOOKUP(B209,[2]Data!$B$1:$G$267,5,FALSE)</f>
        <v>23019.422156004592</v>
      </c>
      <c r="P209" s="10">
        <f>VLOOKUP(B209,[2]Data!$B$1:$G$267,6,FALSE)</f>
        <v>23906.513302940792</v>
      </c>
      <c r="Q209" s="12">
        <f>VLOOKUP(B209,[5]Sheet1!$B$421:$K$628,10,FALSE)</f>
        <v>0</v>
      </c>
      <c r="R209" s="12">
        <f>VLOOKUP(B209,[5]Sheet1!$B$213:$K$420,10,FALSE)</f>
        <v>0</v>
      </c>
      <c r="S209" s="12">
        <f>VLOOKUP(B209,[5]Sheet1!$B$2:$K$207,10,FALSE)</f>
        <v>0</v>
      </c>
      <c r="T209" s="12">
        <f>VLOOKUP(B209,[6]Sheet1!$B$421:$K$628,10,FALSE)</f>
        <v>32.72</v>
      </c>
      <c r="U209" s="12">
        <f>VLOOKUP(B209,[6]Sheet1!$B$213:$K$420,10,FALSE)</f>
        <v>33.17</v>
      </c>
      <c r="V209" s="12">
        <f>VLOOKUP(B209,[6]Sheet1!$B$2:$K$212,10,FALSE)</f>
        <v>31.73</v>
      </c>
      <c r="W209" s="13">
        <v>88.844100952148395</v>
      </c>
      <c r="X209" s="13">
        <v>0</v>
      </c>
      <c r="Y209" s="13">
        <v>0</v>
      </c>
      <c r="Z209" s="10">
        <v>10.571792325913499</v>
      </c>
      <c r="AA209" s="10">
        <v>19.066856035527898</v>
      </c>
      <c r="AB209" s="10">
        <v>18.685403136082499</v>
      </c>
      <c r="AC209" s="10">
        <v>18.2929719075618</v>
      </c>
      <c r="AD209" s="10">
        <v>15.613405593124901</v>
      </c>
      <c r="AE209" s="10">
        <v>15.812817906776401</v>
      </c>
      <c r="AF209" s="10">
        <v>16.045192985564402</v>
      </c>
      <c r="AG209" s="10">
        <v>19.374431493543597</v>
      </c>
      <c r="AH209" s="10">
        <v>19.358250485658782</v>
      </c>
      <c r="AI209" s="12">
        <f>VLOOKUP(B209,[7]all!$A$2:$I$247,6,FALSE)</f>
        <v>73.37</v>
      </c>
      <c r="AJ209" s="12">
        <f>VLOOKUP(B209,[7]all!$A$2:$I$247,7,FALSE)</f>
        <v>73.3</v>
      </c>
      <c r="AK209" s="12">
        <f>VLOOKUP(B209,[7]all!$A$2:$I$247,8,FALSE)</f>
        <v>72.959999999999994</v>
      </c>
      <c r="AL209" s="12"/>
    </row>
    <row r="210" spans="1:38" ht="21.4" x14ac:dyDescent="1.1000000000000001">
      <c r="A210" s="10" t="s">
        <v>415</v>
      </c>
      <c r="B210" s="11" t="s">
        <v>416</v>
      </c>
      <c r="C210" s="10" t="str">
        <f>VLOOKUP(B210,'[1]who-regions'!$B$1:$D$206,3,FALSE)</f>
        <v>EUR</v>
      </c>
      <c r="D210" s="12" t="str">
        <f>VLOOKUP(B210,'[2]Metadata - Countries'!$A$1:$B$266,2,FALSE)</f>
        <v>Europe &amp; Central Asia</v>
      </c>
      <c r="E210" s="12" t="str">
        <f>VLOOKUP(B210,'[2]Metadata - Countries'!$A$1:$C$266,3,FALSE)</f>
        <v>Lower middle income</v>
      </c>
      <c r="F210" s="12"/>
      <c r="G210" s="10">
        <v>96.306694190097801</v>
      </c>
      <c r="H210" s="12">
        <f>VLOOKUP(B210,[4]tas!$A$2:$H$247,5,FALSE)</f>
        <v>14.19</v>
      </c>
      <c r="I210" s="12">
        <f>VLOOKUP(B210,[4]tas!$A$2:$H$247,6,FALSE)</f>
        <v>14.02</v>
      </c>
      <c r="J210" s="12">
        <f>VLOOKUP(B210,[4]tas!$A$2:$H$247,7,FALSE)</f>
        <v>14.2</v>
      </c>
      <c r="K210" s="10">
        <v>90095926567.435898</v>
      </c>
      <c r="L210" s="10">
        <v>102641879248.76396</v>
      </c>
      <c r="M210" s="10">
        <v>114965293466.61102</v>
      </c>
      <c r="N210" s="10">
        <f>VLOOKUP(B210,[2]Data!$B$1:$G$267,4,FALSE)</f>
        <v>2578.6668939421884</v>
      </c>
      <c r="O210" s="10">
        <f>VLOOKUP(B210,[2]Data!$B$1:$G$267,5,FALSE)</f>
        <v>2878.9687929245074</v>
      </c>
      <c r="P210" s="10">
        <f>VLOOKUP(B210,[2]Data!$B$1:$G$267,6,FALSE)</f>
        <v>3161.7001063287503</v>
      </c>
      <c r="Q210" s="12">
        <f>VLOOKUP(B210,[5]Sheet1!$B$421:$K$628,10,FALSE)</f>
        <v>0</v>
      </c>
      <c r="R210" s="12">
        <f>VLOOKUP(B210,[5]Sheet1!$B$213:$K$420,10,FALSE)</f>
        <v>0</v>
      </c>
      <c r="S210" s="12">
        <f>VLOOKUP(B210,[5]Sheet1!$B$2:$K$207,10,FALSE)</f>
        <v>0</v>
      </c>
      <c r="T210" s="12">
        <f>VLOOKUP(B210,[6]Sheet1!$B$421:$K$628,10,FALSE)</f>
        <v>0</v>
      </c>
      <c r="U210" s="12">
        <f>VLOOKUP(B210,[6]Sheet1!$B$213:$K$420,10,FALSE)</f>
        <v>96.67</v>
      </c>
      <c r="V210" s="12">
        <f>VLOOKUP(B210,[6]Sheet1!$B$2:$K$212,10,FALSE)</f>
        <v>0</v>
      </c>
      <c r="W210" s="13">
        <v>0</v>
      </c>
      <c r="X210" s="13">
        <v>0</v>
      </c>
      <c r="Y210" s="13">
        <v>0</v>
      </c>
      <c r="Z210" s="10">
        <v>31.960429455984901</v>
      </c>
      <c r="AA210" s="10">
        <v>30.568254966866402</v>
      </c>
      <c r="AB210" s="10">
        <v>30.871061163026599</v>
      </c>
      <c r="AC210" s="10">
        <v>31.103426257716901</v>
      </c>
      <c r="AD210" s="10">
        <v>5.54495683192361</v>
      </c>
      <c r="AE210" s="10">
        <v>5.6950409969262301</v>
      </c>
      <c r="AF210" s="10">
        <v>5.8645158928755503</v>
      </c>
      <c r="AG210" s="10">
        <v>79.289223695796224</v>
      </c>
      <c r="AH210" s="10">
        <v>80.90844661295813</v>
      </c>
      <c r="AI210" s="12">
        <f>VLOOKUP(B210,[7]all!$A$2:$I$247,6,FALSE)</f>
        <v>53.55</v>
      </c>
      <c r="AJ210" s="12">
        <f>VLOOKUP(B210,[7]all!$A$2:$I$247,7,FALSE)</f>
        <v>53.74</v>
      </c>
      <c r="AK210" s="12">
        <f>VLOOKUP(B210,[7]all!$A$2:$I$247,8,FALSE)</f>
        <v>53.82</v>
      </c>
      <c r="AL210" s="12"/>
    </row>
    <row r="211" spans="1:38" ht="21.4" x14ac:dyDescent="1.1000000000000001">
      <c r="A211" s="10" t="s">
        <v>417</v>
      </c>
      <c r="B211" s="11" t="s">
        <v>418</v>
      </c>
      <c r="C211" s="10" t="str">
        <f>VLOOKUP(B211,'[1]who-regions'!$B$1:$D$206,3,FALSE)</f>
        <v>WPR</v>
      </c>
      <c r="D211" s="12" t="str">
        <f>VLOOKUP(B211,'[2]Metadata - Countries'!$A$1:$B$266,2,FALSE)</f>
        <v>East Asia &amp; Pacific</v>
      </c>
      <c r="E211" s="12" t="str">
        <f>VLOOKUP(B211,'[2]Metadata - Countries'!$A$1:$C$266,3,FALSE)</f>
        <v>Lower middle income</v>
      </c>
      <c r="F211" s="12"/>
      <c r="G211" s="10">
        <v>46.714933378171899</v>
      </c>
      <c r="H211" s="12">
        <f>VLOOKUP(B211,[4]tas!$A$2:$H$247,5,FALSE)</f>
        <v>25.55</v>
      </c>
      <c r="I211" s="12">
        <f>VLOOKUP(B211,[4]tas!$A$2:$H$247,6,FALSE)</f>
        <v>25.62</v>
      </c>
      <c r="J211" s="12">
        <f>VLOOKUP(B211,[4]tas!$A$2:$H$247,7,FALSE)</f>
        <v>25.58</v>
      </c>
      <c r="K211" s="10">
        <v>1030654208.3005296</v>
      </c>
      <c r="L211" s="10">
        <v>1126313359.2192256</v>
      </c>
      <c r="M211" s="10">
        <v>1161251868.0349755</v>
      </c>
      <c r="N211" s="10">
        <f>VLOOKUP(B211,[2]Data!$B$1:$G$267,4,FALSE)</f>
        <v>3370.2119195695336</v>
      </c>
      <c r="O211" s="10">
        <f>VLOOKUP(B211,[2]Data!$B$1:$G$267,5,FALSE)</f>
        <v>3482.6145823763695</v>
      </c>
      <c r="P211" s="10">
        <f>VLOOKUP(B211,[2]Data!$B$1:$G$267,6,FALSE)</f>
        <v>3410.7702316709738</v>
      </c>
      <c r="Q211" s="12">
        <f>VLOOKUP(B211,[5]Sheet1!$B$421:$K$628,10,FALSE)</f>
        <v>0</v>
      </c>
      <c r="R211" s="12">
        <f>VLOOKUP(B211,[5]Sheet1!$B$213:$K$420,10,FALSE)</f>
        <v>0</v>
      </c>
      <c r="S211" s="12">
        <f>VLOOKUP(B211,[5]Sheet1!$B$2:$K$207,10,FALSE)</f>
        <v>0</v>
      </c>
      <c r="T211" s="12">
        <f>VLOOKUP(B211,[6]Sheet1!$B$421:$K$628,10,FALSE)</f>
        <v>0</v>
      </c>
      <c r="U211" s="12">
        <f>VLOOKUP(B211,[6]Sheet1!$B$213:$K$420,10,FALSE)</f>
        <v>0</v>
      </c>
      <c r="V211" s="12">
        <f>VLOOKUP(B211,[6]Sheet1!$B$2:$K$212,10,FALSE)</f>
        <v>0</v>
      </c>
      <c r="W211" s="13">
        <v>0</v>
      </c>
      <c r="X211" s="13">
        <v>0</v>
      </c>
      <c r="Y211" s="13">
        <v>0</v>
      </c>
      <c r="Z211" s="10">
        <v>14.0824115364695</v>
      </c>
      <c r="AA211" s="10">
        <v>38.835604295208498</v>
      </c>
      <c r="AB211" s="10">
        <v>38.6133638776749</v>
      </c>
      <c r="AC211" s="10">
        <v>38.3139477236845</v>
      </c>
      <c r="AD211" s="10">
        <v>4.1498627200751299</v>
      </c>
      <c r="AE211" s="10">
        <v>4.2182089426466503</v>
      </c>
      <c r="AF211" s="10">
        <v>4.2957494031774601</v>
      </c>
      <c r="AG211" s="10">
        <v>25.680557834290401</v>
      </c>
      <c r="AH211" s="10">
        <v>26.284577522559474</v>
      </c>
      <c r="AI211" s="12">
        <f>VLOOKUP(B211,[7]all!$A$2:$I$247,6,FALSE)</f>
        <v>80.94</v>
      </c>
      <c r="AJ211" s="12">
        <f>VLOOKUP(B211,[7]all!$A$2:$I$247,7,FALSE)</f>
        <v>81.08</v>
      </c>
      <c r="AK211" s="12">
        <f>VLOOKUP(B211,[7]all!$A$2:$I$247,8,FALSE)</f>
        <v>81.03</v>
      </c>
      <c r="AL211" s="12"/>
    </row>
    <row r="212" spans="1:38" ht="21.4" x14ac:dyDescent="1.1000000000000001">
      <c r="A212" s="10" t="s">
        <v>419</v>
      </c>
      <c r="B212" s="11" t="s">
        <v>420</v>
      </c>
      <c r="C212" s="10" t="str">
        <f>VLOOKUP(B212,'[1]who-regions'!$B$1:$D$206,3,FALSE)</f>
        <v>AMR</v>
      </c>
      <c r="D212" s="12" t="str">
        <f>VLOOKUP(B212,'[2]Metadata - Countries'!$A$1:$B$266,2,FALSE)</f>
        <v>Latin America &amp; Caribbean</v>
      </c>
      <c r="E212" s="12">
        <f>VLOOKUP(B212,'[2]Metadata - Countries'!$A$1:$C$266,3,FALSE)</f>
        <v>0</v>
      </c>
      <c r="F212" s="12"/>
      <c r="G212" s="10">
        <v>98.395585978777106</v>
      </c>
      <c r="H212" s="12">
        <f>VLOOKUP(B212,[4]tas!$A$2:$H$247,5,FALSE)</f>
        <v>26.6</v>
      </c>
      <c r="I212" s="12">
        <f>VLOOKUP(B212,[4]tas!$A$2:$H$247,6,FALSE)</f>
        <v>26.59</v>
      </c>
      <c r="J212" s="12">
        <f>VLOOKUP(B212,[4]tas!$A$2:$H$247,7,FALSE)</f>
        <v>26.64</v>
      </c>
      <c r="K212" s="10">
        <v>0</v>
      </c>
      <c r="L212" s="10">
        <v>0</v>
      </c>
      <c r="M212" s="10">
        <v>0</v>
      </c>
      <c r="N212" s="10">
        <f>VLOOKUP(B212,[2]Data!$B$1:$G$267,4,FALSE)</f>
        <v>3155.0420709968707</v>
      </c>
      <c r="O212" s="10">
        <f>VLOOKUP(B212,[2]Data!$B$1:$G$267,5,FALSE)</f>
        <v>3617.4359457826904</v>
      </c>
      <c r="P212" s="10">
        <f>VLOOKUP(B212,[2]Data!$B$1:$G$267,6,FALSE)</f>
        <v>4217.5910264339145</v>
      </c>
      <c r="Q212" s="12">
        <f>VLOOKUP(B212,[5]Sheet1!$B$421:$K$628,10,FALSE)</f>
        <v>0</v>
      </c>
      <c r="R212" s="12">
        <f>VLOOKUP(B212,[5]Sheet1!$B$213:$K$420,10,FALSE)</f>
        <v>0</v>
      </c>
      <c r="S212" s="12" t="e">
        <f>VLOOKUP(B212,[5]Sheet1!$B$2:$K$207,10,FALSE)</f>
        <v>#N/A</v>
      </c>
      <c r="T212" s="12">
        <f>VLOOKUP(B212,[6]Sheet1!$B$421:$K$628,10,FALSE)</f>
        <v>0</v>
      </c>
      <c r="U212" s="12">
        <f>VLOOKUP(B212,[6]Sheet1!$B$213:$K$420,10,FALSE)</f>
        <v>0</v>
      </c>
      <c r="V212" s="12">
        <f>VLOOKUP(B212,[6]Sheet1!$B$2:$K$212,10,FALSE)</f>
        <v>0</v>
      </c>
      <c r="W212" s="13">
        <v>0</v>
      </c>
      <c r="X212" s="13">
        <v>87.306312561035199</v>
      </c>
      <c r="Y212" s="13">
        <v>0</v>
      </c>
      <c r="Z212" s="10">
        <v>15.256579621287401</v>
      </c>
      <c r="AA212" s="10">
        <v>26.790658843587298</v>
      </c>
      <c r="AB212" s="10">
        <v>26.153770836738701</v>
      </c>
      <c r="AC212" s="10">
        <v>25.527005415809199</v>
      </c>
      <c r="AD212" s="10">
        <v>8.9820384856755702</v>
      </c>
      <c r="AE212" s="10">
        <v>9.3335681672362298</v>
      </c>
      <c r="AF212" s="10">
        <v>9.6792112018418397</v>
      </c>
      <c r="AG212" s="10">
        <v>31.985734368799953</v>
      </c>
      <c r="AH212" s="10">
        <v>32.085317158891222</v>
      </c>
      <c r="AI212" s="12">
        <f>VLOOKUP(B212,[7]all!$A$2:$I$247,6,FALSE)</f>
        <v>75.760000000000005</v>
      </c>
      <c r="AJ212" s="12">
        <f>VLOOKUP(B212,[7]all!$A$2:$I$247,7,FALSE)</f>
        <v>75.69</v>
      </c>
      <c r="AK212" s="12">
        <f>VLOOKUP(B212,[7]all!$A$2:$I$247,8,FALSE)</f>
        <v>75.650000000000006</v>
      </c>
      <c r="AL212" s="12"/>
    </row>
    <row r="213" spans="1:38" ht="21.4" x14ac:dyDescent="1.1000000000000001">
      <c r="A213" s="10" t="s">
        <v>421</v>
      </c>
      <c r="B213" s="11" t="s">
        <v>422</v>
      </c>
      <c r="C213" s="10" t="str">
        <f>VLOOKUP(B213,'[1]who-regions'!$B$1:$D$206,3,FALSE)</f>
        <v>WPR</v>
      </c>
      <c r="D213" s="12" t="str">
        <f>VLOOKUP(B213,'[2]Metadata - Countries'!$A$1:$B$266,2,FALSE)</f>
        <v>East Asia &amp; Pacific</v>
      </c>
      <c r="E213" s="12" t="str">
        <f>VLOOKUP(B213,'[2]Metadata - Countries'!$A$1:$C$266,3,FALSE)</f>
        <v>Lower middle income</v>
      </c>
      <c r="F213" s="12"/>
      <c r="G213" s="10">
        <v>92.170340289245203</v>
      </c>
      <c r="H213" s="12">
        <f>VLOOKUP(B213,[4]tas!$A$2:$H$247,5,FALSE)</f>
        <v>24.66</v>
      </c>
      <c r="I213" s="12">
        <f>VLOOKUP(B213,[4]tas!$A$2:$H$247,6,FALSE)</f>
        <v>24.7</v>
      </c>
      <c r="J213" s="12">
        <f>VLOOKUP(B213,[4]tas!$A$2:$H$247,7,FALSE)</f>
        <v>24.76</v>
      </c>
      <c r="K213" s="10">
        <v>413445230668.57819</v>
      </c>
      <c r="L213" s="10">
        <v>433857681378.29095</v>
      </c>
      <c r="M213" s="10">
        <v>476388230307.17523</v>
      </c>
      <c r="N213" s="10">
        <f>VLOOKUP(B213,[2]Data!$B$1:$G$267,4,FALSE)</f>
        <v>4147.69777213621</v>
      </c>
      <c r="O213" s="10">
        <f>VLOOKUP(B213,[2]Data!$B$1:$G$267,5,FALSE)</f>
        <v>4323.3503198245135</v>
      </c>
      <c r="P213" s="10">
        <f>VLOOKUP(B213,[2]Data!$B$1:$G$267,6,FALSE)</f>
        <v>4717.2902873244884</v>
      </c>
      <c r="Q213" s="12">
        <f>VLOOKUP(B213,[5]Sheet1!$B$421:$K$628,10,FALSE)</f>
        <v>0</v>
      </c>
      <c r="R213" s="12">
        <f>VLOOKUP(B213,[5]Sheet1!$B$213:$K$420,10,FALSE)</f>
        <v>0</v>
      </c>
      <c r="S213" s="12" t="e">
        <f>VLOOKUP(B213,[5]Sheet1!$B$2:$K$207,10,FALSE)</f>
        <v>#N/A</v>
      </c>
      <c r="T213" s="12">
        <f>VLOOKUP(B213,[6]Sheet1!$B$421:$K$628,10,FALSE)</f>
        <v>0</v>
      </c>
      <c r="U213" s="12">
        <f>VLOOKUP(B213,[6]Sheet1!$B$213:$K$420,10,FALSE)</f>
        <v>0</v>
      </c>
      <c r="V213" s="12">
        <f>VLOOKUP(B213,[6]Sheet1!$B$2:$K$212,10,FALSE)</f>
        <v>0</v>
      </c>
      <c r="W213" s="13">
        <v>0</v>
      </c>
      <c r="X213" s="13">
        <v>0</v>
      </c>
      <c r="Y213" s="13">
        <v>0</v>
      </c>
      <c r="Z213" s="10">
        <v>20.8010641731194</v>
      </c>
      <c r="AA213" s="10">
        <v>23.934878838827899</v>
      </c>
      <c r="AB213" s="10">
        <v>23.605847212614201</v>
      </c>
      <c r="AC213" s="10">
        <v>23.224005136507401</v>
      </c>
      <c r="AD213" s="10">
        <v>8.2300477459743799</v>
      </c>
      <c r="AE213" s="10">
        <v>8.6211659861957308</v>
      </c>
      <c r="AF213" s="10">
        <v>9.0471831929727404</v>
      </c>
      <c r="AG213" s="10">
        <v>318.03264854241314</v>
      </c>
      <c r="AH213" s="10">
        <v>320.17519757265603</v>
      </c>
      <c r="AI213" s="12">
        <f>VLOOKUP(B213,[7]all!$A$2:$I$247,6,FALSE)</f>
        <v>78.680000000000007</v>
      </c>
      <c r="AJ213" s="12">
        <f>VLOOKUP(B213,[7]all!$A$2:$I$247,7,FALSE)</f>
        <v>78.62</v>
      </c>
      <c r="AK213" s="12">
        <f>VLOOKUP(B213,[7]all!$A$2:$I$247,8,FALSE)</f>
        <v>78.540000000000006</v>
      </c>
      <c r="AL213" s="15">
        <v>101300</v>
      </c>
    </row>
    <row r="214" spans="1:38" ht="21.4" x14ac:dyDescent="1.1000000000000001">
      <c r="A214" s="10" t="s">
        <v>423</v>
      </c>
      <c r="B214" s="11" t="s">
        <v>424</v>
      </c>
      <c r="C214" s="10" t="s">
        <v>487</v>
      </c>
      <c r="D214" s="12" t="str">
        <f>VLOOKUP(B214,'[2]Metadata - Countries'!$A$1:$B$266,2,FALSE)</f>
        <v>Latin America &amp; Caribbean</v>
      </c>
      <c r="E214" s="12" t="str">
        <f>VLOOKUP(B214,'[2]Metadata - Countries'!$A$1:$C$266,3,FALSE)</f>
        <v>High income</v>
      </c>
      <c r="F214" s="12"/>
      <c r="G214" s="10">
        <v>99.108543977573802</v>
      </c>
      <c r="H214" s="12">
        <f>VLOOKUP(B214,[4]tas!$A$2:$H$247,5,FALSE)</f>
        <v>26.69</v>
      </c>
      <c r="I214" s="12">
        <f>VLOOKUP(B214,[4]tas!$A$2:$H$247,6,FALSE)</f>
        <v>26.72</v>
      </c>
      <c r="J214" s="12">
        <f>VLOOKUP(B214,[4]tas!$A$2:$H$247,7,FALSE)</f>
        <v>26.74</v>
      </c>
      <c r="K214" s="10">
        <v>4672000000</v>
      </c>
      <c r="L214" s="10">
        <v>0</v>
      </c>
      <c r="M214" s="10">
        <v>0</v>
      </c>
      <c r="N214" s="10">
        <f>VLOOKUP(B214,[2]Data!$B$1:$G$267,4,FALSE)</f>
        <v>44320.90918577405</v>
      </c>
      <c r="O214" s="10">
        <f>VLOOKUP(B214,[2]Data!$B$1:$G$267,5,FALSE)</f>
        <v>0</v>
      </c>
      <c r="P214" s="10">
        <f>VLOOKUP(B214,[2]Data!$B$1:$G$267,6,FALSE)</f>
        <v>0</v>
      </c>
      <c r="Q214" s="12" t="e">
        <f>VLOOKUP(B214,[5]Sheet1!$B$421:$K$628,10,FALSE)</f>
        <v>#N/A</v>
      </c>
      <c r="R214" s="12" t="e">
        <f>VLOOKUP(B214,[5]Sheet1!$B$213:$K$420,10,FALSE)</f>
        <v>#N/A</v>
      </c>
      <c r="S214" s="12" t="e">
        <f>VLOOKUP(B214,[5]Sheet1!$B$2:$K$207,10,FALSE)</f>
        <v>#N/A</v>
      </c>
      <c r="T214" s="12" t="e">
        <f>VLOOKUP(B214,[6]Sheet1!$B$421:$K$628,10,FALSE)</f>
        <v>#N/A</v>
      </c>
      <c r="U214" s="12" t="e">
        <f>VLOOKUP(B214,[6]Sheet1!$B$213:$K$420,10,FALSE)</f>
        <v>#N/A</v>
      </c>
      <c r="V214" s="12" t="e">
        <f>VLOOKUP(B214,[6]Sheet1!$B$2:$K$212,10,FALSE)</f>
        <v>#N/A</v>
      </c>
      <c r="W214" s="13">
        <v>0</v>
      </c>
      <c r="X214" s="13">
        <v>0</v>
      </c>
      <c r="Y214" s="13">
        <v>0</v>
      </c>
      <c r="Z214" s="10">
        <v>8.6334275666947899</v>
      </c>
      <c r="AA214" s="10">
        <v>16.509646618192701</v>
      </c>
      <c r="AB214" s="10">
        <v>16.5190604543704</v>
      </c>
      <c r="AC214" s="10">
        <v>16.496672751899201</v>
      </c>
      <c r="AD214" s="10">
        <v>21.811529702798602</v>
      </c>
      <c r="AE214" s="10">
        <v>22.243614426902798</v>
      </c>
      <c r="AF214" s="10">
        <v>22.690065367175102</v>
      </c>
      <c r="AG214" s="10">
        <v>301.18</v>
      </c>
      <c r="AH214" s="10">
        <v>299.76285714285711</v>
      </c>
      <c r="AI214" s="12">
        <f>VLOOKUP(B214,[7]all!$A$2:$I$247,6,FALSE)</f>
        <v>80.069999999999993</v>
      </c>
      <c r="AJ214" s="12">
        <f>VLOOKUP(B214,[7]all!$A$2:$I$247,7,FALSE)</f>
        <v>80.06</v>
      </c>
      <c r="AK214" s="12">
        <f>VLOOKUP(B214,[7]all!$A$2:$I$247,8,FALSE)</f>
        <v>80.08</v>
      </c>
      <c r="AL214" s="12"/>
    </row>
    <row r="215" spans="1:38" ht="21.4" x14ac:dyDescent="1.1000000000000001">
      <c r="A215" s="10" t="s">
        <v>425</v>
      </c>
      <c r="B215" s="11" t="s">
        <v>426</v>
      </c>
      <c r="C215" s="10" t="s">
        <v>487</v>
      </c>
      <c r="D215" s="12" t="str">
        <f>VLOOKUP(B215,'[2]Metadata - Countries'!$A$1:$B$266,2,FALSE)</f>
        <v>Middle East &amp; North Africa</v>
      </c>
      <c r="E215" s="12" t="str">
        <f>VLOOKUP(B215,'[2]Metadata - Countries'!$A$1:$C$266,3,FALSE)</f>
        <v>Lower middle income</v>
      </c>
      <c r="F215" s="12"/>
      <c r="G215" s="10">
        <v>99.4416057169053</v>
      </c>
      <c r="H215" s="12">
        <f>VLOOKUP(B215,[4]tas!$A$2:$H$247,5,FALSE)</f>
        <v>21.01</v>
      </c>
      <c r="I215" s="12">
        <f>VLOOKUP(B215,[4]tas!$A$2:$H$247,6,FALSE)</f>
        <v>21.01</v>
      </c>
      <c r="J215" s="12">
        <f>VLOOKUP(B215,[4]tas!$A$2:$H$247,7,FALSE)</f>
        <v>21.06</v>
      </c>
      <c r="K215" s="10">
        <v>19165500000</v>
      </c>
      <c r="L215" s="10">
        <v>17847900000</v>
      </c>
      <c r="M215" s="10">
        <v>13711100000</v>
      </c>
      <c r="N215" s="10">
        <f>VLOOKUP(B215,[2]Data!$B$1:$G$267,4,FALSE)</f>
        <v>3799.9552701516295</v>
      </c>
      <c r="O215" s="10">
        <f>VLOOKUP(B215,[2]Data!$B$1:$G$267,5,FALSE)</f>
        <v>3455.0285291171217</v>
      </c>
      <c r="P215" s="10">
        <f>VLOOKUP(B215,[2]Data!$B$1:$G$267,6,FALSE)</f>
        <v>2592.30591217647</v>
      </c>
      <c r="Q215" s="12">
        <f>VLOOKUP(B215,[5]Sheet1!$B$421:$K$628,10,FALSE)</f>
        <v>0</v>
      </c>
      <c r="R215" s="12">
        <f>VLOOKUP(B215,[5]Sheet1!$B$213:$K$420,10,FALSE)</f>
        <v>0</v>
      </c>
      <c r="S215" s="12">
        <f>VLOOKUP(B215,[5]Sheet1!$B$2:$K$207,10,FALSE)</f>
        <v>0</v>
      </c>
      <c r="T215" s="12">
        <f>VLOOKUP(B215,[6]Sheet1!$B$421:$K$628,10,FALSE)</f>
        <v>0</v>
      </c>
      <c r="U215" s="12">
        <f>VLOOKUP(B215,[6]Sheet1!$B$213:$K$420,10,FALSE)</f>
        <v>0</v>
      </c>
      <c r="V215" s="12">
        <f>VLOOKUP(B215,[6]Sheet1!$B$2:$K$212,10,FALSE)</f>
        <v>0</v>
      </c>
      <c r="W215" s="13">
        <v>99.073127746582003</v>
      </c>
      <c r="X215" s="13">
        <v>18.5895099639893</v>
      </c>
      <c r="Y215" s="13">
        <v>0</v>
      </c>
      <c r="Z215" s="10">
        <v>26.363626444404598</v>
      </c>
      <c r="AA215" s="10">
        <v>38.689953574464603</v>
      </c>
      <c r="AB215" s="10">
        <v>38.370228951537499</v>
      </c>
      <c r="AC215" s="10">
        <v>38.047105574564199</v>
      </c>
      <c r="AD215" s="10">
        <v>3.7027992920247201</v>
      </c>
      <c r="AE215" s="10">
        <v>3.8024743578141802</v>
      </c>
      <c r="AF215" s="10">
        <v>3.8377342827502701</v>
      </c>
      <c r="AG215" s="10">
        <v>837.11402489626551</v>
      </c>
      <c r="AH215" s="10">
        <v>857.39004149377593</v>
      </c>
      <c r="AI215" s="12">
        <f>VLOOKUP(B215,[7]all!$A$2:$I$247,6,FALSE)</f>
        <v>60.55</v>
      </c>
      <c r="AJ215" s="12">
        <f>VLOOKUP(B215,[7]all!$A$2:$I$247,7,FALSE)</f>
        <v>60.38</v>
      </c>
      <c r="AK215" s="12">
        <f>VLOOKUP(B215,[7]all!$A$2:$I$247,8,FALSE)</f>
        <v>60.57</v>
      </c>
      <c r="AL215" s="12"/>
    </row>
    <row r="216" spans="1:38" ht="21.4" x14ac:dyDescent="1.1000000000000001">
      <c r="A216" s="10" t="s">
        <v>427</v>
      </c>
      <c r="B216" s="11" t="s">
        <v>428</v>
      </c>
      <c r="C216" s="10" t="str">
        <f>VLOOKUP(B216,'[1]who-regions'!$B$1:$D$206,3,FALSE)</f>
        <v>EMR</v>
      </c>
      <c r="D216" s="12" t="str">
        <f>VLOOKUP(B216,'[2]Metadata - Countries'!$A$1:$B$266,2,FALSE)</f>
        <v>Middle East &amp; North Africa</v>
      </c>
      <c r="E216" s="12" t="str">
        <f>VLOOKUP(B216,'[2]Metadata - Countries'!$A$1:$C$266,3,FALSE)</f>
        <v>Low income</v>
      </c>
      <c r="F216" s="12"/>
      <c r="G216" s="10">
        <v>54.844758487248598</v>
      </c>
      <c r="H216" s="12">
        <f>VLOOKUP(B216,[4]tas!$A$2:$H$247,5,FALSE)</f>
        <v>25.88</v>
      </c>
      <c r="I216" s="12">
        <f>VLOOKUP(B216,[4]tas!$A$2:$H$247,6,FALSE)</f>
        <v>25.94</v>
      </c>
      <c r="J216" s="12">
        <f>VLOOKUP(B216,[4]tas!$A$2:$H$247,7,FALSE)</f>
        <v>25.98</v>
      </c>
      <c r="K216" s="10">
        <v>0</v>
      </c>
      <c r="L216" s="10">
        <v>0</v>
      </c>
      <c r="M216" s="10">
        <v>0</v>
      </c>
      <c r="N216" s="10">
        <f>VLOOKUP(B216,[2]Data!$B$1:$G$267,4,FALSE)</f>
        <v>0</v>
      </c>
      <c r="O216" s="10">
        <f>VLOOKUP(B216,[2]Data!$B$1:$G$267,5,FALSE)</f>
        <v>0</v>
      </c>
      <c r="P216" s="10">
        <f>VLOOKUP(B216,[2]Data!$B$1:$G$267,6,FALSE)</f>
        <v>0</v>
      </c>
      <c r="Q216" s="12">
        <f>VLOOKUP(B216,[5]Sheet1!$B$421:$K$628,10,FALSE)</f>
        <v>0</v>
      </c>
      <c r="R216" s="12">
        <f>VLOOKUP(B216,[5]Sheet1!$B$213:$K$420,10,FALSE)</f>
        <v>0</v>
      </c>
      <c r="S216" s="12" t="e">
        <f>VLOOKUP(B216,[5]Sheet1!$B$2:$K$207,10,FALSE)</f>
        <v>#N/A</v>
      </c>
      <c r="T216" s="12">
        <f>VLOOKUP(B216,[6]Sheet1!$B$421:$K$628,10,FALSE)</f>
        <v>0</v>
      </c>
      <c r="U216" s="12">
        <f>VLOOKUP(B216,[6]Sheet1!$B$213:$K$420,10,FALSE)</f>
        <v>0</v>
      </c>
      <c r="V216" s="12">
        <f>VLOOKUP(B216,[6]Sheet1!$B$2:$K$212,10,FALSE)</f>
        <v>0</v>
      </c>
      <c r="W216" s="13">
        <v>0</v>
      </c>
      <c r="X216" s="13">
        <v>0</v>
      </c>
      <c r="Y216" s="13">
        <v>0</v>
      </c>
      <c r="Z216" s="10">
        <v>34.8323598356099</v>
      </c>
      <c r="AA216" s="10">
        <v>41.308056480470697</v>
      </c>
      <c r="AB216" s="10">
        <v>41.226118566419501</v>
      </c>
      <c r="AC216" s="10">
        <v>41.128426542489102</v>
      </c>
      <c r="AD216" s="10">
        <v>2.5040763874502301</v>
      </c>
      <c r="AE216" s="10">
        <v>2.5075233939783801</v>
      </c>
      <c r="AF216" s="10">
        <v>2.5230376009736699</v>
      </c>
      <c r="AG216" s="10">
        <v>72.395924010833951</v>
      </c>
      <c r="AH216" s="10">
        <v>74.608025077182418</v>
      </c>
      <c r="AI216" s="12">
        <f>VLOOKUP(B216,[7]all!$A$2:$I$247,6,FALSE)</f>
        <v>43.28</v>
      </c>
      <c r="AJ216" s="12">
        <f>VLOOKUP(B216,[7]all!$A$2:$I$247,7,FALSE)</f>
        <v>43.06</v>
      </c>
      <c r="AK216" s="12">
        <f>VLOOKUP(B216,[7]all!$A$2:$I$247,8,FALSE)</f>
        <v>42.97</v>
      </c>
      <c r="AL216" s="12"/>
    </row>
    <row r="217" spans="1:38" ht="21.4" x14ac:dyDescent="1.1000000000000001">
      <c r="A217" s="10" t="s">
        <v>429</v>
      </c>
      <c r="B217" s="11" t="s">
        <v>430</v>
      </c>
      <c r="C217" s="10" t="str">
        <f>VLOOKUP(B217,'[1]who-regions'!$B$1:$D$206,3,FALSE)</f>
        <v>AFR</v>
      </c>
      <c r="D217" s="12" t="str">
        <f>VLOOKUP(B217,'[2]Metadata - Countries'!$A$1:$B$266,2,FALSE)</f>
        <v>Sub-Saharan Africa</v>
      </c>
      <c r="E217" s="12" t="str">
        <f>VLOOKUP(B217,'[2]Metadata - Countries'!$A$1:$C$266,3,FALSE)</f>
        <v>Lower middle income</v>
      </c>
      <c r="F217" s="12"/>
      <c r="G217" s="10">
        <v>36.301368541478503</v>
      </c>
      <c r="H217" s="12">
        <f>VLOOKUP(B217,[4]tas!$A$2:$H$247,5,FALSE)</f>
        <v>22.95</v>
      </c>
      <c r="I217" s="12">
        <f>VLOOKUP(B217,[4]tas!$A$2:$H$247,6,FALSE)</f>
        <v>22.99</v>
      </c>
      <c r="J217" s="12">
        <f>VLOOKUP(B217,[4]tas!$A$2:$H$247,7,FALSE)</f>
        <v>22.98</v>
      </c>
      <c r="K217" s="10">
        <v>29163782140.485832</v>
      </c>
      <c r="L217" s="10">
        <v>27577956471.243988</v>
      </c>
      <c r="M217" s="10">
        <v>26325775287.022636</v>
      </c>
      <c r="N217" s="10">
        <f>VLOOKUP(B217,[2]Data!$B$1:$G$267,4,FALSE)</f>
        <v>1447.1231013803463</v>
      </c>
      <c r="O217" s="10">
        <f>VLOOKUP(B217,[2]Data!$B$1:$G$267,5,FALSE)</f>
        <v>1330.7278057670908</v>
      </c>
      <c r="P217" s="10">
        <f>VLOOKUP(B217,[2]Data!$B$1:$G$267,6,FALSE)</f>
        <v>1187.1094335006403</v>
      </c>
      <c r="Q217" s="12">
        <f>VLOOKUP(B217,[5]Sheet1!$B$421:$K$628,10,FALSE)</f>
        <v>0</v>
      </c>
      <c r="R217" s="12">
        <f>VLOOKUP(B217,[5]Sheet1!$B$213:$K$420,10,FALSE)</f>
        <v>0</v>
      </c>
      <c r="S217" s="12" t="e">
        <f>VLOOKUP(B217,[5]Sheet1!$B$2:$K$207,10,FALSE)</f>
        <v>#N/A</v>
      </c>
      <c r="T217" s="12">
        <f>VLOOKUP(B217,[6]Sheet1!$B$421:$K$628,10,FALSE)</f>
        <v>0</v>
      </c>
      <c r="U217" s="12">
        <f>VLOOKUP(B217,[6]Sheet1!$B$213:$K$420,10,FALSE)</f>
        <v>0</v>
      </c>
      <c r="V217" s="12">
        <f>VLOOKUP(B217,[6]Sheet1!$B$2:$K$212,10,FALSE)</f>
        <v>0</v>
      </c>
      <c r="W217" s="13">
        <v>0</v>
      </c>
      <c r="X217" s="13">
        <v>0</v>
      </c>
      <c r="Y217" s="13">
        <v>0</v>
      </c>
      <c r="Z217" s="10">
        <v>24.308591900865501</v>
      </c>
      <c r="AA217" s="10">
        <v>42.438715387304804</v>
      </c>
      <c r="AB217" s="10">
        <v>41.955120557287202</v>
      </c>
      <c r="AC217" s="10">
        <v>41.457344351481296</v>
      </c>
      <c r="AD217" s="10">
        <v>1.8560891717128301</v>
      </c>
      <c r="AE217" s="10">
        <v>1.89885236729554</v>
      </c>
      <c r="AF217" s="10">
        <v>1.9467528327704</v>
      </c>
      <c r="AG217" s="10">
        <v>27.109509140558792</v>
      </c>
      <c r="AH217" s="10">
        <v>27.877648340709452</v>
      </c>
      <c r="AI217" s="12">
        <f>VLOOKUP(B217,[7]all!$A$2:$I$247,6,FALSE)</f>
        <v>58.16</v>
      </c>
      <c r="AJ217" s="12">
        <f>VLOOKUP(B217,[7]all!$A$2:$I$247,7,FALSE)</f>
        <v>58.05</v>
      </c>
      <c r="AK217" s="12">
        <f>VLOOKUP(B217,[7]all!$A$2:$I$247,8,FALSE)</f>
        <v>58.5</v>
      </c>
      <c r="AL217" s="12"/>
    </row>
    <row r="218" spans="1:38" ht="21.4" x14ac:dyDescent="1.1000000000000001">
      <c r="A218" s="10" t="s">
        <v>431</v>
      </c>
      <c r="B218" s="11" t="s">
        <v>432</v>
      </c>
      <c r="C218" s="10" t="str">
        <f>VLOOKUP(B218,'[1]who-regions'!$B$1:$D$206,3,FALSE)</f>
        <v>AFR</v>
      </c>
      <c r="D218" s="12" t="str">
        <f>VLOOKUP(B218,'[2]Metadata - Countries'!$A$1:$B$266,2,FALSE)</f>
        <v>Sub-Saharan Africa</v>
      </c>
      <c r="E218" s="12" t="str">
        <f>VLOOKUP(B218,'[2]Metadata - Countries'!$A$1:$C$266,3,FALSE)</f>
        <v>Lower middle income</v>
      </c>
      <c r="F218" s="12"/>
      <c r="G218" s="10">
        <v>34.617858115423303</v>
      </c>
      <c r="H218" s="12">
        <f>VLOOKUP(B218,[4]tas!$A$2:$H$247,5,FALSE)</f>
        <v>22.32</v>
      </c>
      <c r="I218" s="12">
        <f>VLOOKUP(B218,[4]tas!$A$2:$H$247,6,FALSE)</f>
        <v>22.3</v>
      </c>
      <c r="J218" s="12">
        <f>VLOOKUP(B218,[4]tas!$A$2:$H$247,7,FALSE)</f>
        <v>22.28</v>
      </c>
      <c r="K218" s="10">
        <v>32789657377.978817</v>
      </c>
      <c r="L218" s="10">
        <v>35231369343.400192</v>
      </c>
      <c r="M218" s="10">
        <v>44187704410.119118</v>
      </c>
      <c r="N218" s="10">
        <f>VLOOKUP(B218,[2]Data!$B$1:$G$267,4,FALSE)</f>
        <v>2536.4005022307556</v>
      </c>
      <c r="O218" s="10">
        <f>VLOOKUP(B218,[2]Data!$B$1:$G$267,5,FALSE)</f>
        <v>2195.2249207924506</v>
      </c>
      <c r="P218" s="10">
        <f>VLOOKUP(B218,[2]Data!$B$1:$G$267,6,FALSE)</f>
        <v>2497.203322087631</v>
      </c>
      <c r="Q218" s="12">
        <f>VLOOKUP(B218,[5]Sheet1!$B$421:$K$628,10,FALSE)</f>
        <v>0</v>
      </c>
      <c r="R218" s="12">
        <f>VLOOKUP(B218,[5]Sheet1!$B$213:$K$420,10,FALSE)</f>
        <v>0</v>
      </c>
      <c r="S218" s="12" t="e">
        <f>VLOOKUP(B218,[5]Sheet1!$B$2:$K$207,10,FALSE)</f>
        <v>#N/A</v>
      </c>
      <c r="T218" s="12">
        <f>VLOOKUP(B218,[6]Sheet1!$B$421:$K$628,10,FALSE)</f>
        <v>0</v>
      </c>
      <c r="U218" s="12">
        <f>VLOOKUP(B218,[6]Sheet1!$B$213:$K$420,10,FALSE)</f>
        <v>0</v>
      </c>
      <c r="V218" s="12">
        <f>VLOOKUP(B218,[6]Sheet1!$B$2:$K$212,10,FALSE)</f>
        <v>0</v>
      </c>
      <c r="W218" s="13">
        <v>0</v>
      </c>
      <c r="X218" s="13">
        <v>0</v>
      </c>
      <c r="Y218" s="13">
        <v>0</v>
      </c>
      <c r="Z218" s="10">
        <v>19.4941796611344</v>
      </c>
      <c r="AA218" s="10">
        <v>41.6115433791364</v>
      </c>
      <c r="AB218" s="10">
        <v>41.3232835325935</v>
      </c>
      <c r="AC218" s="10">
        <v>40.873763046968001</v>
      </c>
      <c r="AD218" s="10">
        <v>3.6082270050035001</v>
      </c>
      <c r="AE218" s="10">
        <v>3.61832175940481</v>
      </c>
      <c r="AF218" s="10">
        <v>3.6016537443777898</v>
      </c>
      <c r="AG218" s="10">
        <v>41.538208607987592</v>
      </c>
      <c r="AH218" s="10">
        <v>42.24071862478997</v>
      </c>
      <c r="AI218" s="12">
        <f>VLOOKUP(B218,[7]all!$A$2:$I$247,6,FALSE)</f>
        <v>56.27</v>
      </c>
      <c r="AJ218" s="12">
        <f>VLOOKUP(B218,[7]all!$A$2:$I$247,7,FALSE)</f>
        <v>56.32</v>
      </c>
      <c r="AK218" s="12">
        <f>VLOOKUP(B218,[7]all!$A$2:$I$247,8,FALSE)</f>
        <v>56.7</v>
      </c>
      <c r="AL218" s="15">
        <v>21164</v>
      </c>
    </row>
    <row r="219" spans="1:38" x14ac:dyDescent="0.3">
      <c r="AD219" s="1"/>
      <c r="AE219" s="1"/>
      <c r="AF219" s="1"/>
      <c r="AG219" s="1"/>
      <c r="AH219" s="1"/>
    </row>
    <row r="220" spans="1:38" x14ac:dyDescent="0.3">
      <c r="AD220" s="1"/>
      <c r="AE220" s="1"/>
      <c r="AF220" s="1"/>
      <c r="AG220" s="1"/>
      <c r="AH220" s="1"/>
    </row>
    <row r="221" spans="1:38" x14ac:dyDescent="0.3">
      <c r="AD221" s="1"/>
      <c r="AE221" s="1"/>
      <c r="AF221" s="1"/>
      <c r="AG221" s="1"/>
      <c r="AH221" s="1"/>
    </row>
    <row r="222" spans="1:38" x14ac:dyDescent="0.3">
      <c r="AD222" s="1"/>
      <c r="AE222" s="1"/>
      <c r="AF222" s="1"/>
      <c r="AG222" s="1"/>
      <c r="AH222" s="1"/>
    </row>
    <row r="223" spans="1:38" x14ac:dyDescent="0.3">
      <c r="AD223" s="1"/>
      <c r="AE223" s="1"/>
      <c r="AF223" s="1"/>
      <c r="AG223" s="1"/>
      <c r="AH223" s="1"/>
    </row>
  </sheetData>
  <autoFilter ref="A1:AL218" xr:uid="{550EB24D-120B-4BA5-9F21-3BAC849E4C71}"/>
  <phoneticPr fontId="5" type="noConversion"/>
  <pageMargins left="0.7" right="0.7" top="0.75" bottom="0.75" header="0.3" footer="0.3"/>
  <pageSetup paperSize="9" orientation="portrait" r:id="rId1"/>
  <ignoredErrors>
    <ignoredError sqref="C24:C28 C30:C40 C42:C51 C53:C66 C68:C76 C78 C80:C95 C97:C106 C108:C115 C117:C173 C175:C184 C187:C201 C203:C21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91E9-4A1F-4B0C-8720-8BCFCA9C3CF4}">
  <dimension ref="A1:AL27"/>
  <sheetViews>
    <sheetView zoomScale="67" workbookViewId="0">
      <selection activeCell="N26" sqref="N26"/>
    </sheetView>
  </sheetViews>
  <sheetFormatPr defaultRowHeight="13.5" x14ac:dyDescent="0.3"/>
  <cols>
    <col min="1" max="1" width="15.1328125" customWidth="1"/>
    <col min="2" max="4" width="15.86328125" customWidth="1"/>
    <col min="5" max="5" width="13" customWidth="1"/>
    <col min="13" max="13" width="12.19921875" bestFit="1" customWidth="1"/>
    <col min="14" max="16" width="12.19921875" customWidth="1"/>
  </cols>
  <sheetData>
    <row r="1" spans="1:38" ht="42.75" x14ac:dyDescent="1.1000000000000001">
      <c r="A1" s="10" t="s">
        <v>0</v>
      </c>
      <c r="B1" s="11" t="s">
        <v>1</v>
      </c>
      <c r="C1" s="11" t="s">
        <v>480</v>
      </c>
      <c r="D1" s="11" t="s">
        <v>497</v>
      </c>
      <c r="E1" s="12" t="s">
        <v>433</v>
      </c>
      <c r="F1" s="12" t="s">
        <v>434</v>
      </c>
      <c r="G1" s="12" t="s">
        <v>436</v>
      </c>
      <c r="H1" s="12" t="s">
        <v>478</v>
      </c>
      <c r="I1" s="12" t="s">
        <v>435</v>
      </c>
      <c r="J1" s="10" t="s">
        <v>438</v>
      </c>
      <c r="K1" s="10" t="s">
        <v>492</v>
      </c>
      <c r="L1" s="10" t="s">
        <v>493</v>
      </c>
      <c r="M1" s="10" t="s">
        <v>479</v>
      </c>
      <c r="N1" s="10" t="s">
        <v>489</v>
      </c>
      <c r="O1" s="10" t="s">
        <v>490</v>
      </c>
      <c r="P1" s="10" t="s">
        <v>491</v>
      </c>
      <c r="Q1" s="12" t="s">
        <v>488</v>
      </c>
      <c r="R1" s="12" t="s">
        <v>443</v>
      </c>
      <c r="S1" s="12" t="s">
        <v>441</v>
      </c>
      <c r="T1" s="12" t="s">
        <v>444</v>
      </c>
      <c r="U1" s="12" t="s">
        <v>445</v>
      </c>
      <c r="V1" s="12" t="s">
        <v>446</v>
      </c>
      <c r="W1" s="13" t="s">
        <v>447</v>
      </c>
      <c r="X1" s="13" t="s">
        <v>448</v>
      </c>
      <c r="Y1" s="13" t="s">
        <v>449</v>
      </c>
      <c r="Z1" s="10" t="s">
        <v>450</v>
      </c>
      <c r="AA1" s="10" t="s">
        <v>451</v>
      </c>
      <c r="AB1" s="10" t="s">
        <v>452</v>
      </c>
      <c r="AC1" s="10" t="s">
        <v>453</v>
      </c>
      <c r="AD1" s="10" t="s">
        <v>454</v>
      </c>
      <c r="AE1" s="10" t="s">
        <v>455</v>
      </c>
      <c r="AF1" s="10" t="s">
        <v>456</v>
      </c>
      <c r="AG1" s="14" t="s">
        <v>457</v>
      </c>
      <c r="AH1" s="14" t="s">
        <v>458</v>
      </c>
      <c r="AI1" s="10" t="s">
        <v>459</v>
      </c>
      <c r="AJ1" s="10" t="s">
        <v>460</v>
      </c>
      <c r="AK1" s="10" t="s">
        <v>461</v>
      </c>
      <c r="AL1" s="10" t="s">
        <v>462</v>
      </c>
    </row>
    <row r="2" spans="1:38" ht="21.4" x14ac:dyDescent="1.1000000000000001">
      <c r="A2" s="10" t="s">
        <v>481</v>
      </c>
      <c r="B2" s="11" t="s">
        <v>16</v>
      </c>
      <c r="C2" s="10" t="s">
        <v>482</v>
      </c>
      <c r="D2" s="10" t="str">
        <f>VLOOKUP(B2,global!B1:D218,3,FALSE)</f>
        <v>Latin America &amp; Caribbean</v>
      </c>
      <c r="E2" s="10">
        <v>0</v>
      </c>
      <c r="F2" s="12">
        <v>15.52</v>
      </c>
      <c r="G2" s="12">
        <v>15.52</v>
      </c>
      <c r="H2" s="12">
        <v>15.65</v>
      </c>
      <c r="I2" s="12">
        <f t="shared" ref="I2:I27" si="0">AVERAGE(F2:H2)</f>
        <v>15.563333333333333</v>
      </c>
      <c r="J2" s="10">
        <f>VLOOKUP(B2,global!B1:P218,7,FALSE)</f>
        <v>15.52</v>
      </c>
      <c r="K2" s="10">
        <f>VLOOKUP(B2,global!B1:P218,8,FALSE)</f>
        <v>15.52</v>
      </c>
      <c r="L2" s="10">
        <f>VLOOKUP(B2,global!B1:P218,9,FALSE)</f>
        <v>15.65</v>
      </c>
      <c r="M2" s="10">
        <f>AVERAGE(J2:L2)</f>
        <v>15.563333333333333</v>
      </c>
      <c r="N2" s="10">
        <f>VLOOKUP(B2,global!B1:P218,10,FALSE)</f>
        <v>632790070063.12366</v>
      </c>
      <c r="O2" s="10">
        <f>VLOOKUP(B2,global!B1:P218,11,FALSE)</f>
        <v>646075277525.12451</v>
      </c>
      <c r="P2" s="10">
        <f>VLOOKUP(B2,global!B1:P218,12,FALSE)</f>
        <v>633266692533.68945</v>
      </c>
      <c r="Q2" s="12">
        <v>0</v>
      </c>
      <c r="R2" s="12">
        <v>0</v>
      </c>
      <c r="S2" s="12">
        <v>0</v>
      </c>
      <c r="T2" s="12">
        <v>75.849999999999994</v>
      </c>
      <c r="U2" s="12">
        <v>12.19</v>
      </c>
      <c r="V2" s="12">
        <v>0</v>
      </c>
      <c r="W2" s="13">
        <v>0</v>
      </c>
      <c r="X2" s="13">
        <v>0</v>
      </c>
      <c r="Y2" s="13">
        <v>0</v>
      </c>
      <c r="Z2" s="10">
        <v>14.9081737974407</v>
      </c>
      <c r="AA2" s="10">
        <v>22.7507462136988</v>
      </c>
      <c r="AB2" s="10">
        <v>22.190657287242001</v>
      </c>
      <c r="AC2" s="10">
        <v>21.603942685861199</v>
      </c>
      <c r="AD2" s="10">
        <v>12.034080013911201</v>
      </c>
      <c r="AE2" s="10">
        <v>12.2030217969226</v>
      </c>
      <c r="AF2" s="10">
        <v>12.4160041547474</v>
      </c>
      <c r="AG2" s="10">
        <v>16.592271685868695</v>
      </c>
      <c r="AH2" s="10">
        <v>16.639955932166231</v>
      </c>
      <c r="AI2" s="12">
        <v>58.82</v>
      </c>
      <c r="AJ2" s="12">
        <v>58.82</v>
      </c>
      <c r="AK2" s="12">
        <v>58.14</v>
      </c>
      <c r="AL2" s="12">
        <v>113132.4</v>
      </c>
    </row>
    <row r="3" spans="1:38" ht="21.4" x14ac:dyDescent="1.1000000000000001">
      <c r="A3" s="10" t="s">
        <v>21</v>
      </c>
      <c r="B3" s="11" t="s">
        <v>22</v>
      </c>
      <c r="C3" s="10" t="s">
        <v>483</v>
      </c>
      <c r="D3" s="10" t="str">
        <f>VLOOKUP(B3,global!B2:D219,3,FALSE)</f>
        <v>East Asia &amp; Pacific</v>
      </c>
      <c r="E3" s="10">
        <v>100</v>
      </c>
      <c r="F3" s="12">
        <v>22.83</v>
      </c>
      <c r="G3" s="12">
        <v>22.86</v>
      </c>
      <c r="H3" s="12">
        <v>22.94</v>
      </c>
      <c r="I3" s="12">
        <f t="shared" si="0"/>
        <v>22.876666666666665</v>
      </c>
      <c r="J3" s="10">
        <f>VLOOKUP(B3,global!B2:P219,7,FALSE)</f>
        <v>22.83</v>
      </c>
      <c r="K3" s="10">
        <f>VLOOKUP(B3,global!B2:P219,8,FALSE)</f>
        <v>22.86</v>
      </c>
      <c r="L3" s="10">
        <f>VLOOKUP(B3,global!B2:P219,9,FALSE)</f>
        <v>22.94</v>
      </c>
      <c r="M3" s="10">
        <f t="shared" ref="M3:M27" si="1">AVERAGE(J3:L3)</f>
        <v>22.876666666666665</v>
      </c>
      <c r="N3" s="10">
        <f>VLOOKUP(B3,global!B2:P219,10,FALSE)</f>
        <v>1690858246994.4341</v>
      </c>
      <c r="O3" s="10">
        <f>VLOOKUP(B3,global!B2:P219,11,FALSE)</f>
        <v>1728057316695.6077</v>
      </c>
      <c r="P3" s="10">
        <f>VLOOKUP(B3,global!B2:P219,12,FALSE)</f>
        <v>1752193307380.3433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61.1</v>
      </c>
      <c r="W3" s="13">
        <v>0</v>
      </c>
      <c r="X3" s="13">
        <v>0</v>
      </c>
      <c r="Y3" s="13">
        <v>0</v>
      </c>
      <c r="Z3" s="10">
        <v>8.2517174607081092</v>
      </c>
      <c r="AA3" s="10">
        <v>18.2355418743903</v>
      </c>
      <c r="AB3" s="10">
        <v>18.030282947522402</v>
      </c>
      <c r="AC3" s="10">
        <v>17.841848254449399</v>
      </c>
      <c r="AD3" s="10">
        <v>17.075032046982798</v>
      </c>
      <c r="AE3" s="10">
        <v>17.384024966198002</v>
      </c>
      <c r="AF3" s="10">
        <v>17.730015922836699</v>
      </c>
      <c r="AG3" s="10">
        <v>3.3819983567385421</v>
      </c>
      <c r="AH3" s="10">
        <v>3.4649906006484641</v>
      </c>
      <c r="AI3" s="12">
        <v>47.17</v>
      </c>
      <c r="AJ3" s="12">
        <v>47.01</v>
      </c>
      <c r="AK3" s="12">
        <v>46.84</v>
      </c>
      <c r="AL3" s="15">
        <v>309626</v>
      </c>
    </row>
    <row r="4" spans="1:38" ht="21.4" x14ac:dyDescent="1.1000000000000001">
      <c r="A4" s="10" t="s">
        <v>37</v>
      </c>
      <c r="B4" s="11" t="s">
        <v>38</v>
      </c>
      <c r="C4" s="10" t="s">
        <v>484</v>
      </c>
      <c r="D4" s="10" t="str">
        <f>VLOOKUP(B4,global!B3:D220,3,FALSE)</f>
        <v>Europe &amp; Central Asia</v>
      </c>
      <c r="E4" s="10">
        <v>99.486217054284893</v>
      </c>
      <c r="F4" s="12">
        <v>10.78</v>
      </c>
      <c r="G4" s="12">
        <v>10.6</v>
      </c>
      <c r="H4" s="12">
        <v>10.65</v>
      </c>
      <c r="I4" s="12">
        <f t="shared" si="0"/>
        <v>10.676666666666668</v>
      </c>
      <c r="J4" s="10">
        <f>VLOOKUP(B4,global!B3:P220,7,FALSE)</f>
        <v>10.78</v>
      </c>
      <c r="K4" s="10">
        <f>VLOOKUP(B4,global!B3:P220,8,FALSE)</f>
        <v>10.6</v>
      </c>
      <c r="L4" s="10">
        <f>VLOOKUP(B4,global!B3:P220,9,FALSE)</f>
        <v>10.65</v>
      </c>
      <c r="M4" s="10">
        <f t="shared" si="1"/>
        <v>10.676666666666668</v>
      </c>
      <c r="N4" s="10">
        <f>VLOOKUP(B4,global!B3:P220,10,FALSE)</f>
        <v>593614574325.87781</v>
      </c>
      <c r="O4" s="10">
        <f>VLOOKUP(B4,global!B3:P220,11,FALSE)</f>
        <v>644655275111.57996</v>
      </c>
      <c r="P4" s="10">
        <f>VLOOKUP(B4,global!B3:P220,12,FALSE)</f>
        <v>664564181486.953</v>
      </c>
      <c r="Q4" s="12">
        <v>0</v>
      </c>
      <c r="R4" s="12">
        <v>0</v>
      </c>
      <c r="S4" s="12">
        <v>0</v>
      </c>
      <c r="T4" s="12">
        <v>57.3</v>
      </c>
      <c r="U4" s="12">
        <v>0</v>
      </c>
      <c r="V4" s="12">
        <v>0</v>
      </c>
      <c r="W4" s="13">
        <v>0</v>
      </c>
      <c r="X4" s="13">
        <v>0</v>
      </c>
      <c r="Y4" s="13">
        <v>0</v>
      </c>
      <c r="Z4" s="10">
        <v>11.2160664677018</v>
      </c>
      <c r="AA4" s="10">
        <v>16.529679208233802</v>
      </c>
      <c r="AB4" s="10">
        <v>16.290744737444498</v>
      </c>
      <c r="AC4" s="10">
        <v>15.9961268493057</v>
      </c>
      <c r="AD4" s="10">
        <v>19.767192758520601</v>
      </c>
      <c r="AE4" s="10">
        <v>20.145274954701598</v>
      </c>
      <c r="AF4" s="10">
        <v>20.558080925644301</v>
      </c>
      <c r="AG4" s="10">
        <v>383.03305568308519</v>
      </c>
      <c r="AH4" s="10">
        <v>386.54892765789992</v>
      </c>
      <c r="AI4" s="12">
        <v>80.150000000000006</v>
      </c>
      <c r="AJ4" s="12">
        <v>80.3</v>
      </c>
      <c r="AK4" s="12">
        <v>80.08</v>
      </c>
      <c r="AL4" s="12"/>
    </row>
    <row r="5" spans="1:38" ht="21.4" x14ac:dyDescent="1.1000000000000001">
      <c r="A5" s="10" t="s">
        <v>476</v>
      </c>
      <c r="B5" s="11" t="s">
        <v>53</v>
      </c>
      <c r="C5" s="10" t="s">
        <v>482</v>
      </c>
      <c r="D5" s="10" t="str">
        <f>VLOOKUP(B5,global!B4:D221,3,FALSE)</f>
        <v>Latin America &amp; Caribbean</v>
      </c>
      <c r="E5" s="10">
        <v>90.883499368782296</v>
      </c>
      <c r="F5" s="12">
        <v>26.04</v>
      </c>
      <c r="G5" s="12">
        <v>26.06</v>
      </c>
      <c r="H5" s="12">
        <v>26.1</v>
      </c>
      <c r="I5" s="12">
        <f t="shared" si="0"/>
        <v>26.066666666666663</v>
      </c>
      <c r="J5" s="10">
        <f>VLOOKUP(B5,global!B4:P221,7,FALSE)</f>
        <v>26.04</v>
      </c>
      <c r="K5" s="10">
        <f>VLOOKUP(B5,global!B4:P221,8,FALSE)</f>
        <v>26.06</v>
      </c>
      <c r="L5" s="10">
        <f>VLOOKUP(B5,global!B4:P221,9,FALSE)</f>
        <v>26.1</v>
      </c>
      <c r="M5" s="10">
        <f t="shared" si="1"/>
        <v>26.066666666666663</v>
      </c>
      <c r="N5" s="10">
        <f>VLOOKUP(B5,global!B4:P221,10,FALSE)</f>
        <v>1951923942083.3196</v>
      </c>
      <c r="O5" s="10">
        <f>VLOOKUP(B5,global!B4:P221,11,FALSE)</f>
        <v>2191131765684.6296</v>
      </c>
      <c r="P5" s="10">
        <f>VLOOKUP(B5,global!B4:P221,12,FALSE)</f>
        <v>2179412080828.5867</v>
      </c>
      <c r="Q5" s="12">
        <v>0</v>
      </c>
      <c r="R5" s="12">
        <v>0</v>
      </c>
      <c r="S5" s="12">
        <v>0</v>
      </c>
      <c r="T5" s="12">
        <v>70.239999999999995</v>
      </c>
      <c r="U5" s="12">
        <v>63.3</v>
      </c>
      <c r="V5" s="12">
        <v>45.4</v>
      </c>
      <c r="W5" s="13">
        <v>0</v>
      </c>
      <c r="X5" s="13">
        <v>0</v>
      </c>
      <c r="Y5" s="13">
        <v>0</v>
      </c>
      <c r="Z5" s="10">
        <v>12.1793252040724</v>
      </c>
      <c r="AA5" s="10">
        <v>20.2024769910192</v>
      </c>
      <c r="AB5" s="10">
        <v>19.935952054044499</v>
      </c>
      <c r="AC5" s="10">
        <v>19.665139633592901</v>
      </c>
      <c r="AD5" s="10">
        <v>10.251784783292999</v>
      </c>
      <c r="AE5" s="10">
        <v>10.633631467664401</v>
      </c>
      <c r="AF5" s="10">
        <v>11.0491844889702</v>
      </c>
      <c r="AG5" s="10">
        <v>25.16186795148203</v>
      </c>
      <c r="AH5" s="10">
        <v>25.261688485715723</v>
      </c>
      <c r="AI5" s="12">
        <v>72.819999999999993</v>
      </c>
      <c r="AJ5" s="12">
        <v>72.67</v>
      </c>
      <c r="AK5" s="12">
        <v>72.760000000000005</v>
      </c>
      <c r="AL5" s="12"/>
    </row>
    <row r="6" spans="1:38" ht="21.4" x14ac:dyDescent="1.1000000000000001">
      <c r="A6" s="10" t="s">
        <v>70</v>
      </c>
      <c r="B6" s="11" t="s">
        <v>71</v>
      </c>
      <c r="C6" s="10" t="s">
        <v>482</v>
      </c>
      <c r="D6" s="10" t="str">
        <f>VLOOKUP(B6,global!B5:D222,3,FALSE)</f>
        <v>North America</v>
      </c>
      <c r="E6" s="10">
        <v>98.588358196861407</v>
      </c>
      <c r="F6" s="12">
        <v>-2.41</v>
      </c>
      <c r="G6" s="12">
        <v>-2.3199999999999998</v>
      </c>
      <c r="H6" s="12">
        <v>-2.19</v>
      </c>
      <c r="I6" s="12">
        <f t="shared" si="0"/>
        <v>-2.3066666666666666</v>
      </c>
      <c r="J6" s="10">
        <f>VLOOKUP(B6,global!B5:P222,7,FALSE)</f>
        <v>-2.41</v>
      </c>
      <c r="K6" s="10">
        <f>VLOOKUP(B6,global!B5:P222,8,FALSE)</f>
        <v>-2.3199999999999998</v>
      </c>
      <c r="L6" s="10">
        <f>VLOOKUP(B6,global!B5:P222,9,FALSE)</f>
        <v>-2.19</v>
      </c>
      <c r="M6" s="10">
        <f t="shared" si="1"/>
        <v>-2.3066666666666666</v>
      </c>
      <c r="N6" s="10">
        <f>VLOOKUP(B6,global!B5:P222,10,FALSE)</f>
        <v>2190411080134.3191</v>
      </c>
      <c r="O6" s="10">
        <f>VLOOKUP(B6,global!B5:P222,11,FALSE)</f>
        <v>2173339670064.3279</v>
      </c>
      <c r="P6" s="10">
        <f>VLOOKUP(B6,global!B5:P222,12,FALSE)</f>
        <v>2241253230970.3394</v>
      </c>
      <c r="Q6" s="12">
        <v>0</v>
      </c>
      <c r="R6" s="12">
        <v>0</v>
      </c>
      <c r="S6" s="12">
        <v>0</v>
      </c>
      <c r="T6" s="12">
        <v>71</v>
      </c>
      <c r="U6" s="12">
        <v>73.7</v>
      </c>
      <c r="V6" s="12">
        <v>73.7</v>
      </c>
      <c r="W6" s="13">
        <v>0</v>
      </c>
      <c r="X6" s="13">
        <v>0</v>
      </c>
      <c r="Y6" s="13">
        <v>0</v>
      </c>
      <c r="Z6" s="10">
        <v>6.5656699437526296</v>
      </c>
      <c r="AA6" s="10">
        <v>15.547907655442099</v>
      </c>
      <c r="AB6" s="10">
        <v>15.304543389786399</v>
      </c>
      <c r="AC6" s="10">
        <v>15.111320570986701</v>
      </c>
      <c r="AD6" s="10">
        <v>18.940747130328798</v>
      </c>
      <c r="AE6" s="10">
        <v>19.358119216177101</v>
      </c>
      <c r="AF6" s="10">
        <v>19.799590764832399</v>
      </c>
      <c r="AG6" s="10">
        <v>4.4302267684640508</v>
      </c>
      <c r="AH6" s="10">
        <v>4.5607978426843561</v>
      </c>
      <c r="AI6" s="12">
        <v>72.52</v>
      </c>
      <c r="AJ6" s="12">
        <v>72.459999999999994</v>
      </c>
      <c r="AK6" s="12">
        <v>72.400000000000006</v>
      </c>
      <c r="AL6" s="15">
        <v>258830.5</v>
      </c>
    </row>
    <row r="7" spans="1:38" ht="21.4" x14ac:dyDescent="1.1000000000000001">
      <c r="A7" s="10" t="s">
        <v>79</v>
      </c>
      <c r="B7" s="11" t="s">
        <v>80</v>
      </c>
      <c r="C7" s="11" t="s">
        <v>482</v>
      </c>
      <c r="D7" s="10" t="str">
        <f>VLOOKUP(B7,global!B6:D223,3,FALSE)</f>
        <v>Latin America &amp; Caribbean</v>
      </c>
      <c r="E7" s="10">
        <v>99.999998296322602</v>
      </c>
      <c r="F7" s="12">
        <v>9.57</v>
      </c>
      <c r="G7" s="12">
        <v>9.6199999999999992</v>
      </c>
      <c r="H7" s="12">
        <v>9.6999999999999993</v>
      </c>
      <c r="I7" s="12">
        <f t="shared" si="0"/>
        <v>9.629999999999999</v>
      </c>
      <c r="J7" s="10">
        <f>VLOOKUP(B7,global!B6:P223,7,FALSE)</f>
        <v>9.57</v>
      </c>
      <c r="K7" s="10">
        <f>VLOOKUP(B7,global!B6:P223,8,FALSE)</f>
        <v>9.6199999999999992</v>
      </c>
      <c r="L7" s="10">
        <f>VLOOKUP(B7,global!B6:P223,9,FALSE)</f>
        <v>9.6999999999999993</v>
      </c>
      <c r="M7" s="10">
        <f t="shared" si="1"/>
        <v>9.629999999999999</v>
      </c>
      <c r="N7" s="10">
        <f>VLOOKUP(B7,global!B6:P223,10,FALSE)</f>
        <v>301226575540.2417</v>
      </c>
      <c r="O7" s="10">
        <f>VLOOKUP(B7,global!B6:P223,11,FALSE)</f>
        <v>335518054097.63696</v>
      </c>
      <c r="P7" s="10">
        <f>VLOOKUP(B7,global!B6:P223,12,FALSE)</f>
        <v>330267137371.59229</v>
      </c>
      <c r="Q7" s="12">
        <v>0</v>
      </c>
      <c r="R7" s="12">
        <v>0</v>
      </c>
      <c r="S7" s="12">
        <v>0</v>
      </c>
      <c r="T7" s="12">
        <v>70.260000000000005</v>
      </c>
      <c r="U7" s="12">
        <v>65.099999999999994</v>
      </c>
      <c r="V7" s="12">
        <v>65.02</v>
      </c>
      <c r="W7" s="13">
        <v>98.745956420898395</v>
      </c>
      <c r="X7" s="13">
        <v>0</v>
      </c>
      <c r="Y7" s="13">
        <v>0</v>
      </c>
      <c r="Z7" s="10">
        <v>23.275066804914498</v>
      </c>
      <c r="AA7" s="10">
        <v>17.7575564797826</v>
      </c>
      <c r="AB7" s="10">
        <v>17.3843388990243</v>
      </c>
      <c r="AC7" s="10">
        <v>16.966163762631901</v>
      </c>
      <c r="AD7" s="10">
        <v>13.300080015704999</v>
      </c>
      <c r="AE7" s="10">
        <v>13.693319059852699</v>
      </c>
      <c r="AF7" s="10">
        <v>14.1350862568788</v>
      </c>
      <c r="AG7" s="10">
        <v>26.322298280132493</v>
      </c>
      <c r="AH7" s="10">
        <v>26.464724900517162</v>
      </c>
      <c r="AI7" s="12">
        <v>63.18</v>
      </c>
      <c r="AJ7" s="12">
        <v>63.24</v>
      </c>
      <c r="AK7" s="12">
        <v>63.13</v>
      </c>
      <c r="AL7" s="15">
        <v>85879.40117495798</v>
      </c>
    </row>
    <row r="8" spans="1:38" ht="21.4" x14ac:dyDescent="1.1000000000000001">
      <c r="A8" s="10" t="s">
        <v>81</v>
      </c>
      <c r="B8" s="11" t="s">
        <v>82</v>
      </c>
      <c r="C8" s="11" t="s">
        <v>483</v>
      </c>
      <c r="D8" s="10" t="str">
        <f>VLOOKUP(B8,global!B7:D224,3,FALSE)</f>
        <v>East Asia &amp; Pacific</v>
      </c>
      <c r="E8" s="10">
        <v>95.892361406945298</v>
      </c>
      <c r="F8" s="12">
        <v>7.77</v>
      </c>
      <c r="G8" s="12">
        <v>7.86</v>
      </c>
      <c r="H8" s="12">
        <v>7.87</v>
      </c>
      <c r="I8" s="12">
        <f t="shared" si="0"/>
        <v>7.833333333333333</v>
      </c>
      <c r="J8" s="10">
        <f>VLOOKUP(B8,global!B7:P224,7,FALSE)</f>
        <v>7.77</v>
      </c>
      <c r="K8" s="10">
        <f>VLOOKUP(B8,global!B7:P224,8,FALSE)</f>
        <v>7.86</v>
      </c>
      <c r="L8" s="10">
        <f>VLOOKUP(B8,global!B7:P224,9,FALSE)</f>
        <v>7.87</v>
      </c>
      <c r="M8" s="10">
        <f t="shared" si="1"/>
        <v>7.833333333333333</v>
      </c>
      <c r="N8" s="10">
        <f>VLOOKUP(B8,global!B7:P224,10,FALSE)</f>
        <v>18316765021690.156</v>
      </c>
      <c r="O8" s="10">
        <f>VLOOKUP(B8,global!B7:P224,11,FALSE)</f>
        <v>18270356654533.215</v>
      </c>
      <c r="P8" s="10">
        <f>VLOOKUP(B8,global!B7:P224,12,FALSE)</f>
        <v>18743803170827.164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3">
        <v>0</v>
      </c>
      <c r="X8" s="13">
        <v>0</v>
      </c>
      <c r="Y8" s="13">
        <v>0</v>
      </c>
      <c r="Z8" s="10">
        <v>34.8105237153218</v>
      </c>
      <c r="AA8" s="10">
        <v>17.121799758273099</v>
      </c>
      <c r="AB8" s="10">
        <v>16.589610722592099</v>
      </c>
      <c r="AC8" s="10">
        <v>16.007812332680299</v>
      </c>
      <c r="AD8" s="10">
        <v>13.781930345649</v>
      </c>
      <c r="AE8" s="10">
        <v>14.3160774690688</v>
      </c>
      <c r="AF8" s="10">
        <v>14.665268836569</v>
      </c>
      <c r="AG8" s="10">
        <v>150.4200481241898</v>
      </c>
      <c r="AH8" s="10">
        <v>150.26400133784821</v>
      </c>
      <c r="AI8" s="12">
        <v>60.58</v>
      </c>
      <c r="AJ8" s="12">
        <v>60.49</v>
      </c>
      <c r="AK8" s="12">
        <v>60.57</v>
      </c>
      <c r="AL8" s="15">
        <v>2530000</v>
      </c>
    </row>
    <row r="9" spans="1:38" ht="21.4" x14ac:dyDescent="1.1000000000000001">
      <c r="A9" s="10" t="s">
        <v>95</v>
      </c>
      <c r="B9" s="11" t="s">
        <v>96</v>
      </c>
      <c r="C9" s="11" t="s">
        <v>484</v>
      </c>
      <c r="D9" s="10" t="str">
        <f>VLOOKUP(B9,global!B8:D225,3,FALSE)</f>
        <v>Europe &amp; Central Asia</v>
      </c>
      <c r="E9" s="10">
        <v>0</v>
      </c>
      <c r="F9" s="12">
        <v>13.1</v>
      </c>
      <c r="G9" s="12">
        <v>13.09</v>
      </c>
      <c r="H9" s="12">
        <v>13.11</v>
      </c>
      <c r="I9" s="12">
        <f t="shared" si="0"/>
        <v>13.1</v>
      </c>
      <c r="J9" s="10">
        <f>VLOOKUP(B9,global!B8:P225,7,FALSE)</f>
        <v>13.1</v>
      </c>
      <c r="K9" s="10">
        <f>VLOOKUP(B9,global!B8:P225,8,FALSE)</f>
        <v>13.09</v>
      </c>
      <c r="L9" s="10">
        <f>VLOOKUP(B9,global!B8:P225,9,FALSE)</f>
        <v>13.11</v>
      </c>
      <c r="M9" s="10">
        <f t="shared" si="1"/>
        <v>13.1</v>
      </c>
      <c r="N9" s="10">
        <f>VLOOKUP(B9,global!B8:P225,10,FALSE)</f>
        <v>71198635101.951431</v>
      </c>
      <c r="O9" s="10">
        <f>VLOOKUP(B9,global!B8:P225,11,FALSE)</f>
        <v>84393795502.442108</v>
      </c>
      <c r="P9" s="10">
        <f>VLOOKUP(B9,global!B8:P225,12,FALSE)</f>
        <v>92526176108.620987</v>
      </c>
      <c r="Q9" s="12">
        <v>0</v>
      </c>
      <c r="R9" s="12">
        <v>0</v>
      </c>
      <c r="S9" s="12">
        <v>0</v>
      </c>
      <c r="T9" s="12">
        <v>30.74</v>
      </c>
      <c r="U9" s="12">
        <v>28.56</v>
      </c>
      <c r="V9" s="12">
        <v>27.91</v>
      </c>
      <c r="W9" s="13">
        <v>99.724929809570298</v>
      </c>
      <c r="X9" s="13">
        <v>0</v>
      </c>
      <c r="Y9" s="13">
        <v>0</v>
      </c>
      <c r="Z9" s="10">
        <v>16.120859296026399</v>
      </c>
      <c r="AA9" s="10">
        <v>14.300924974411499</v>
      </c>
      <c r="AB9" s="10">
        <v>14.1385569157886</v>
      </c>
      <c r="AC9" s="10">
        <v>13.9232064407501</v>
      </c>
      <c r="AD9" s="10">
        <v>22.484705122334699</v>
      </c>
      <c r="AE9" s="10">
        <v>22.815365461732998</v>
      </c>
      <c r="AF9" s="10">
        <v>23.187771348209498</v>
      </c>
      <c r="AG9" s="10">
        <v>68.899946390278771</v>
      </c>
      <c r="AH9" s="10">
        <v>68.972230164403143</v>
      </c>
      <c r="AI9" s="12">
        <v>73.25</v>
      </c>
      <c r="AJ9" s="12">
        <v>73.23</v>
      </c>
      <c r="AK9" s="12">
        <v>73.45</v>
      </c>
      <c r="AL9" s="15">
        <v>7122</v>
      </c>
    </row>
    <row r="10" spans="1:38" ht="21.4" x14ac:dyDescent="1.1000000000000001">
      <c r="A10" s="10" t="s">
        <v>135</v>
      </c>
      <c r="B10" s="11" t="s">
        <v>136</v>
      </c>
      <c r="C10" s="11" t="s">
        <v>484</v>
      </c>
      <c r="D10" s="10" t="str">
        <f>VLOOKUP(B10,global!B9:D226,3,FALSE)</f>
        <v>Europe &amp; Central Asia</v>
      </c>
      <c r="E10" s="10">
        <v>98.645996345359094</v>
      </c>
      <c r="F10" s="12">
        <v>12.01</v>
      </c>
      <c r="G10" s="12">
        <v>11.93</v>
      </c>
      <c r="H10" s="12">
        <v>11.99</v>
      </c>
      <c r="I10" s="12">
        <f t="shared" si="0"/>
        <v>11.976666666666667</v>
      </c>
      <c r="J10" s="10">
        <f>VLOOKUP(B10,global!B9:P226,7,FALSE)</f>
        <v>12.01</v>
      </c>
      <c r="K10" s="10">
        <f>VLOOKUP(B10,global!B9:P226,8,FALSE)</f>
        <v>11.93</v>
      </c>
      <c r="L10" s="10">
        <f>VLOOKUP(B10,global!B9:P226,9,FALSE)</f>
        <v>11.99</v>
      </c>
      <c r="M10" s="10">
        <f t="shared" si="1"/>
        <v>11.976666666666667</v>
      </c>
      <c r="N10" s="10">
        <f>VLOOKUP(B10,global!B9:P226,10,FALSE)</f>
        <v>2796302210398.8438</v>
      </c>
      <c r="O10" s="10">
        <f>VLOOKUP(B10,global!B9:P226,11,FALSE)</f>
        <v>3051831611384.7598</v>
      </c>
      <c r="P10" s="10">
        <f>VLOOKUP(B10,global!B9:P226,12,FALSE)</f>
        <v>3162079073495.7808</v>
      </c>
      <c r="Q10" s="12">
        <v>0</v>
      </c>
      <c r="R10" s="12">
        <v>0</v>
      </c>
      <c r="S10" s="12">
        <v>0</v>
      </c>
      <c r="T10" s="12">
        <v>56.8</v>
      </c>
      <c r="U10" s="12">
        <v>54</v>
      </c>
      <c r="V10" s="12">
        <v>53.7</v>
      </c>
      <c r="W10" s="13">
        <v>0</v>
      </c>
      <c r="X10" s="13">
        <v>0</v>
      </c>
      <c r="Y10" s="13">
        <v>0</v>
      </c>
      <c r="Z10" s="10">
        <v>9.6003814478049492</v>
      </c>
      <c r="AA10" s="10">
        <v>17.031415765147202</v>
      </c>
      <c r="AB10" s="10">
        <v>16.784778333366599</v>
      </c>
      <c r="AC10" s="10">
        <v>16.5051210259256</v>
      </c>
      <c r="AD10" s="10">
        <v>21.377349115875599</v>
      </c>
      <c r="AE10" s="10">
        <v>21.7491423914771</v>
      </c>
      <c r="AF10" s="10">
        <v>22.146561898913799</v>
      </c>
      <c r="AG10" s="10">
        <v>126.29189164115409</v>
      </c>
      <c r="AH10" s="10">
        <v>126.70467946933853</v>
      </c>
      <c r="AI10" s="12">
        <v>76.010000000000005</v>
      </c>
      <c r="AJ10" s="12">
        <v>76.430000000000007</v>
      </c>
      <c r="AK10" s="12">
        <v>75.98</v>
      </c>
      <c r="AL10" s="15">
        <v>274644</v>
      </c>
    </row>
    <row r="11" spans="1:38" ht="21.4" x14ac:dyDescent="1.1000000000000001">
      <c r="A11" s="10" t="s">
        <v>145</v>
      </c>
      <c r="B11" s="11" t="s">
        <v>146</v>
      </c>
      <c r="C11" s="11" t="s">
        <v>484</v>
      </c>
      <c r="D11" s="10" t="str">
        <f>VLOOKUP(B11,global!B10:D227,3,FALSE)</f>
        <v>Europe &amp; Central Asia</v>
      </c>
      <c r="E11" s="10">
        <v>99.226203740287602</v>
      </c>
      <c r="F11" s="12">
        <v>10.130000000000001</v>
      </c>
      <c r="G11" s="12">
        <v>9.9700000000000006</v>
      </c>
      <c r="H11" s="12">
        <v>9.9499999999999993</v>
      </c>
      <c r="I11" s="12">
        <f t="shared" si="0"/>
        <v>10.016666666666667</v>
      </c>
      <c r="J11" s="10">
        <f>VLOOKUP(B11,global!B10:P227,7,FALSE)</f>
        <v>10.130000000000001</v>
      </c>
      <c r="K11" s="10">
        <f>VLOOKUP(B11,global!B10:P227,8,FALSE)</f>
        <v>9.9700000000000006</v>
      </c>
      <c r="L11" s="10">
        <f>VLOOKUP(B11,global!B10:P227,9,FALSE)</f>
        <v>9.9499999999999993</v>
      </c>
      <c r="M11" s="10">
        <f t="shared" si="1"/>
        <v>10.016666666666667</v>
      </c>
      <c r="N11" s="10">
        <f>VLOOKUP(B11,global!B10:P227,10,FALSE)</f>
        <v>4163596357879.3936</v>
      </c>
      <c r="O11" s="10">
        <f>VLOOKUP(B11,global!B10:P227,11,FALSE)</f>
        <v>4525703903627.5313</v>
      </c>
      <c r="P11" s="10">
        <f>VLOOKUP(B11,global!B10:P227,12,FALSE)</f>
        <v>4659929336890.624</v>
      </c>
      <c r="Q11" s="12">
        <v>0</v>
      </c>
      <c r="R11" s="12">
        <v>0</v>
      </c>
      <c r="S11" s="12">
        <v>0</v>
      </c>
      <c r="T11" s="12">
        <v>43.3</v>
      </c>
      <c r="U11" s="12">
        <v>40.4</v>
      </c>
      <c r="V11" s="12">
        <v>38.200000000000003</v>
      </c>
      <c r="W11" s="13">
        <v>0</v>
      </c>
      <c r="X11" s="13">
        <v>0</v>
      </c>
      <c r="Y11" s="13">
        <v>0</v>
      </c>
      <c r="Z11" s="10">
        <v>10.2876894329414</v>
      </c>
      <c r="AA11" s="10">
        <v>13.9125311211787</v>
      </c>
      <c r="AB11" s="10">
        <v>13.915570273729299</v>
      </c>
      <c r="AC11" s="10">
        <v>13.910160418927701</v>
      </c>
      <c r="AD11" s="10">
        <v>22.458906379519199</v>
      </c>
      <c r="AE11" s="10">
        <v>22.790043945449298</v>
      </c>
      <c r="AF11" s="10">
        <v>23.195587173194099</v>
      </c>
      <c r="AG11" s="10">
        <v>239.86141802152508</v>
      </c>
      <c r="AH11" s="10">
        <v>240.1108176172624</v>
      </c>
      <c r="AI11" s="12">
        <v>77.72</v>
      </c>
      <c r="AJ11" s="12">
        <v>77.760000000000005</v>
      </c>
      <c r="AK11" s="12">
        <v>77.48</v>
      </c>
      <c r="AL11" s="12"/>
    </row>
    <row r="12" spans="1:38" ht="21.4" x14ac:dyDescent="1.1000000000000001">
      <c r="A12" s="10" t="s">
        <v>185</v>
      </c>
      <c r="B12" s="11" t="s">
        <v>186</v>
      </c>
      <c r="C12" s="11" t="s">
        <v>484</v>
      </c>
      <c r="D12" s="10" t="str">
        <f>VLOOKUP(B12,global!B11:D228,3,FALSE)</f>
        <v>Europe &amp; Central Asia</v>
      </c>
      <c r="E12" s="10">
        <v>89.254870649239095</v>
      </c>
      <c r="F12" s="12">
        <v>10.26</v>
      </c>
      <c r="G12" s="12">
        <v>10.27</v>
      </c>
      <c r="H12" s="12">
        <v>10.31</v>
      </c>
      <c r="I12" s="12">
        <f t="shared" si="0"/>
        <v>10.280000000000001</v>
      </c>
      <c r="J12" s="10">
        <f>VLOOKUP(B12,global!B11:P228,7,FALSE)</f>
        <v>10.26</v>
      </c>
      <c r="K12" s="10">
        <f>VLOOKUP(B12,global!B11:P228,8,FALSE)</f>
        <v>10.27</v>
      </c>
      <c r="L12" s="10">
        <f>VLOOKUP(B12,global!B11:P228,9,FALSE)</f>
        <v>10.31</v>
      </c>
      <c r="M12" s="10">
        <f t="shared" si="1"/>
        <v>10.280000000000001</v>
      </c>
      <c r="N12" s="10">
        <f>VLOOKUP(B12,global!B11:P228,10,FALSE)</f>
        <v>548570250341.98657</v>
      </c>
      <c r="O12" s="10">
        <f>VLOOKUP(B12,global!B11:P228,11,FALSE)</f>
        <v>551394889339.77832</v>
      </c>
      <c r="P12" s="10">
        <f>VLOOKUP(B12,global!B11:P228,12,FALSE)</f>
        <v>577389475009.92175</v>
      </c>
      <c r="Q12" s="12">
        <v>0</v>
      </c>
      <c r="R12" s="12">
        <v>0</v>
      </c>
      <c r="S12" s="12">
        <v>0</v>
      </c>
      <c r="T12" s="12">
        <v>75.8</v>
      </c>
      <c r="U12" s="12">
        <v>75.709999999999994</v>
      </c>
      <c r="V12" s="12">
        <v>75.709999999999994</v>
      </c>
      <c r="W12" s="13">
        <v>0</v>
      </c>
      <c r="X12" s="13">
        <v>0</v>
      </c>
      <c r="Y12" s="13">
        <v>0</v>
      </c>
      <c r="Z12" s="10">
        <v>8.1705860130670693</v>
      </c>
      <c r="AA12" s="10">
        <v>19.455782472675502</v>
      </c>
      <c r="AB12" s="10">
        <v>19.017036040664799</v>
      </c>
      <c r="AC12" s="10">
        <v>18.555485305234502</v>
      </c>
      <c r="AD12" s="10">
        <v>15.16194031114</v>
      </c>
      <c r="AE12" s="10">
        <v>15.541706836930899</v>
      </c>
      <c r="AF12" s="10">
        <v>15.892078380328901</v>
      </c>
      <c r="AG12" s="10">
        <v>75.668979532588182</v>
      </c>
      <c r="AH12" s="10">
        <v>77.044563797358109</v>
      </c>
      <c r="AI12" s="12">
        <v>82.99</v>
      </c>
      <c r="AJ12" s="12">
        <v>83.04</v>
      </c>
      <c r="AK12" s="12">
        <v>82.98</v>
      </c>
      <c r="AL12" s="12"/>
    </row>
    <row r="13" spans="1:38" ht="21.4" x14ac:dyDescent="1.1000000000000001">
      <c r="A13" s="10" t="s">
        <v>191</v>
      </c>
      <c r="B13" s="11" t="s">
        <v>192</v>
      </c>
      <c r="C13" s="11" t="s">
        <v>484</v>
      </c>
      <c r="D13" s="10" t="str">
        <f>VLOOKUP(B13,global!B12:D229,3,FALSE)</f>
        <v>Europe &amp; Central Asia</v>
      </c>
      <c r="E13" s="10">
        <v>99.8850365009352</v>
      </c>
      <c r="F13" s="12">
        <v>13.87</v>
      </c>
      <c r="G13" s="12">
        <v>13.79</v>
      </c>
      <c r="H13" s="12">
        <v>13.81</v>
      </c>
      <c r="I13" s="12">
        <f t="shared" si="0"/>
        <v>13.823333333333332</v>
      </c>
      <c r="J13" s="10">
        <f>VLOOKUP(B13,global!B12:P229,7,FALSE)</f>
        <v>13.87</v>
      </c>
      <c r="K13" s="10">
        <f>VLOOKUP(B13,global!B12:P229,8,FALSE)</f>
        <v>13.79</v>
      </c>
      <c r="L13" s="10">
        <f>VLOOKUP(B13,global!B12:P229,9,FALSE)</f>
        <v>13.81</v>
      </c>
      <c r="M13" s="10">
        <f t="shared" si="1"/>
        <v>13.823333333333332</v>
      </c>
      <c r="N13" s="10">
        <f>VLOOKUP(B13,global!B12:P229,10,FALSE)</f>
        <v>2104067630319.4634</v>
      </c>
      <c r="O13" s="10">
        <f>VLOOKUP(B13,global!B12:P229,11,FALSE)</f>
        <v>2304605139862.7856</v>
      </c>
      <c r="P13" s="10">
        <f>VLOOKUP(B13,global!B12:P229,12,FALSE)</f>
        <v>2372774547793.1245</v>
      </c>
      <c r="Q13" s="12">
        <v>0</v>
      </c>
      <c r="R13" s="12">
        <v>0</v>
      </c>
      <c r="S13" s="12">
        <v>0</v>
      </c>
      <c r="T13" s="12">
        <v>58.1</v>
      </c>
      <c r="U13" s="12">
        <v>53.3</v>
      </c>
      <c r="V13" s="12">
        <v>53.3</v>
      </c>
      <c r="W13" s="13">
        <v>99.899009704589801</v>
      </c>
      <c r="X13" s="13">
        <v>0</v>
      </c>
      <c r="Y13" s="13">
        <v>0</v>
      </c>
      <c r="Z13" s="10">
        <v>14.6586386239905</v>
      </c>
      <c r="AA13" s="10">
        <v>12.3897806298347</v>
      </c>
      <c r="AB13" s="10">
        <v>12.144435176572101</v>
      </c>
      <c r="AC13" s="10">
        <v>11.892304596608</v>
      </c>
      <c r="AD13" s="10">
        <v>23.929189689659001</v>
      </c>
      <c r="AE13" s="10">
        <v>24.2187831541913</v>
      </c>
      <c r="AF13" s="10">
        <v>24.624776723376002</v>
      </c>
      <c r="AG13" s="10">
        <v>199.55926890301637</v>
      </c>
      <c r="AH13" s="10">
        <v>199.49098809684838</v>
      </c>
      <c r="AI13" s="12">
        <v>72.78</v>
      </c>
      <c r="AJ13" s="12">
        <v>73.14</v>
      </c>
      <c r="AK13" s="12">
        <v>73.040000000000006</v>
      </c>
      <c r="AL13" s="12"/>
    </row>
    <row r="14" spans="1:38" ht="21.4" x14ac:dyDescent="1.1000000000000001">
      <c r="A14" s="10" t="s">
        <v>207</v>
      </c>
      <c r="B14" s="11" t="s">
        <v>208</v>
      </c>
      <c r="C14" s="11" t="s">
        <v>483</v>
      </c>
      <c r="D14" s="10" t="str">
        <f>VLOOKUP(B14,global!B13:D230,3,FALSE)</f>
        <v>East Asia &amp; Pacific</v>
      </c>
      <c r="E14" s="10">
        <v>99.816782255034298</v>
      </c>
      <c r="F14" s="12">
        <v>13.36</v>
      </c>
      <c r="G14" s="12">
        <v>13.5</v>
      </c>
      <c r="H14" s="12">
        <v>13.48</v>
      </c>
      <c r="I14" s="12">
        <f t="shared" si="0"/>
        <v>13.446666666666667</v>
      </c>
      <c r="J14" s="10">
        <f>VLOOKUP(B14,global!B13:P230,7,FALSE)</f>
        <v>13.36</v>
      </c>
      <c r="K14" s="10">
        <f>VLOOKUP(B14,global!B13:P230,8,FALSE)</f>
        <v>13.5</v>
      </c>
      <c r="L14" s="10">
        <f>VLOOKUP(B14,global!B13:P230,9,FALSE)</f>
        <v>13.48</v>
      </c>
      <c r="M14" s="10">
        <f t="shared" si="1"/>
        <v>13.446666666666667</v>
      </c>
      <c r="N14" s="10">
        <f>VLOOKUP(B14,global!B13:P230,10,FALSE)</f>
        <v>1673916511799.7087</v>
      </c>
      <c r="O14" s="10">
        <f>VLOOKUP(B14,global!B13:P230,11,FALSE)</f>
        <v>1712792854202.3687</v>
      </c>
      <c r="P14" s="10">
        <f>VLOOKUP(B14,global!B13:P230,12,FALSE)</f>
        <v>0</v>
      </c>
      <c r="Q14" s="12">
        <v>0</v>
      </c>
      <c r="R14" s="12">
        <v>0</v>
      </c>
      <c r="S14" s="12">
        <v>0</v>
      </c>
      <c r="T14" s="12">
        <v>80.459999999999994</v>
      </c>
      <c r="U14" s="12">
        <v>81.94</v>
      </c>
      <c r="V14" s="12">
        <v>82.52</v>
      </c>
      <c r="W14" s="13">
        <v>98.630950927734403</v>
      </c>
      <c r="X14" s="13">
        <v>0</v>
      </c>
      <c r="Y14" s="13">
        <v>0</v>
      </c>
      <c r="Z14" s="10">
        <v>25.9439899531653</v>
      </c>
      <c r="AA14" s="10">
        <v>11.4142590399463</v>
      </c>
      <c r="AB14" s="10">
        <v>10.970817085997</v>
      </c>
      <c r="AC14" s="10">
        <v>10.568126821068001</v>
      </c>
      <c r="AD14" s="10">
        <v>17.484646336630501</v>
      </c>
      <c r="AE14" s="10">
        <v>18.335023583859702</v>
      </c>
      <c r="AF14" s="10">
        <v>19.2735131316057</v>
      </c>
      <c r="AG14" s="10">
        <v>529.43205942622956</v>
      </c>
      <c r="AH14" s="10">
        <v>529.84240778688525</v>
      </c>
      <c r="AI14" s="12">
        <v>69.400000000000006</v>
      </c>
      <c r="AJ14" s="12">
        <v>69.36</v>
      </c>
      <c r="AK14" s="12">
        <v>69.569999999999993</v>
      </c>
      <c r="AL14" s="15">
        <v>283722</v>
      </c>
    </row>
    <row r="15" spans="1:38" ht="21.4" x14ac:dyDescent="1.1000000000000001">
      <c r="A15" s="10" t="s">
        <v>229</v>
      </c>
      <c r="B15" s="11" t="s">
        <v>230</v>
      </c>
      <c r="C15" s="11" t="s">
        <v>484</v>
      </c>
      <c r="D15" s="10" t="str">
        <f>VLOOKUP(B15,global!B14:D231,3,FALSE)</f>
        <v>Europe &amp; Central Asia</v>
      </c>
      <c r="E15" s="10">
        <v>95.3067363442577</v>
      </c>
      <c r="F15" s="12">
        <v>8.1199999999999992</v>
      </c>
      <c r="G15" s="12">
        <v>7.82</v>
      </c>
      <c r="H15" s="12">
        <v>7.81</v>
      </c>
      <c r="I15" s="12">
        <f t="shared" si="0"/>
        <v>7.916666666666667</v>
      </c>
      <c r="J15" s="10">
        <f>VLOOKUP(B15,global!B14:P231,7,FALSE)</f>
        <v>8.1199999999999992</v>
      </c>
      <c r="K15" s="10">
        <f>VLOOKUP(B15,global!B14:P231,8,FALSE)</f>
        <v>7.82</v>
      </c>
      <c r="L15" s="10">
        <f>VLOOKUP(B15,global!B14:P231,9,FALSE)</f>
        <v>7.81</v>
      </c>
      <c r="M15" s="10">
        <f t="shared" si="1"/>
        <v>7.916666666666667</v>
      </c>
      <c r="N15" s="10">
        <f>VLOOKUP(B15,global!B14:P231,10,FALSE)</f>
        <v>71033884499.782379</v>
      </c>
      <c r="O15" s="10">
        <f>VLOOKUP(B15,global!B14:P231,11,FALSE)</f>
        <v>79789877416.168076</v>
      </c>
      <c r="P15" s="10">
        <f>VLOOKUP(B15,global!B14:P231,12,FALSE)</f>
        <v>84869215513.364822</v>
      </c>
      <c r="Q15" s="12">
        <v>8.2899999999999991</v>
      </c>
      <c r="R15" s="12">
        <v>10.119999999999999</v>
      </c>
      <c r="S15" s="12">
        <v>8.7200000000000006</v>
      </c>
      <c r="T15" s="12">
        <v>21.54</v>
      </c>
      <c r="U15" s="12">
        <v>24.29</v>
      </c>
      <c r="V15" s="12">
        <v>22.71</v>
      </c>
      <c r="W15" s="13">
        <v>0</v>
      </c>
      <c r="X15" s="13">
        <v>0</v>
      </c>
      <c r="Y15" s="13">
        <v>0</v>
      </c>
      <c r="Z15" s="10">
        <v>9.2189386036094394</v>
      </c>
      <c r="AA15" s="10">
        <v>15.0489745979606</v>
      </c>
      <c r="AB15" s="10">
        <v>14.8871500252794</v>
      </c>
      <c r="AC15" s="10">
        <v>14.7059775080318</v>
      </c>
      <c r="AD15" s="10">
        <v>19.8607556942966</v>
      </c>
      <c r="AE15" s="10">
        <v>19.856178780063299</v>
      </c>
      <c r="AF15" s="10">
        <v>20.1664889015269</v>
      </c>
      <c r="AG15" s="10">
        <v>45.230959683087342</v>
      </c>
      <c r="AH15" s="10">
        <v>45.871964856230029</v>
      </c>
      <c r="AI15" s="12">
        <v>79.53</v>
      </c>
      <c r="AJ15" s="12">
        <v>79.48</v>
      </c>
      <c r="AK15" s="12">
        <v>79.53</v>
      </c>
      <c r="AL15" s="15">
        <v>12185</v>
      </c>
    </row>
    <row r="16" spans="1:38" ht="21.4" x14ac:dyDescent="1.1000000000000001">
      <c r="A16" s="10" t="s">
        <v>245</v>
      </c>
      <c r="B16" s="11" t="s">
        <v>246</v>
      </c>
      <c r="C16" s="11" t="s">
        <v>484</v>
      </c>
      <c r="D16" s="10" t="str">
        <f>VLOOKUP(B16,global!B15:D232,3,FALSE)</f>
        <v>Middle East &amp; North Africa</v>
      </c>
      <c r="E16" s="10">
        <v>99.964422815225007</v>
      </c>
      <c r="F16" s="12">
        <v>20</v>
      </c>
      <c r="G16" s="12">
        <v>20.05</v>
      </c>
      <c r="H16" s="12">
        <v>20.079999999999998</v>
      </c>
      <c r="I16" s="12">
        <f t="shared" si="0"/>
        <v>20.043333333333333</v>
      </c>
      <c r="J16" s="10">
        <f>VLOOKUP(B16,global!B15:P232,7,FALSE)</f>
        <v>20</v>
      </c>
      <c r="K16" s="10">
        <f>VLOOKUP(B16,global!B15:P232,8,FALSE)</f>
        <v>20.05</v>
      </c>
      <c r="L16" s="10">
        <f>VLOOKUP(B16,global!B15:P232,9,FALSE)</f>
        <v>20.079999999999998</v>
      </c>
      <c r="M16" s="10">
        <f t="shared" si="1"/>
        <v>20.043333333333333</v>
      </c>
      <c r="N16" s="10">
        <f>VLOOKUP(B16,global!B15:P232,10,FALSE)</f>
        <v>19239187083.519371</v>
      </c>
      <c r="O16" s="10">
        <f>VLOOKUP(B16,global!B15:P232,11,FALSE)</f>
        <v>22210718401.020718</v>
      </c>
      <c r="P16" s="10">
        <f>VLOOKUP(B16,global!B15:P232,12,FALSE)</f>
        <v>24322006607.929516</v>
      </c>
      <c r="Q16" s="12">
        <v>0</v>
      </c>
      <c r="R16" s="12">
        <v>0</v>
      </c>
      <c r="S16" s="12">
        <v>0</v>
      </c>
      <c r="T16" s="12">
        <v>50.47</v>
      </c>
      <c r="U16" s="12">
        <v>54.7</v>
      </c>
      <c r="V16" s="12">
        <v>87.89</v>
      </c>
      <c r="W16" s="13">
        <v>0</v>
      </c>
      <c r="X16" s="13">
        <v>0</v>
      </c>
      <c r="Y16" s="13">
        <v>0</v>
      </c>
      <c r="Z16" s="10">
        <v>11.722664877414701</v>
      </c>
      <c r="AA16" s="10">
        <v>13.211483702895899</v>
      </c>
      <c r="AB16" s="10">
        <v>13.1518361740932</v>
      </c>
      <c r="AC16" s="10">
        <v>13.0305018281824</v>
      </c>
      <c r="AD16" s="10">
        <v>19.284370077547599</v>
      </c>
      <c r="AE16" s="10">
        <v>19.800039778142999</v>
      </c>
      <c r="AF16" s="10">
        <v>20.212302657304299</v>
      </c>
      <c r="AG16" s="10">
        <v>1659.7281250000001</v>
      </c>
      <c r="AH16" s="10">
        <v>1727.3343749999999</v>
      </c>
      <c r="AI16" s="12">
        <v>75.989999999999995</v>
      </c>
      <c r="AJ16" s="12">
        <v>76.11</v>
      </c>
      <c r="AK16" s="12">
        <v>76.14</v>
      </c>
      <c r="AL16" s="12"/>
    </row>
    <row r="17" spans="1:38" ht="21.4" x14ac:dyDescent="1.1000000000000001">
      <c r="A17" s="10" t="s">
        <v>277</v>
      </c>
      <c r="B17" s="11" t="s">
        <v>278</v>
      </c>
      <c r="C17" s="11" t="s">
        <v>484</v>
      </c>
      <c r="D17" s="10" t="str">
        <f>VLOOKUP(B17,global!B16:D233,3,FALSE)</f>
        <v>Europe &amp; Central Asia</v>
      </c>
      <c r="E17" s="10">
        <v>97.670234341693799</v>
      </c>
      <c r="F17" s="12">
        <v>10.97</v>
      </c>
      <c r="G17" s="12">
        <v>10.75</v>
      </c>
      <c r="H17" s="12">
        <v>10.78</v>
      </c>
      <c r="I17" s="12">
        <f t="shared" si="0"/>
        <v>10.833333333333334</v>
      </c>
      <c r="J17" s="10">
        <f>VLOOKUP(B17,global!B16:P233,7,FALSE)</f>
        <v>10.97</v>
      </c>
      <c r="K17" s="10">
        <f>VLOOKUP(B17,global!B16:P233,8,FALSE)</f>
        <v>10.75</v>
      </c>
      <c r="L17" s="10">
        <f>VLOOKUP(B17,global!B16:P233,9,FALSE)</f>
        <v>10.78</v>
      </c>
      <c r="M17" s="10">
        <f t="shared" si="1"/>
        <v>10.833333333333334</v>
      </c>
      <c r="N17" s="10">
        <f>VLOOKUP(B17,global!B16:P233,10,FALSE)</f>
        <v>1046540797548.6422</v>
      </c>
      <c r="O17" s="10">
        <f>VLOOKUP(B17,global!B16:P233,11,FALSE)</f>
        <v>1154361305398.0596</v>
      </c>
      <c r="P17" s="10">
        <f>VLOOKUP(B17,global!B16:P233,12,FALSE)</f>
        <v>1227543925316.406</v>
      </c>
      <c r="Q17" s="12">
        <v>0</v>
      </c>
      <c r="R17" s="12">
        <v>0</v>
      </c>
      <c r="S17" s="12">
        <v>0</v>
      </c>
      <c r="T17" s="12">
        <v>66.599999999999994</v>
      </c>
      <c r="U17" s="12">
        <v>61.2</v>
      </c>
      <c r="V17" s="12">
        <v>59.7</v>
      </c>
      <c r="W17" s="13">
        <v>0</v>
      </c>
      <c r="X17" s="13">
        <v>0</v>
      </c>
      <c r="Y17" s="13">
        <v>0</v>
      </c>
      <c r="Z17" s="10">
        <v>10.8892498470498</v>
      </c>
      <c r="AA17" s="10">
        <v>15.3509962706976</v>
      </c>
      <c r="AB17" s="10">
        <v>15.1712741911722</v>
      </c>
      <c r="AC17" s="10">
        <v>15.025645078131101</v>
      </c>
      <c r="AD17" s="10">
        <v>19.901283040652402</v>
      </c>
      <c r="AE17" s="10">
        <v>20.156755902140699</v>
      </c>
      <c r="AF17" s="10">
        <v>20.4960775816586</v>
      </c>
      <c r="AG17" s="10">
        <v>525.71969111969111</v>
      </c>
      <c r="AH17" s="10">
        <v>530.95090585090588</v>
      </c>
      <c r="AI17" s="12">
        <v>80.540000000000006</v>
      </c>
      <c r="AJ17" s="12">
        <v>80.599999999999994</v>
      </c>
      <c r="AK17" s="12">
        <v>80.52</v>
      </c>
      <c r="AL17" s="12"/>
    </row>
    <row r="18" spans="1:38" ht="21.4" x14ac:dyDescent="1.1000000000000001">
      <c r="A18" s="10" t="s">
        <v>281</v>
      </c>
      <c r="B18" s="11" t="s">
        <v>282</v>
      </c>
      <c r="C18" s="11" t="s">
        <v>483</v>
      </c>
      <c r="D18" s="10" t="str">
        <f>VLOOKUP(B18,global!B17:D234,3,FALSE)</f>
        <v>East Asia &amp; Pacific</v>
      </c>
      <c r="E18" s="10">
        <v>100</v>
      </c>
      <c r="F18" s="12">
        <v>10.94</v>
      </c>
      <c r="G18" s="12">
        <v>10.98</v>
      </c>
      <c r="H18" s="12">
        <v>11.01</v>
      </c>
      <c r="I18" s="12">
        <f t="shared" si="0"/>
        <v>10.976666666666667</v>
      </c>
      <c r="J18" s="10">
        <f>VLOOKUP(B18,global!B17:P234,7,FALSE)</f>
        <v>10.94</v>
      </c>
      <c r="K18" s="10">
        <f>VLOOKUP(B18,global!B17:P234,8,FALSE)</f>
        <v>10.98</v>
      </c>
      <c r="L18" s="10">
        <f>VLOOKUP(B18,global!B17:P234,9,FALSE)</f>
        <v>11.01</v>
      </c>
      <c r="M18" s="10">
        <f t="shared" si="1"/>
        <v>10.976666666666667</v>
      </c>
      <c r="N18" s="10">
        <f>VLOOKUP(B18,global!B17:P234,10,FALSE)</f>
        <v>249509991440.43759</v>
      </c>
      <c r="O18" s="10">
        <f>VLOOKUP(B18,global!B17:P234,11,FALSE)</f>
        <v>255194972673.12192</v>
      </c>
      <c r="P18" s="10">
        <f>VLOOKUP(B18,global!B17:P234,12,FALSE)</f>
        <v>260235932558.99628</v>
      </c>
      <c r="Q18" s="12">
        <v>23.93</v>
      </c>
      <c r="R18" s="12">
        <v>0</v>
      </c>
      <c r="S18" s="12">
        <v>0</v>
      </c>
      <c r="T18" s="12">
        <v>67.569999999999993</v>
      </c>
      <c r="U18" s="12">
        <v>0</v>
      </c>
      <c r="V18" s="12">
        <v>61.03</v>
      </c>
      <c r="W18" s="13">
        <v>0</v>
      </c>
      <c r="X18" s="13">
        <v>0</v>
      </c>
      <c r="Y18" s="13">
        <v>0</v>
      </c>
      <c r="Z18" s="10">
        <v>6.4859149967577396</v>
      </c>
      <c r="AA18" s="10">
        <v>18.640247269222499</v>
      </c>
      <c r="AB18" s="10">
        <v>18.374736798151002</v>
      </c>
      <c r="AC18" s="10">
        <v>18.118673694999401</v>
      </c>
      <c r="AD18" s="10">
        <v>16.4463886430602</v>
      </c>
      <c r="AE18" s="10">
        <v>16.7985801212333</v>
      </c>
      <c r="AF18" s="10">
        <v>17.195754308063101</v>
      </c>
      <c r="AG18" s="10">
        <v>19.43374729406403</v>
      </c>
      <c r="AH18" s="10">
        <v>19.91948653678174</v>
      </c>
      <c r="AI18" s="12">
        <v>78.64</v>
      </c>
      <c r="AJ18" s="12">
        <v>78.61</v>
      </c>
      <c r="AK18" s="12">
        <v>78.52</v>
      </c>
      <c r="AL18" s="12"/>
    </row>
    <row r="19" spans="1:38" ht="21.4" x14ac:dyDescent="1.1000000000000001">
      <c r="A19" s="10" t="s">
        <v>305</v>
      </c>
      <c r="B19" s="11" t="s">
        <v>306</v>
      </c>
      <c r="C19" s="11" t="s">
        <v>482</v>
      </c>
      <c r="D19" s="10" t="str">
        <f>VLOOKUP(B19,global!B18:D235,3,FALSE)</f>
        <v>Latin America &amp; Caribbean</v>
      </c>
      <c r="E19" s="10">
        <v>94.572748440331196</v>
      </c>
      <c r="F19" s="12">
        <v>24.88</v>
      </c>
      <c r="G19" s="12">
        <v>24.9</v>
      </c>
      <c r="H19" s="12">
        <v>25.05</v>
      </c>
      <c r="I19" s="12">
        <f t="shared" si="0"/>
        <v>24.943333333333332</v>
      </c>
      <c r="J19" s="10">
        <f>VLOOKUP(B19,global!B18:P235,7,FALSE)</f>
        <v>24.88</v>
      </c>
      <c r="K19" s="10">
        <f>VLOOKUP(B19,global!B18:P235,8,FALSE)</f>
        <v>24.9</v>
      </c>
      <c r="L19" s="10">
        <f>VLOOKUP(B19,global!B18:P235,9,FALSE)</f>
        <v>25.05</v>
      </c>
      <c r="M19" s="10">
        <f t="shared" si="1"/>
        <v>24.943333333333332</v>
      </c>
      <c r="N19" s="10">
        <f>VLOOKUP(B19,global!B18:P235,10,FALSE)</f>
        <v>41952910858.08799</v>
      </c>
      <c r="O19" s="10">
        <f>VLOOKUP(B19,global!B18:P235,11,FALSE)</f>
        <v>43118053174.54129</v>
      </c>
      <c r="P19" s="10">
        <f>VLOOKUP(B19,global!B18:P235,12,FALSE)</f>
        <v>44458118399.666885</v>
      </c>
      <c r="Q19" s="12">
        <v>0</v>
      </c>
      <c r="R19" s="12">
        <v>0</v>
      </c>
      <c r="S19" s="12">
        <v>0</v>
      </c>
      <c r="T19" s="12">
        <v>34.39</v>
      </c>
      <c r="U19" s="12">
        <v>29.85</v>
      </c>
      <c r="V19" s="12">
        <v>28.59</v>
      </c>
      <c r="W19" s="13">
        <v>94.993316650390597</v>
      </c>
      <c r="X19" s="13">
        <v>96.739540100097699</v>
      </c>
      <c r="Y19" s="13">
        <v>0</v>
      </c>
      <c r="Z19" s="10">
        <v>10.0891599097852</v>
      </c>
      <c r="AA19" s="10">
        <v>28.926431676879002</v>
      </c>
      <c r="AB19" s="10">
        <v>28.781004963950199</v>
      </c>
      <c r="AC19" s="10">
        <v>28.587924094041501</v>
      </c>
      <c r="AD19" s="10">
        <v>6.23091107355945</v>
      </c>
      <c r="AE19" s="10">
        <v>6.3692752901530696</v>
      </c>
      <c r="AF19" s="10">
        <v>6.5376460874799598</v>
      </c>
      <c r="AG19" s="10">
        <v>17.071359663350844</v>
      </c>
      <c r="AH19" s="10">
        <v>17.282671943072032</v>
      </c>
      <c r="AI19" s="12">
        <v>66.16</v>
      </c>
      <c r="AJ19" s="12">
        <v>65.86</v>
      </c>
      <c r="AK19" s="12">
        <v>65.12</v>
      </c>
      <c r="AL19" s="12"/>
    </row>
    <row r="20" spans="1:38" ht="21.4" x14ac:dyDescent="1.1000000000000001">
      <c r="A20" s="10" t="s">
        <v>313</v>
      </c>
      <c r="B20" s="11" t="s">
        <v>314</v>
      </c>
      <c r="C20" s="11" t="s">
        <v>484</v>
      </c>
      <c r="D20" s="10" t="str">
        <f>VLOOKUP(B20,global!B19:D236,3,FALSE)</f>
        <v>Europe &amp; Central Asia</v>
      </c>
      <c r="E20" s="10">
        <v>99.661256728974706</v>
      </c>
      <c r="F20" s="12">
        <v>16</v>
      </c>
      <c r="G20" s="12">
        <v>16.04</v>
      </c>
      <c r="H20" s="12">
        <v>16.079999999999998</v>
      </c>
      <c r="I20" s="12">
        <f t="shared" si="0"/>
        <v>16.04</v>
      </c>
      <c r="J20" s="10">
        <f>VLOOKUP(B20,global!B19:P236,7,FALSE)</f>
        <v>16</v>
      </c>
      <c r="K20" s="10">
        <f>VLOOKUP(B20,global!B19:P236,8,FALSE)</f>
        <v>16.04</v>
      </c>
      <c r="L20" s="10">
        <f>VLOOKUP(B20,global!B19:P236,9,FALSE)</f>
        <v>16.079999999999998</v>
      </c>
      <c r="M20" s="10">
        <f t="shared" si="1"/>
        <v>16.04</v>
      </c>
      <c r="N20" s="10">
        <f>VLOOKUP(B20,global!B19:P236,10,FALSE)</f>
        <v>256898675068.92706</v>
      </c>
      <c r="O20" s="10">
        <f>VLOOKUP(B20,global!B19:P236,11,FALSE)</f>
        <v>289696962620.23456</v>
      </c>
      <c r="P20" s="10">
        <f>VLOOKUP(B20,global!B19:P236,12,FALSE)</f>
        <v>308683317392.67963</v>
      </c>
      <c r="Q20" s="12">
        <v>0</v>
      </c>
      <c r="R20" s="12">
        <v>0</v>
      </c>
      <c r="S20" s="12">
        <v>0</v>
      </c>
      <c r="T20" s="12">
        <v>0</v>
      </c>
      <c r="U20" s="12">
        <v>66.28</v>
      </c>
      <c r="V20" s="12">
        <v>64.010000000000005</v>
      </c>
      <c r="W20" s="13">
        <v>0</v>
      </c>
      <c r="X20" s="13">
        <v>0</v>
      </c>
      <c r="Y20" s="13">
        <v>0</v>
      </c>
      <c r="Z20" s="10">
        <v>8.4524226623673702</v>
      </c>
      <c r="AA20" s="10">
        <v>13.002218233577601</v>
      </c>
      <c r="AB20" s="10">
        <v>12.8936466432193</v>
      </c>
      <c r="AC20" s="10">
        <v>12.8014201999608</v>
      </c>
      <c r="AD20" s="10">
        <v>23.688003515382999</v>
      </c>
      <c r="AE20" s="10">
        <v>24.1115106141099</v>
      </c>
      <c r="AF20" s="10">
        <v>24.5306498594644</v>
      </c>
      <c r="AG20" s="10">
        <v>113.90495777550717</v>
      </c>
      <c r="AH20" s="10">
        <v>115.47518928973774</v>
      </c>
      <c r="AI20" s="12">
        <v>69.680000000000007</v>
      </c>
      <c r="AJ20" s="12">
        <v>69.84</v>
      </c>
      <c r="AK20" s="12">
        <v>69.33</v>
      </c>
      <c r="AL20" s="12"/>
    </row>
    <row r="21" spans="1:38" ht="21.4" x14ac:dyDescent="1.1000000000000001">
      <c r="A21" s="10" t="s">
        <v>319</v>
      </c>
      <c r="B21" s="11" t="s">
        <v>320</v>
      </c>
      <c r="C21" s="11" t="s">
        <v>484</v>
      </c>
      <c r="D21" s="10" t="str">
        <f>VLOOKUP(B21,global!B20:D237,3,FALSE)</f>
        <v>Europe &amp; Central Asia</v>
      </c>
      <c r="E21" s="10">
        <v>88.284229426922295</v>
      </c>
      <c r="F21" s="12">
        <v>10.97</v>
      </c>
      <c r="G21" s="12">
        <v>11.01</v>
      </c>
      <c r="H21" s="12">
        <v>11</v>
      </c>
      <c r="I21" s="12">
        <f t="shared" si="0"/>
        <v>10.993333333333334</v>
      </c>
      <c r="J21" s="10">
        <f>VLOOKUP(B21,global!B20:P237,7,FALSE)</f>
        <v>10.97</v>
      </c>
      <c r="K21" s="10">
        <f>VLOOKUP(B21,global!B20:P237,8,FALSE)</f>
        <v>11.01</v>
      </c>
      <c r="L21" s="10">
        <f>VLOOKUP(B21,global!B20:P237,9,FALSE)</f>
        <v>11</v>
      </c>
      <c r="M21" s="10">
        <f t="shared" si="1"/>
        <v>10.993333333333334</v>
      </c>
      <c r="N21" s="10">
        <f>VLOOKUP(B21,global!B20:P237,10,FALSE)</f>
        <v>296354358293.47491</v>
      </c>
      <c r="O21" s="10">
        <f>VLOOKUP(B21,global!B20:P237,11,FALSE)</f>
        <v>350775856415.18921</v>
      </c>
      <c r="P21" s="10">
        <f>VLOOKUP(B21,global!B20:P237,12,FALSE)</f>
        <v>382767571329.15796</v>
      </c>
      <c r="Q21" s="12">
        <v>0</v>
      </c>
      <c r="R21" s="12">
        <v>0</v>
      </c>
      <c r="S21" s="12">
        <v>0</v>
      </c>
      <c r="T21" s="12">
        <v>23.05</v>
      </c>
      <c r="U21" s="12">
        <v>23.32</v>
      </c>
      <c r="V21" s="12">
        <v>19.62</v>
      </c>
      <c r="W21" s="13">
        <v>96.071578979492202</v>
      </c>
      <c r="X21" s="13">
        <v>0</v>
      </c>
      <c r="Y21" s="13">
        <v>0</v>
      </c>
      <c r="Z21" s="10">
        <v>14.8501731264834</v>
      </c>
      <c r="AA21" s="10">
        <v>16.0158785210186</v>
      </c>
      <c r="AB21" s="10">
        <v>15.8764699816463</v>
      </c>
      <c r="AC21" s="10">
        <v>15.7157647653274</v>
      </c>
      <c r="AD21" s="10">
        <v>19.515247024505602</v>
      </c>
      <c r="AE21" s="10">
        <v>19.753140920706599</v>
      </c>
      <c r="AF21" s="10">
        <v>19.980998773184702</v>
      </c>
      <c r="AG21" s="10">
        <v>82.790777121001398</v>
      </c>
      <c r="AH21" s="10">
        <v>82.838486613351876</v>
      </c>
      <c r="AI21" s="12">
        <v>74.42</v>
      </c>
      <c r="AJ21" s="12">
        <v>74.84</v>
      </c>
      <c r="AK21" s="12">
        <v>74.67</v>
      </c>
      <c r="AL21" s="15">
        <v>51364</v>
      </c>
    </row>
    <row r="22" spans="1:38" ht="21.4" x14ac:dyDescent="1.1000000000000001">
      <c r="A22" s="10" t="s">
        <v>357</v>
      </c>
      <c r="B22" s="11" t="s">
        <v>358</v>
      </c>
      <c r="C22" s="11" t="s">
        <v>484</v>
      </c>
      <c r="D22" s="10" t="str">
        <f>VLOOKUP(B22,global!B21:D238,3,FALSE)</f>
        <v>Europe &amp; Central Asia</v>
      </c>
      <c r="E22" s="10">
        <v>99.918616417853897</v>
      </c>
      <c r="F22" s="12">
        <v>14.78</v>
      </c>
      <c r="G22" s="12">
        <v>14.75</v>
      </c>
      <c r="H22" s="12">
        <v>14.78</v>
      </c>
      <c r="I22" s="12">
        <f t="shared" si="0"/>
        <v>14.770000000000001</v>
      </c>
      <c r="J22" s="10">
        <f>VLOOKUP(B22,global!B21:P238,7,FALSE)</f>
        <v>14.78</v>
      </c>
      <c r="K22" s="10">
        <f>VLOOKUP(B22,global!B21:P238,8,FALSE)</f>
        <v>14.75</v>
      </c>
      <c r="L22" s="10">
        <f>VLOOKUP(B22,global!B21:P238,9,FALSE)</f>
        <v>14.78</v>
      </c>
      <c r="M22" s="10">
        <f t="shared" si="1"/>
        <v>14.770000000000001</v>
      </c>
      <c r="N22" s="10">
        <f>VLOOKUP(B22,global!B21:P238,10,FALSE)</f>
        <v>1446498147749.033</v>
      </c>
      <c r="O22" s="10">
        <f>VLOOKUP(B22,global!B21:P238,11,FALSE)</f>
        <v>1620090734956.8914</v>
      </c>
      <c r="P22" s="10">
        <f>VLOOKUP(B22,global!B21:P238,12,FALSE)</f>
        <v>1722745978335.156</v>
      </c>
      <c r="Q22" s="12">
        <v>0</v>
      </c>
      <c r="R22" s="12">
        <v>0</v>
      </c>
      <c r="S22" s="12">
        <v>0</v>
      </c>
      <c r="T22" s="12">
        <v>64.599999999999994</v>
      </c>
      <c r="U22" s="12">
        <v>68.45</v>
      </c>
      <c r="V22" s="12">
        <v>68.45</v>
      </c>
      <c r="W22" s="13">
        <v>0</v>
      </c>
      <c r="X22" s="13">
        <v>0</v>
      </c>
      <c r="Y22" s="13">
        <v>0</v>
      </c>
      <c r="Z22" s="10">
        <v>9.5810546069067506</v>
      </c>
      <c r="AA22" s="10">
        <v>13.595910336294599</v>
      </c>
      <c r="AB22" s="10">
        <v>13.258650761033699</v>
      </c>
      <c r="AC22" s="10">
        <v>12.921744869574701</v>
      </c>
      <c r="AD22" s="10">
        <v>20.1879992491906</v>
      </c>
      <c r="AE22" s="10">
        <v>20.653707523877401</v>
      </c>
      <c r="AF22" s="10">
        <v>21.1454438932121</v>
      </c>
      <c r="AG22" s="10">
        <v>95.626963633200987</v>
      </c>
      <c r="AH22" s="10">
        <v>96.754375748202804</v>
      </c>
      <c r="AI22" s="12">
        <v>66.08</v>
      </c>
      <c r="AJ22" s="12">
        <v>66.55</v>
      </c>
      <c r="AK22" s="12">
        <v>66.12</v>
      </c>
      <c r="AL22" s="15">
        <v>353920</v>
      </c>
    </row>
    <row r="23" spans="1:38" ht="21.4" x14ac:dyDescent="1.1000000000000001">
      <c r="A23" s="10" t="s">
        <v>383</v>
      </c>
      <c r="B23" s="11" t="s">
        <v>384</v>
      </c>
      <c r="C23" s="11" t="s">
        <v>485</v>
      </c>
      <c r="D23" s="10" t="str">
        <f>VLOOKUP(B23,global!B23:D240,3,FALSE)</f>
        <v>East Asia &amp; Pacific</v>
      </c>
      <c r="E23" s="10">
        <v>99.015625258931394</v>
      </c>
      <c r="F23" s="12">
        <v>27.17</v>
      </c>
      <c r="G23" s="12">
        <v>27.18</v>
      </c>
      <c r="H23" s="12">
        <v>27.22</v>
      </c>
      <c r="I23" s="12">
        <f t="shared" si="0"/>
        <v>27.189999999999998</v>
      </c>
      <c r="J23" s="10">
        <f>VLOOKUP(B23,global!B23:P240,7,FALSE)</f>
        <v>27.17</v>
      </c>
      <c r="K23" s="10">
        <f>VLOOKUP(B23,global!B23:P240,8,FALSE)</f>
        <v>27.18</v>
      </c>
      <c r="L23" s="10">
        <f>VLOOKUP(B23,global!B23:P240,9,FALSE)</f>
        <v>27.22</v>
      </c>
      <c r="M23" s="10">
        <f t="shared" si="1"/>
        <v>27.189999999999998</v>
      </c>
      <c r="N23" s="10">
        <f>VLOOKUP(B23,global!B23:P240,10,FALSE)</f>
        <v>495644697587.66052</v>
      </c>
      <c r="O23" s="10">
        <f>VLOOKUP(B23,global!B23:P240,11,FALSE)</f>
        <v>515906283940.93262</v>
      </c>
      <c r="P23" s="10">
        <f>VLOOKUP(B23,global!B23:P240,12,FALSE)</f>
        <v>526411265427.68256</v>
      </c>
      <c r="Q23" s="12">
        <v>0</v>
      </c>
      <c r="R23" s="12">
        <v>0</v>
      </c>
      <c r="S23" s="12">
        <v>0</v>
      </c>
      <c r="T23" s="12">
        <v>81.16</v>
      </c>
      <c r="U23" s="12">
        <v>43.34</v>
      </c>
      <c r="V23" s="12">
        <v>46.89</v>
      </c>
      <c r="W23" s="13">
        <v>0</v>
      </c>
      <c r="X23" s="13">
        <v>0</v>
      </c>
      <c r="Y23" s="13">
        <v>0</v>
      </c>
      <c r="Z23" s="10">
        <v>31.007201627715901</v>
      </c>
      <c r="AA23" s="10">
        <v>15.432966091226801</v>
      </c>
      <c r="AB23" s="10">
        <v>15.089679311448799</v>
      </c>
      <c r="AC23" s="10">
        <v>14.7494821643648</v>
      </c>
      <c r="AD23" s="10">
        <v>14.0967841661394</v>
      </c>
      <c r="AE23" s="10">
        <v>14.7182560815403</v>
      </c>
      <c r="AF23" s="10">
        <v>15.3627543814492</v>
      </c>
      <c r="AG23" s="10">
        <v>140.41247430953825</v>
      </c>
      <c r="AH23" s="10">
        <v>140.3480886296463</v>
      </c>
      <c r="AI23" s="12">
        <v>72.290000000000006</v>
      </c>
      <c r="AJ23" s="12">
        <v>72.39</v>
      </c>
      <c r="AK23" s="12">
        <v>72.39</v>
      </c>
      <c r="AL23" s="12"/>
    </row>
    <row r="24" spans="1:38" ht="21.4" x14ac:dyDescent="1.1000000000000001">
      <c r="A24" s="10" t="s">
        <v>409</v>
      </c>
      <c r="B24" s="11" t="s">
        <v>410</v>
      </c>
      <c r="C24" s="11" t="s">
        <v>484</v>
      </c>
      <c r="D24" s="10" t="str">
        <f>VLOOKUP(B24,global!B24:D241,3,FALSE)</f>
        <v>Europe &amp; Central Asia</v>
      </c>
      <c r="E24" s="10">
        <v>99.104790264294095</v>
      </c>
      <c r="F24" s="12">
        <v>9.76</v>
      </c>
      <c r="G24" s="12">
        <v>9.7100000000000009</v>
      </c>
      <c r="H24" s="12">
        <v>9.7799999999999994</v>
      </c>
      <c r="I24" s="12">
        <f t="shared" si="0"/>
        <v>9.75</v>
      </c>
      <c r="J24" s="10">
        <f>VLOOKUP(B24,global!B24:P241,7,FALSE)</f>
        <v>9.76</v>
      </c>
      <c r="K24" s="10">
        <f>VLOOKUP(B24,global!B24:P241,8,FALSE)</f>
        <v>9.7100000000000009</v>
      </c>
      <c r="L24" s="10">
        <f>VLOOKUP(B24,global!B24:P241,9,FALSE)</f>
        <v>9.7799999999999994</v>
      </c>
      <c r="M24" s="10">
        <f t="shared" si="1"/>
        <v>9.75</v>
      </c>
      <c r="N24" s="10">
        <f>VLOOKUP(B24,global!B24:P241,10,FALSE)</f>
        <v>3114042471144.3877</v>
      </c>
      <c r="O24" s="10">
        <f>VLOOKUP(B24,global!B24:P241,11,FALSE)</f>
        <v>3369861888972.877</v>
      </c>
      <c r="P24" s="10">
        <f>VLOOKUP(B24,global!B24:P241,12,FALSE)</f>
        <v>3643834188782.9146</v>
      </c>
      <c r="Q24" s="12">
        <v>0</v>
      </c>
      <c r="R24" s="12">
        <v>0</v>
      </c>
      <c r="S24" s="12">
        <v>0</v>
      </c>
      <c r="T24" s="12">
        <v>84.19</v>
      </c>
      <c r="U24" s="12">
        <v>75.510000000000005</v>
      </c>
      <c r="V24" s="12">
        <v>77.819999999999993</v>
      </c>
      <c r="W24" s="13">
        <v>0</v>
      </c>
      <c r="X24" s="13">
        <v>0</v>
      </c>
      <c r="Y24" s="13">
        <v>0</v>
      </c>
      <c r="Z24" s="10">
        <v>9.9128856028211398</v>
      </c>
      <c r="AA24" s="10">
        <v>17.629257366187499</v>
      </c>
      <c r="AB24" s="10">
        <v>17.4091420415944</v>
      </c>
      <c r="AC24" s="10">
        <v>17.185046704613299</v>
      </c>
      <c r="AD24" s="10">
        <v>18.930314722798901</v>
      </c>
      <c r="AE24" s="10">
        <v>19.238129106618</v>
      </c>
      <c r="AF24" s="10">
        <v>19.4997673608515</v>
      </c>
      <c r="AG24" s="10">
        <v>279.43620055387925</v>
      </c>
      <c r="AH24" s="10">
        <v>283.10668375149839</v>
      </c>
      <c r="AI24" s="12">
        <v>82.3</v>
      </c>
      <c r="AJ24" s="12">
        <v>82.3</v>
      </c>
      <c r="AK24" s="12">
        <v>82.34</v>
      </c>
      <c r="AL24" s="15">
        <v>2914000</v>
      </c>
    </row>
    <row r="25" spans="1:38" ht="21.4" x14ac:dyDescent="1.1000000000000001">
      <c r="A25" s="10" t="s">
        <v>411</v>
      </c>
      <c r="B25" s="11" t="s">
        <v>412</v>
      </c>
      <c r="C25" s="11" t="s">
        <v>482</v>
      </c>
      <c r="D25" s="10" t="str">
        <f>VLOOKUP(B25,global!B25:D242,3,FALSE)</f>
        <v>North America</v>
      </c>
      <c r="E25" s="10">
        <v>99.631610907923005</v>
      </c>
      <c r="F25" s="12">
        <v>11.06</v>
      </c>
      <c r="G25" s="12">
        <v>11</v>
      </c>
      <c r="H25" s="12">
        <v>11.12</v>
      </c>
      <c r="I25" s="12">
        <f t="shared" si="0"/>
        <v>11.06</v>
      </c>
      <c r="J25" s="10">
        <f>VLOOKUP(B25,global!B25:P242,7,FALSE)</f>
        <v>11.06</v>
      </c>
      <c r="K25" s="10">
        <f>VLOOKUP(B25,global!B25:P242,8,FALSE)</f>
        <v>11</v>
      </c>
      <c r="L25" s="10">
        <f>VLOOKUP(B25,global!B25:P242,9,FALSE)</f>
        <v>11.12</v>
      </c>
      <c r="M25" s="10">
        <f t="shared" si="1"/>
        <v>11.06</v>
      </c>
      <c r="N25" s="10">
        <f>VLOOKUP(B25,global!B25:P242,10,FALSE)</f>
        <v>26006893000000</v>
      </c>
      <c r="O25" s="10">
        <f>VLOOKUP(B25,global!B25:P242,11,FALSE)</f>
        <v>27720709000000</v>
      </c>
      <c r="P25" s="10">
        <f>VLOOKUP(B25,global!B25:P242,12,FALSE)</f>
        <v>29184890000000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 t="e">
        <v>#N/A</v>
      </c>
      <c r="W25" s="13">
        <v>0</v>
      </c>
      <c r="X25" s="13">
        <v>0</v>
      </c>
      <c r="Y25" s="13">
        <v>0</v>
      </c>
      <c r="Z25" s="10">
        <v>7.8148575236511197</v>
      </c>
      <c r="AA25" s="10">
        <v>17.881825195667101</v>
      </c>
      <c r="AB25" s="10">
        <v>17.594637649089702</v>
      </c>
      <c r="AC25" s="10">
        <v>17.324576921443601</v>
      </c>
      <c r="AD25" s="10">
        <v>16.9196203896458</v>
      </c>
      <c r="AE25" s="10">
        <v>17.431819482353902</v>
      </c>
      <c r="AF25" s="10">
        <v>17.928730213403298</v>
      </c>
      <c r="AG25" s="10">
        <v>36.514921256485437</v>
      </c>
      <c r="AH25" s="10">
        <v>36.819806131127685</v>
      </c>
      <c r="AI25" s="12">
        <v>60.98</v>
      </c>
      <c r="AJ25" s="12">
        <v>61.05</v>
      </c>
      <c r="AK25" s="12">
        <v>60.75</v>
      </c>
      <c r="AL25" s="12"/>
    </row>
    <row r="26" spans="1:38" ht="21.4" x14ac:dyDescent="1.1000000000000001">
      <c r="A26" s="10" t="s">
        <v>413</v>
      </c>
      <c r="B26" s="11" t="s">
        <v>414</v>
      </c>
      <c r="C26" s="11" t="s">
        <v>482</v>
      </c>
      <c r="D26" s="10" t="str">
        <f>VLOOKUP(B26,global!B26:D243,3,FALSE)</f>
        <v>Latin America &amp; Caribbean</v>
      </c>
      <c r="E26" s="10">
        <v>98.324831288672101</v>
      </c>
      <c r="F26" s="12">
        <v>18.13</v>
      </c>
      <c r="G26" s="12">
        <v>18.100000000000001</v>
      </c>
      <c r="H26" s="12">
        <v>18.100000000000001</v>
      </c>
      <c r="I26" s="12">
        <f t="shared" si="0"/>
        <v>18.110000000000003</v>
      </c>
      <c r="J26" s="10">
        <f>VLOOKUP(B26,global!B26:P243,7,FALSE)</f>
        <v>18.13</v>
      </c>
      <c r="K26" s="10">
        <f>VLOOKUP(B26,global!B26:P243,8,FALSE)</f>
        <v>18.100000000000001</v>
      </c>
      <c r="L26" s="10">
        <f>VLOOKUP(B26,global!B26:P243,9,FALSE)</f>
        <v>18.100000000000001</v>
      </c>
      <c r="M26" s="10">
        <f t="shared" si="1"/>
        <v>18.110000000000003</v>
      </c>
      <c r="N26" s="10">
        <f>VLOOKUP(B26,global!B26:P243,10,FALSE)</f>
        <v>70594110920.035782</v>
      </c>
      <c r="O26" s="10">
        <f>VLOOKUP(B26,global!B26:P243,11,FALSE)</f>
        <v>77991666837.73819</v>
      </c>
      <c r="P26" s="10">
        <f>VLOOKUP(B26,global!B26:P243,12,FALSE)</f>
        <v>80961511073.579651</v>
      </c>
      <c r="Q26" s="12">
        <v>0</v>
      </c>
      <c r="R26" s="12">
        <v>0</v>
      </c>
      <c r="S26" s="12">
        <v>0</v>
      </c>
      <c r="T26" s="12">
        <v>32.72</v>
      </c>
      <c r="U26" s="12">
        <v>33.17</v>
      </c>
      <c r="V26" s="12">
        <v>31.73</v>
      </c>
      <c r="W26" s="13">
        <v>88.844100952148395</v>
      </c>
      <c r="X26" s="13">
        <v>0</v>
      </c>
      <c r="Y26" s="13">
        <v>0</v>
      </c>
      <c r="Z26" s="10">
        <v>10.571792325913499</v>
      </c>
      <c r="AA26" s="10">
        <v>19.066856035527898</v>
      </c>
      <c r="AB26" s="10">
        <v>18.685403136082499</v>
      </c>
      <c r="AC26" s="10">
        <v>18.2929719075618</v>
      </c>
      <c r="AD26" s="10">
        <v>15.613405593124901</v>
      </c>
      <c r="AE26" s="10">
        <v>15.812817906776401</v>
      </c>
      <c r="AF26" s="10">
        <v>16.045192985564402</v>
      </c>
      <c r="AG26" s="10">
        <v>19.374431493543597</v>
      </c>
      <c r="AH26" s="10">
        <v>19.358250485658782</v>
      </c>
      <c r="AI26" s="12">
        <v>73.37</v>
      </c>
      <c r="AJ26" s="12">
        <v>73.3</v>
      </c>
      <c r="AK26" s="12">
        <v>72.959999999999994</v>
      </c>
      <c r="AL26" s="12"/>
    </row>
    <row r="27" spans="1:38" ht="21.4" x14ac:dyDescent="1.1000000000000001">
      <c r="A27" s="10" t="s">
        <v>373</v>
      </c>
      <c r="B27" s="11" t="s">
        <v>374</v>
      </c>
      <c r="C27" s="11" t="s">
        <v>484</v>
      </c>
      <c r="D27" s="10" t="str">
        <f>VLOOKUP(B27,[8]global!B27:D244,3,FALSE)</f>
        <v>Europe &amp; Central Asia</v>
      </c>
      <c r="E27" s="10">
        <v>98.860814611476897</v>
      </c>
      <c r="F27" s="10">
        <f>VLOOKUP(B27,[4]tas!$A$2:$H$247,5,FALSE)</f>
        <v>4.47</v>
      </c>
      <c r="G27" s="11">
        <f>VLOOKUP(B27,[4]tas!$A$2:$H$247,6,FALSE)</f>
        <v>4.34</v>
      </c>
      <c r="H27" s="11">
        <f>VLOOKUP(B27,[4]tas!$A$2:$H$247,7,FALSE)</f>
        <v>4.3600000000000003</v>
      </c>
      <c r="I27" s="10">
        <f t="shared" si="0"/>
        <v>4.3899999999999997</v>
      </c>
      <c r="J27" s="10">
        <f>VLOOKUP(B27,[8]global!B27:P244,7,FALSE)</f>
        <v>4.47</v>
      </c>
      <c r="K27" s="10">
        <f>VLOOKUP(B27,[8]global!B27:P244,8,FALSE)</f>
        <v>4.34</v>
      </c>
      <c r="L27" s="11">
        <f>VLOOKUP(B27,[8]global!B27:P244,9,FALSE)</f>
        <v>4.3600000000000003</v>
      </c>
      <c r="M27" s="11">
        <f t="shared" si="1"/>
        <v>4.3899999999999997</v>
      </c>
      <c r="N27" s="10">
        <f>VLOOKUP(B27,[8]global!B27:P244,10,FALSE)</f>
        <v>579895717343.95605</v>
      </c>
      <c r="O27" s="10">
        <f>VLOOKUP(B27,[8]global!B27:P244,11,FALSE)</f>
        <v>585489968189.0636</v>
      </c>
      <c r="P27" s="10">
        <f>VLOOKUP(B27,[8]global!B27:P244,12,FALSE)</f>
        <v>610117791237.08911</v>
      </c>
      <c r="Q27" s="11">
        <v>0</v>
      </c>
      <c r="R27" s="11">
        <v>0</v>
      </c>
      <c r="S27" s="10">
        <v>0</v>
      </c>
      <c r="T27" s="10">
        <v>70</v>
      </c>
      <c r="U27" s="10">
        <f>VLOOKUP(B27,[6]Sheet1!$B$213:$K$420,10,FALSE)</f>
        <v>70</v>
      </c>
      <c r="V27" s="11">
        <f>VLOOKUP(B27,[6]Sheet1!$B$2:$K$212,10,FALSE)</f>
        <v>69</v>
      </c>
      <c r="W27" s="11">
        <v>99.670852661132798</v>
      </c>
      <c r="X27" s="10">
        <v>0</v>
      </c>
      <c r="Y27" s="10">
        <v>0</v>
      </c>
      <c r="Z27" s="10">
        <v>5.6367079060014804</v>
      </c>
      <c r="AA27" s="11">
        <v>17.488785047263701</v>
      </c>
      <c r="AB27" s="11">
        <v>17.249784722428899</v>
      </c>
      <c r="AC27" s="10">
        <v>16.9857798610144</v>
      </c>
      <c r="AD27" s="10">
        <v>20.3419018248482</v>
      </c>
      <c r="AE27" s="10">
        <v>20.5364235623884</v>
      </c>
      <c r="AF27" s="11">
        <v>20.746768242365299</v>
      </c>
      <c r="AG27" s="11">
        <v>25.748725692398349</v>
      </c>
      <c r="AH27" s="10">
        <v>25.871367888624253</v>
      </c>
      <c r="AI27" s="10">
        <f>VLOOKUP(B27,[7]all!$A$2:$I$247,6,FALSE)</f>
        <v>79.64</v>
      </c>
      <c r="AJ27" s="10">
        <f>VLOOKUP(B27,[7]all!$A$2:$I$247,7,FALSE)</f>
        <v>79.739999999999995</v>
      </c>
      <c r="AK27" s="11">
        <f>VLOOKUP(B27,[7]all!$A$2:$I$247,8,FALSE)</f>
        <v>79.78</v>
      </c>
      <c r="AL27" s="11"/>
    </row>
  </sheetData>
  <autoFilter ref="A1:AL26" xr:uid="{67B091E9-4A1F-4B0C-8720-8BCFCA9C3CF4}"/>
  <phoneticPr fontId="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A0E3F-6560-4E0D-A35E-908AEC0F1F0E}">
  <dimension ref="A1:AJ56"/>
  <sheetViews>
    <sheetView zoomScale="66" workbookViewId="0">
      <selection activeCell="E4" sqref="E4"/>
    </sheetView>
  </sheetViews>
  <sheetFormatPr defaultRowHeight="13.5" x14ac:dyDescent="0.3"/>
  <sheetData>
    <row r="1" spans="1:36" ht="21.4" x14ac:dyDescent="1.1000000000000001">
      <c r="A1" s="3" t="s">
        <v>498</v>
      </c>
      <c r="B1" s="3" t="s">
        <v>463</v>
      </c>
      <c r="C1" s="3" t="s">
        <v>464</v>
      </c>
      <c r="D1" s="3" t="s">
        <v>465</v>
      </c>
      <c r="E1" s="3" t="s">
        <v>466</v>
      </c>
      <c r="F1" s="3" t="s">
        <v>467</v>
      </c>
      <c r="G1" s="3" t="s">
        <v>468</v>
      </c>
      <c r="H1" s="3" t="s">
        <v>469</v>
      </c>
      <c r="I1" s="3" t="s">
        <v>471</v>
      </c>
      <c r="J1" s="3" t="s">
        <v>472</v>
      </c>
      <c r="K1" s="4" t="s">
        <v>410</v>
      </c>
      <c r="L1" s="4" t="s">
        <v>71</v>
      </c>
      <c r="M1" s="3" t="s">
        <v>473</v>
      </c>
      <c r="N1" s="3" t="s">
        <v>474</v>
      </c>
      <c r="O1" s="4" t="s">
        <v>358</v>
      </c>
      <c r="P1" s="4" t="s">
        <v>146</v>
      </c>
      <c r="Q1" s="4" t="s">
        <v>96</v>
      </c>
      <c r="R1" s="4" t="s">
        <v>230</v>
      </c>
      <c r="S1" s="4" t="s">
        <v>246</v>
      </c>
      <c r="T1" s="4" t="s">
        <v>314</v>
      </c>
      <c r="U1" s="4" t="s">
        <v>320</v>
      </c>
      <c r="V1" s="4" t="s">
        <v>82</v>
      </c>
      <c r="W1" s="4" t="s">
        <v>192</v>
      </c>
      <c r="X1" s="4" t="s">
        <v>16</v>
      </c>
      <c r="Y1" s="4" t="s">
        <v>53</v>
      </c>
      <c r="Z1" s="4" t="s">
        <v>80</v>
      </c>
      <c r="AA1" s="4" t="s">
        <v>414</v>
      </c>
      <c r="AB1" s="4" t="s">
        <v>306</v>
      </c>
      <c r="AC1" s="5" t="s">
        <v>136</v>
      </c>
      <c r="AD1" s="4" t="s">
        <v>186</v>
      </c>
      <c r="AE1" s="4" t="s">
        <v>278</v>
      </c>
      <c r="AF1" s="4" t="s">
        <v>374</v>
      </c>
      <c r="AG1" s="4" t="s">
        <v>22</v>
      </c>
      <c r="AH1" s="4" t="s">
        <v>282</v>
      </c>
      <c r="AI1" s="4" t="s">
        <v>384</v>
      </c>
      <c r="AJ1" s="4" t="s">
        <v>477</v>
      </c>
    </row>
    <row r="2" spans="1:36" ht="21.4" x14ac:dyDescent="0.3">
      <c r="A2" s="3">
        <v>1</v>
      </c>
      <c r="B2" s="3">
        <v>55.9</v>
      </c>
      <c r="C2" s="3">
        <v>31.4</v>
      </c>
      <c r="D2" s="3">
        <v>71.5</v>
      </c>
      <c r="E2" s="3"/>
      <c r="F2" s="3"/>
      <c r="G2" s="3">
        <v>1</v>
      </c>
      <c r="H2" s="3" t="s">
        <v>470</v>
      </c>
      <c r="I2" s="3">
        <v>2022</v>
      </c>
      <c r="J2" s="3">
        <v>2023</v>
      </c>
      <c r="K2" s="3">
        <v>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ht="21.4" x14ac:dyDescent="0.3">
      <c r="A3" s="3">
        <v>2</v>
      </c>
      <c r="B3" s="3">
        <v>54</v>
      </c>
      <c r="C3" s="3">
        <v>38</v>
      </c>
      <c r="D3" s="3">
        <v>66</v>
      </c>
      <c r="E3" s="3"/>
      <c r="F3" s="3"/>
      <c r="G3" s="3">
        <v>4</v>
      </c>
      <c r="H3" s="3" t="s">
        <v>470</v>
      </c>
      <c r="I3" s="3">
        <v>2022</v>
      </c>
      <c r="J3" s="3">
        <v>2023</v>
      </c>
      <c r="K3" s="3"/>
      <c r="L3" s="3">
        <v>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ht="21.4" x14ac:dyDescent="0.3">
      <c r="A4" s="3">
        <v>3</v>
      </c>
      <c r="B4" s="3">
        <v>40</v>
      </c>
      <c r="C4" s="3">
        <v>6</v>
      </c>
      <c r="D4" s="3">
        <v>61</v>
      </c>
      <c r="E4" s="3"/>
      <c r="F4" s="3"/>
      <c r="G4" s="3">
        <v>4</v>
      </c>
      <c r="H4" s="3" t="s">
        <v>470</v>
      </c>
      <c r="I4" s="3">
        <v>2022</v>
      </c>
      <c r="J4" s="3">
        <v>2023</v>
      </c>
      <c r="K4" s="3"/>
      <c r="L4" s="3"/>
      <c r="M4" s="3">
        <v>1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ht="21.4" x14ac:dyDescent="1.1000000000000001">
      <c r="A5" s="3">
        <v>4</v>
      </c>
      <c r="B5" s="3">
        <v>27</v>
      </c>
      <c r="C5" s="3">
        <v>13</v>
      </c>
      <c r="D5" s="3">
        <v>39</v>
      </c>
      <c r="E5" s="3"/>
      <c r="F5" s="3"/>
      <c r="G5" s="3">
        <v>1</v>
      </c>
      <c r="H5" s="6" t="s">
        <v>470</v>
      </c>
      <c r="I5" s="3">
        <v>2022</v>
      </c>
      <c r="J5" s="3">
        <v>2023</v>
      </c>
      <c r="K5" s="3"/>
      <c r="L5" s="3"/>
      <c r="M5" s="3"/>
      <c r="N5" s="3">
        <f>423/5547</f>
        <v>7.6257436452136285E-2</v>
      </c>
      <c r="O5" s="3">
        <f>4026/5547</f>
        <v>0.72579772850189295</v>
      </c>
      <c r="P5" s="3">
        <f>108/5547</f>
        <v>1.9469983775013522E-2</v>
      </c>
      <c r="Q5" s="3">
        <f>212/5547</f>
        <v>3.8218857039841354E-2</v>
      </c>
      <c r="R5" s="3">
        <f>184/5547</f>
        <v>3.3171083468541557E-2</v>
      </c>
      <c r="S5" s="3">
        <f>332/5547</f>
        <v>5.9852172345411937E-2</v>
      </c>
      <c r="T5" s="3">
        <f>62/5547</f>
        <v>1.1177212907878133E-2</v>
      </c>
      <c r="U5" s="3">
        <f>200/5547</f>
        <v>3.60555255092843E-2</v>
      </c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ht="21.4" x14ac:dyDescent="1.1000000000000001">
      <c r="A6" s="3">
        <v>5</v>
      </c>
      <c r="B6" s="3">
        <v>37</v>
      </c>
      <c r="C6" s="3">
        <v>27</v>
      </c>
      <c r="D6" s="3">
        <v>46</v>
      </c>
      <c r="E6" s="3"/>
      <c r="F6" s="3"/>
      <c r="G6" s="3">
        <v>1</v>
      </c>
      <c r="H6" s="6" t="s">
        <v>470</v>
      </c>
      <c r="I6" s="3">
        <v>2022</v>
      </c>
      <c r="J6" s="3">
        <v>2023</v>
      </c>
      <c r="K6" s="3"/>
      <c r="L6" s="3"/>
      <c r="M6" s="3">
        <v>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ht="21.4" x14ac:dyDescent="1.1000000000000001">
      <c r="A7" s="3">
        <v>6</v>
      </c>
      <c r="B7" s="3">
        <v>54.7</v>
      </c>
      <c r="C7" s="3">
        <v>23.7</v>
      </c>
      <c r="D7" s="3">
        <v>73.099999999999994</v>
      </c>
      <c r="E7" s="3"/>
      <c r="F7" s="3"/>
      <c r="G7" s="3">
        <v>4</v>
      </c>
      <c r="H7" s="7" t="s">
        <v>470</v>
      </c>
      <c r="I7" s="3">
        <v>2024</v>
      </c>
      <c r="J7" s="3">
        <v>2025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ht="21.4" x14ac:dyDescent="0.3">
      <c r="A8" s="3">
        <v>7</v>
      </c>
      <c r="B8" s="3">
        <v>49.4</v>
      </c>
      <c r="C8" s="3">
        <v>47.8</v>
      </c>
      <c r="D8" s="3">
        <v>50.9</v>
      </c>
      <c r="E8" s="3"/>
      <c r="F8" s="3"/>
      <c r="G8" s="3">
        <v>4</v>
      </c>
      <c r="H8" s="3" t="s">
        <v>470</v>
      </c>
      <c r="I8" s="3">
        <v>2023</v>
      </c>
      <c r="J8" s="3">
        <v>2024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>
        <v>1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ht="21.4" x14ac:dyDescent="1.1000000000000001">
      <c r="A9" s="3">
        <v>8</v>
      </c>
      <c r="B9" s="3">
        <v>42.9</v>
      </c>
      <c r="C9" s="3">
        <v>32.6</v>
      </c>
      <c r="D9" s="3">
        <v>51.5</v>
      </c>
      <c r="E9" s="3"/>
      <c r="F9" s="3"/>
      <c r="G9" s="8">
        <v>1</v>
      </c>
      <c r="H9" s="8" t="s">
        <v>475</v>
      </c>
      <c r="I9" s="3">
        <v>2023</v>
      </c>
      <c r="J9" s="3">
        <v>2024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ht="21.4" x14ac:dyDescent="1.1000000000000001">
      <c r="A10" s="3">
        <v>9</v>
      </c>
      <c r="B10" s="3">
        <v>44.8</v>
      </c>
      <c r="C10" s="3">
        <v>35.9</v>
      </c>
      <c r="D10" s="3">
        <v>52.4</v>
      </c>
      <c r="E10" s="3"/>
      <c r="F10" s="3"/>
      <c r="G10" s="8">
        <v>4</v>
      </c>
      <c r="H10" s="3" t="s">
        <v>470</v>
      </c>
      <c r="I10" s="3">
        <v>2023</v>
      </c>
      <c r="J10" s="3">
        <v>2024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ht="21.4" x14ac:dyDescent="1.1000000000000001">
      <c r="A11" s="3">
        <v>10</v>
      </c>
      <c r="B11" s="8">
        <v>41.4</v>
      </c>
      <c r="C11" s="8">
        <v>10.5</v>
      </c>
      <c r="D11" s="8">
        <v>61.6</v>
      </c>
      <c r="E11" s="3"/>
      <c r="F11" s="3"/>
      <c r="G11" s="8">
        <v>4</v>
      </c>
      <c r="H11" s="3" t="s">
        <v>470</v>
      </c>
      <c r="I11" s="3">
        <v>2023</v>
      </c>
      <c r="J11" s="3">
        <v>2024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>
        <v>1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ht="21.4" x14ac:dyDescent="1.1000000000000001">
      <c r="A12" s="3">
        <v>11</v>
      </c>
      <c r="B12" s="3">
        <v>30</v>
      </c>
      <c r="C12" s="3">
        <v>-9</v>
      </c>
      <c r="D12" s="3">
        <v>54</v>
      </c>
      <c r="E12" s="3"/>
      <c r="F12" s="3"/>
      <c r="G12" s="8">
        <v>4</v>
      </c>
      <c r="H12" s="3" t="s">
        <v>470</v>
      </c>
      <c r="I12" s="3">
        <v>2022</v>
      </c>
      <c r="J12" s="3">
        <v>2023</v>
      </c>
      <c r="K12" s="3"/>
      <c r="L12" s="3"/>
      <c r="M12" s="3">
        <v>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ht="21.4" x14ac:dyDescent="1.1000000000000001">
      <c r="A13" s="3">
        <v>12</v>
      </c>
      <c r="B13" s="3">
        <v>45</v>
      </c>
      <c r="C13" s="3">
        <v>44</v>
      </c>
      <c r="D13" s="3">
        <v>46</v>
      </c>
      <c r="E13" s="3"/>
      <c r="F13" s="3"/>
      <c r="G13" s="8">
        <v>4</v>
      </c>
      <c r="H13" s="3" t="s">
        <v>470</v>
      </c>
      <c r="I13" s="3">
        <v>2023</v>
      </c>
      <c r="J13" s="3">
        <v>2024</v>
      </c>
      <c r="K13" s="3"/>
      <c r="L13" s="3"/>
      <c r="M13" s="3">
        <v>1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ht="21.4" x14ac:dyDescent="1.1000000000000001">
      <c r="A14" s="3">
        <v>13</v>
      </c>
      <c r="B14" s="3">
        <v>42</v>
      </c>
      <c r="C14" s="3">
        <v>41</v>
      </c>
      <c r="D14" s="3">
        <v>43</v>
      </c>
      <c r="E14" s="3"/>
      <c r="F14" s="3"/>
      <c r="G14" s="8">
        <v>4</v>
      </c>
      <c r="H14" s="8" t="s">
        <v>475</v>
      </c>
      <c r="I14" s="3">
        <v>2023</v>
      </c>
      <c r="J14" s="3">
        <v>2024</v>
      </c>
      <c r="K14" s="3"/>
      <c r="L14" s="3"/>
      <c r="M14" s="3">
        <v>1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ht="21.4" x14ac:dyDescent="1.1000000000000001">
      <c r="A15" s="3">
        <v>14</v>
      </c>
      <c r="B15" s="3">
        <v>54</v>
      </c>
      <c r="C15" s="3">
        <v>41</v>
      </c>
      <c r="D15" s="3">
        <v>64</v>
      </c>
      <c r="E15" s="3"/>
      <c r="F15" s="3"/>
      <c r="G15" s="8">
        <v>4</v>
      </c>
      <c r="H15" s="3" t="s">
        <v>470</v>
      </c>
      <c r="I15" s="3">
        <v>2024</v>
      </c>
      <c r="J15" s="3">
        <v>2025</v>
      </c>
      <c r="K15" s="3"/>
      <c r="L15" s="3">
        <v>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ht="21.4" x14ac:dyDescent="1.1000000000000001">
      <c r="A16" s="3">
        <v>15</v>
      </c>
      <c r="B16" s="3">
        <v>42</v>
      </c>
      <c r="C16" s="3">
        <v>29</v>
      </c>
      <c r="D16" s="3">
        <v>54</v>
      </c>
      <c r="E16" s="3"/>
      <c r="F16" s="3"/>
      <c r="G16" s="8">
        <v>4</v>
      </c>
      <c r="H16" s="3" t="s">
        <v>470</v>
      </c>
      <c r="I16" s="3">
        <v>2024</v>
      </c>
      <c r="J16" s="3">
        <v>2025</v>
      </c>
      <c r="K16" s="3"/>
      <c r="L16" s="3"/>
      <c r="M16" s="3">
        <v>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ht="21.4" x14ac:dyDescent="1.1000000000000001">
      <c r="A17" s="3">
        <v>16</v>
      </c>
      <c r="B17" s="3">
        <v>56</v>
      </c>
      <c r="C17" s="3">
        <v>54</v>
      </c>
      <c r="D17" s="3">
        <v>58</v>
      </c>
      <c r="E17" s="3"/>
      <c r="F17" s="3"/>
      <c r="G17" s="8">
        <v>4</v>
      </c>
      <c r="H17" s="3" t="s">
        <v>470</v>
      </c>
      <c r="I17" s="3">
        <v>2024</v>
      </c>
      <c r="J17" s="3">
        <v>2025</v>
      </c>
      <c r="K17" s="3"/>
      <c r="L17" s="3"/>
      <c r="M17" s="3">
        <v>1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ht="21.4" x14ac:dyDescent="1.1000000000000001">
      <c r="A18" s="3">
        <v>17</v>
      </c>
      <c r="B18" s="3">
        <v>33</v>
      </c>
      <c r="C18" s="3">
        <v>16</v>
      </c>
      <c r="D18" s="3">
        <v>47</v>
      </c>
      <c r="E18" s="3"/>
      <c r="F18" s="3"/>
      <c r="G18" s="8">
        <v>4</v>
      </c>
      <c r="H18" s="3" t="s">
        <v>470</v>
      </c>
      <c r="I18" s="3">
        <v>2023</v>
      </c>
      <c r="J18" s="3">
        <v>2024</v>
      </c>
      <c r="K18" s="3"/>
      <c r="L18" s="3"/>
      <c r="M18" s="3">
        <v>1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ht="21.4" x14ac:dyDescent="1.1000000000000001">
      <c r="A19" s="3">
        <v>18</v>
      </c>
      <c r="B19" s="3">
        <v>48.353225971301384</v>
      </c>
      <c r="C19" s="3">
        <v>47.35647150306648</v>
      </c>
      <c r="D19" s="3">
        <v>49.331107854466239</v>
      </c>
      <c r="E19" s="3"/>
      <c r="F19" s="3"/>
      <c r="G19" s="8">
        <v>4</v>
      </c>
      <c r="H19" s="3" t="s">
        <v>470</v>
      </c>
      <c r="I19" s="3">
        <v>2023</v>
      </c>
      <c r="J19" s="3">
        <v>2024</v>
      </c>
      <c r="K19" s="3"/>
      <c r="L19" s="3"/>
      <c r="M19" s="3">
        <v>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ht="21.4" x14ac:dyDescent="1.1000000000000001">
      <c r="A20" s="3">
        <v>19</v>
      </c>
      <c r="B20" s="3">
        <v>54</v>
      </c>
      <c r="C20" s="3">
        <v>23</v>
      </c>
      <c r="D20" s="3">
        <v>73</v>
      </c>
      <c r="E20" s="3"/>
      <c r="F20" s="3"/>
      <c r="G20" s="8">
        <v>4</v>
      </c>
      <c r="H20" s="3" t="s">
        <v>475</v>
      </c>
      <c r="I20" s="3">
        <v>2022</v>
      </c>
      <c r="J20" s="3">
        <v>2023</v>
      </c>
      <c r="K20" s="3"/>
      <c r="L20" s="3"/>
      <c r="M20" s="3">
        <v>1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ht="21.4" x14ac:dyDescent="1.1000000000000001">
      <c r="A21" s="3">
        <v>20</v>
      </c>
      <c r="B21" s="3">
        <v>42.2</v>
      </c>
      <c r="C21" s="3">
        <v>6.9</v>
      </c>
      <c r="D21" s="3">
        <v>64.099999999999994</v>
      </c>
      <c r="E21" s="3"/>
      <c r="F21" s="3"/>
      <c r="G21" s="8">
        <v>4</v>
      </c>
      <c r="H21" s="3" t="s">
        <v>470</v>
      </c>
      <c r="I21" s="3">
        <v>2024</v>
      </c>
      <c r="J21" s="3">
        <v>2024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>
        <v>1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ht="21.4" x14ac:dyDescent="1.1000000000000001">
      <c r="A22" s="3">
        <v>21</v>
      </c>
      <c r="B22" s="3">
        <v>30.3</v>
      </c>
      <c r="C22" s="3">
        <v>19.899999999999999</v>
      </c>
      <c r="D22" s="3">
        <v>39.4</v>
      </c>
      <c r="E22" s="3"/>
      <c r="F22" s="3"/>
      <c r="G22" s="8">
        <v>4</v>
      </c>
      <c r="H22" s="3" t="s">
        <v>470</v>
      </c>
      <c r="I22" s="3">
        <v>2024</v>
      </c>
      <c r="J22" s="3">
        <v>2024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ht="21.4" x14ac:dyDescent="1.1000000000000001">
      <c r="A23" s="3">
        <v>22</v>
      </c>
      <c r="B23" s="3">
        <v>56.9</v>
      </c>
      <c r="C23" s="3">
        <v>42.5</v>
      </c>
      <c r="D23" s="3">
        <v>67.7</v>
      </c>
      <c r="E23" s="3"/>
      <c r="F23" s="3"/>
      <c r="G23" s="8">
        <v>4</v>
      </c>
      <c r="H23" s="3" t="s">
        <v>470</v>
      </c>
      <c r="I23" s="3">
        <v>2024</v>
      </c>
      <c r="J23" s="3">
        <v>2024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ht="21.4" x14ac:dyDescent="1.1000000000000001">
      <c r="A24" s="3">
        <v>23</v>
      </c>
      <c r="B24" s="3">
        <v>61</v>
      </c>
      <c r="C24" s="3">
        <v>-11.5</v>
      </c>
      <c r="D24" s="3">
        <v>86.4</v>
      </c>
      <c r="E24" s="3"/>
      <c r="F24" s="3"/>
      <c r="G24" s="8">
        <v>4</v>
      </c>
      <c r="H24" s="3" t="s">
        <v>470</v>
      </c>
      <c r="I24" s="3">
        <v>2024</v>
      </c>
      <c r="J24" s="3">
        <v>2024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</row>
    <row r="25" spans="1:36" ht="21.4" x14ac:dyDescent="1.1000000000000001">
      <c r="A25" s="3">
        <v>24</v>
      </c>
      <c r="B25" s="3">
        <v>51.9</v>
      </c>
      <c r="C25" s="3">
        <v>39.200000000000003</v>
      </c>
      <c r="D25" s="3">
        <v>62</v>
      </c>
      <c r="E25" s="3"/>
      <c r="F25" s="3"/>
      <c r="G25" s="8">
        <v>4</v>
      </c>
      <c r="H25" s="3" t="s">
        <v>470</v>
      </c>
      <c r="I25" s="3">
        <v>2023</v>
      </c>
      <c r="J25" s="3">
        <v>2023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>
        <f>88/2780</f>
        <v>3.1654676258992806E-2</v>
      </c>
      <c r="Y25" s="3">
        <f>918/2780</f>
        <v>0.33021582733812949</v>
      </c>
      <c r="Z25" s="3">
        <f>1158/2780</f>
        <v>0.41654676258992807</v>
      </c>
      <c r="AA25" s="3">
        <f>167/2780</f>
        <v>6.0071942446043164E-2</v>
      </c>
      <c r="AB25" s="3">
        <f>449/2780</f>
        <v>0.16151079136690646</v>
      </c>
      <c r="AC25" s="3"/>
      <c r="AD25" s="3"/>
      <c r="AE25" s="3"/>
      <c r="AF25" s="3"/>
      <c r="AG25" s="3"/>
      <c r="AH25" s="3"/>
      <c r="AI25" s="3"/>
      <c r="AJ25" s="3"/>
    </row>
    <row r="26" spans="1:36" ht="21.4" x14ac:dyDescent="1.1000000000000001">
      <c r="A26" s="3">
        <v>25</v>
      </c>
      <c r="B26" s="3">
        <v>51</v>
      </c>
      <c r="C26" s="3">
        <v>41</v>
      </c>
      <c r="D26" s="3">
        <v>59</v>
      </c>
      <c r="E26" s="3"/>
      <c r="F26" s="3"/>
      <c r="G26" s="8">
        <v>4</v>
      </c>
      <c r="H26" s="3" t="s">
        <v>475</v>
      </c>
      <c r="I26" s="3">
        <v>2023</v>
      </c>
      <c r="J26" s="3">
        <v>2024</v>
      </c>
      <c r="K26" s="3"/>
      <c r="L26" s="3"/>
      <c r="M26" s="3"/>
      <c r="N26" s="3"/>
      <c r="O26" s="3">
        <v>0.125</v>
      </c>
      <c r="P26" s="3">
        <v>0.125</v>
      </c>
      <c r="Q26" s="3">
        <v>0.125</v>
      </c>
      <c r="R26" s="3"/>
      <c r="S26" s="3"/>
      <c r="T26" s="3">
        <v>0.125</v>
      </c>
      <c r="U26" s="3"/>
      <c r="V26" s="3"/>
      <c r="W26" s="3"/>
      <c r="X26" s="3"/>
      <c r="Y26" s="3"/>
      <c r="Z26" s="3"/>
      <c r="AA26" s="3"/>
      <c r="AB26" s="3"/>
      <c r="AC26" s="3">
        <v>0.125</v>
      </c>
      <c r="AD26" s="3">
        <v>0.125</v>
      </c>
      <c r="AE26" s="3">
        <v>0.125</v>
      </c>
      <c r="AF26" s="3">
        <v>0.125</v>
      </c>
      <c r="AG26" s="3"/>
      <c r="AH26" s="3"/>
      <c r="AI26" s="3"/>
      <c r="AJ26" s="3"/>
    </row>
    <row r="27" spans="1:36" ht="21.4" x14ac:dyDescent="1.1000000000000001">
      <c r="A27" s="3">
        <v>26</v>
      </c>
      <c r="B27" s="3">
        <v>38</v>
      </c>
      <c r="C27" s="3">
        <v>27</v>
      </c>
      <c r="D27" s="3">
        <v>48</v>
      </c>
      <c r="E27" s="3"/>
      <c r="F27" s="3"/>
      <c r="G27" s="8">
        <v>4</v>
      </c>
      <c r="H27" s="3" t="s">
        <v>475</v>
      </c>
      <c r="I27" s="3">
        <v>2023</v>
      </c>
      <c r="J27" s="3">
        <v>2024</v>
      </c>
      <c r="K27" s="3"/>
      <c r="L27" s="3"/>
      <c r="M27" s="3"/>
      <c r="N27" s="3">
        <v>0.16666666666666666</v>
      </c>
      <c r="O27" s="3">
        <v>0.16666666666666666</v>
      </c>
      <c r="P27" s="3">
        <v>0.16666666666666666</v>
      </c>
      <c r="Q27" s="3">
        <v>0.16666666666666666</v>
      </c>
      <c r="R27" s="3"/>
      <c r="S27" s="3">
        <v>0.16666666666666666</v>
      </c>
      <c r="T27" s="3">
        <v>0.16666666666666666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ht="21.4" x14ac:dyDescent="1.1000000000000001">
      <c r="A28" s="3">
        <v>27</v>
      </c>
      <c r="B28" s="3">
        <v>34</v>
      </c>
      <c r="C28" s="3">
        <v>16</v>
      </c>
      <c r="D28" s="3">
        <v>48</v>
      </c>
      <c r="E28" s="3"/>
      <c r="F28" s="3"/>
      <c r="G28" s="8">
        <v>4</v>
      </c>
      <c r="H28" s="3" t="s">
        <v>470</v>
      </c>
      <c r="I28" s="3">
        <v>2022</v>
      </c>
      <c r="J28" s="3">
        <v>2023</v>
      </c>
      <c r="K28" s="3"/>
      <c r="L28" s="3"/>
      <c r="M28" s="3"/>
      <c r="N28" s="3"/>
      <c r="O28" s="3">
        <v>1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ht="21.4" x14ac:dyDescent="1.1000000000000001">
      <c r="A29" s="3">
        <v>28</v>
      </c>
      <c r="B29" s="3">
        <v>57</v>
      </c>
      <c r="C29" s="3">
        <v>11</v>
      </c>
      <c r="D29" s="3">
        <v>81</v>
      </c>
      <c r="E29" s="3"/>
      <c r="F29" s="3"/>
      <c r="G29" s="8">
        <v>1</v>
      </c>
      <c r="H29" s="3" t="s">
        <v>470</v>
      </c>
      <c r="I29" s="3">
        <v>2022</v>
      </c>
      <c r="J29" s="3">
        <v>2023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>
        <v>1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ht="21.4" x14ac:dyDescent="1.1000000000000001">
      <c r="A30" s="3">
        <v>29</v>
      </c>
      <c r="B30" s="3">
        <v>42</v>
      </c>
      <c r="C30" s="3">
        <v>9</v>
      </c>
      <c r="D30" s="3">
        <v>64</v>
      </c>
      <c r="E30" s="3"/>
      <c r="F30" s="3"/>
      <c r="G30" s="8">
        <v>4</v>
      </c>
      <c r="H30" s="3" t="s">
        <v>470</v>
      </c>
      <c r="I30" s="3">
        <v>2022</v>
      </c>
      <c r="J30" s="3">
        <v>2023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>
        <v>1</v>
      </c>
      <c r="AE30" s="3"/>
      <c r="AF30" s="3"/>
      <c r="AG30" s="3"/>
      <c r="AH30" s="3"/>
      <c r="AI30" s="3"/>
      <c r="AJ30" s="3"/>
    </row>
    <row r="31" spans="1:36" ht="21.4" x14ac:dyDescent="1.1000000000000001">
      <c r="A31" s="3">
        <v>30</v>
      </c>
      <c r="B31" s="3">
        <v>35</v>
      </c>
      <c r="C31" s="3">
        <v>15</v>
      </c>
      <c r="D31" s="3">
        <v>51</v>
      </c>
      <c r="E31" s="3"/>
      <c r="F31" s="3"/>
      <c r="G31" s="8">
        <v>4</v>
      </c>
      <c r="H31" s="3" t="s">
        <v>470</v>
      </c>
      <c r="I31" s="3">
        <v>2023</v>
      </c>
      <c r="J31" s="3">
        <v>2024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</row>
    <row r="32" spans="1:36" ht="21.4" x14ac:dyDescent="1.1000000000000001">
      <c r="A32" s="3">
        <v>31</v>
      </c>
      <c r="B32" s="8">
        <v>48</v>
      </c>
      <c r="C32" s="8">
        <v>46</v>
      </c>
      <c r="D32" s="8">
        <v>51</v>
      </c>
      <c r="E32" s="3"/>
      <c r="F32" s="3"/>
      <c r="G32" s="8">
        <v>4</v>
      </c>
      <c r="H32" s="3" t="s">
        <v>470</v>
      </c>
      <c r="I32" s="3">
        <v>2023</v>
      </c>
      <c r="J32" s="3">
        <v>2024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>
        <v>1</v>
      </c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ht="21.4" x14ac:dyDescent="1.1000000000000001">
      <c r="A33" s="3">
        <v>32</v>
      </c>
      <c r="B33" s="3">
        <v>44</v>
      </c>
      <c r="C33" s="3">
        <v>36</v>
      </c>
      <c r="D33" s="3">
        <v>51</v>
      </c>
      <c r="E33" s="3"/>
      <c r="F33" s="3"/>
      <c r="G33" s="8">
        <v>4</v>
      </c>
      <c r="H33" s="3" t="s">
        <v>475</v>
      </c>
      <c r="I33" s="3">
        <v>2023</v>
      </c>
      <c r="J33" s="3">
        <v>2024</v>
      </c>
      <c r="K33" s="3"/>
      <c r="L33" s="3"/>
      <c r="M33" s="3">
        <v>1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ht="21.4" x14ac:dyDescent="1.1000000000000001">
      <c r="A34" s="3">
        <v>33</v>
      </c>
      <c r="B34" s="3">
        <v>35</v>
      </c>
      <c r="C34" s="3">
        <v>27</v>
      </c>
      <c r="D34" s="3">
        <v>43</v>
      </c>
      <c r="E34" s="3"/>
      <c r="F34" s="3"/>
      <c r="G34" s="8">
        <v>1</v>
      </c>
      <c r="H34" s="3" t="s">
        <v>470</v>
      </c>
      <c r="I34" s="3">
        <v>2022</v>
      </c>
      <c r="J34" s="3">
        <v>2023</v>
      </c>
      <c r="K34" s="3"/>
      <c r="L34" s="3"/>
      <c r="M34" s="3">
        <v>1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ht="21.4" x14ac:dyDescent="0.3">
      <c r="A35" s="3">
        <v>34</v>
      </c>
      <c r="B35" s="3">
        <v>23.2</v>
      </c>
      <c r="C35" s="3">
        <v>-6.5</v>
      </c>
      <c r="D35" s="3">
        <v>44.6</v>
      </c>
      <c r="E35" s="3"/>
      <c r="F35" s="3"/>
      <c r="G35" s="3">
        <v>4</v>
      </c>
      <c r="H35" s="3" t="s">
        <v>470</v>
      </c>
      <c r="I35" s="3">
        <v>2023</v>
      </c>
      <c r="J35" s="3">
        <v>2023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>
        <v>1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ht="21.4" x14ac:dyDescent="1.1000000000000001">
      <c r="A36" s="3">
        <v>35</v>
      </c>
      <c r="B36" s="3">
        <v>56.3</v>
      </c>
      <c r="C36" s="3">
        <v>13.6</v>
      </c>
      <c r="D36" s="3">
        <v>73.599999999999994</v>
      </c>
      <c r="E36" s="3"/>
      <c r="F36" s="3"/>
      <c r="G36" s="8">
        <v>1</v>
      </c>
      <c r="H36" s="3" t="s">
        <v>470</v>
      </c>
      <c r="I36" s="3">
        <v>2023</v>
      </c>
      <c r="J36" s="3">
        <v>2023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ht="21.4" x14ac:dyDescent="1.1000000000000001">
      <c r="A37" s="3">
        <v>36</v>
      </c>
      <c r="B37" s="3">
        <v>32</v>
      </c>
      <c r="C37" s="3">
        <v>10</v>
      </c>
      <c r="D37" s="3">
        <v>49</v>
      </c>
      <c r="E37" s="3"/>
      <c r="F37" s="3"/>
      <c r="G37" s="8">
        <v>1</v>
      </c>
      <c r="H37" s="3" t="s">
        <v>470</v>
      </c>
      <c r="I37" s="3">
        <v>2022</v>
      </c>
      <c r="J37" s="3">
        <v>2023</v>
      </c>
      <c r="K37" s="3"/>
      <c r="L37" s="3"/>
      <c r="M37" s="3">
        <v>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ht="21.4" x14ac:dyDescent="1.1000000000000001">
      <c r="A38" s="3">
        <v>37</v>
      </c>
      <c r="B38" s="3">
        <v>50.416074295797529</v>
      </c>
      <c r="C38" s="3">
        <v>49.845294763537218</v>
      </c>
      <c r="D38" s="3">
        <v>50.980358140905224</v>
      </c>
      <c r="E38" s="3"/>
      <c r="F38" s="3"/>
      <c r="G38" s="8">
        <v>4</v>
      </c>
      <c r="H38" s="3" t="s">
        <v>470</v>
      </c>
      <c r="I38" s="3">
        <v>2023</v>
      </c>
      <c r="J38" s="3">
        <v>2024</v>
      </c>
      <c r="K38" s="3"/>
      <c r="L38" s="3"/>
      <c r="M38" s="3">
        <v>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ht="21.4" x14ac:dyDescent="1.1000000000000001">
      <c r="A39" s="3">
        <v>38</v>
      </c>
      <c r="B39" s="3">
        <v>42</v>
      </c>
      <c r="C39" s="3">
        <v>37</v>
      </c>
      <c r="D39" s="3">
        <v>46</v>
      </c>
      <c r="E39" s="3"/>
      <c r="F39" s="3"/>
      <c r="G39" s="8">
        <v>4</v>
      </c>
      <c r="H39" s="3" t="s">
        <v>470</v>
      </c>
      <c r="I39" s="3">
        <v>2024</v>
      </c>
      <c r="J39" s="3">
        <v>2025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1</v>
      </c>
      <c r="AD39" s="3"/>
      <c r="AE39" s="3"/>
      <c r="AF39" s="3"/>
      <c r="AG39" s="3"/>
      <c r="AH39" s="3"/>
      <c r="AI39" s="3"/>
      <c r="AJ39" s="3"/>
    </row>
    <row r="40" spans="1:36" ht="21.4" x14ac:dyDescent="1.1000000000000001">
      <c r="A40" s="3">
        <v>39</v>
      </c>
      <c r="B40" s="3">
        <v>49</v>
      </c>
      <c r="C40" s="3">
        <v>23</v>
      </c>
      <c r="D40" s="3">
        <v>67</v>
      </c>
      <c r="E40" s="3"/>
      <c r="F40" s="3"/>
      <c r="G40" s="8">
        <v>4</v>
      </c>
      <c r="H40" s="3" t="s">
        <v>470</v>
      </c>
      <c r="I40" s="3">
        <v>2022</v>
      </c>
      <c r="J40" s="3">
        <v>2022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ht="21.4" x14ac:dyDescent="1.1000000000000001">
      <c r="A41" s="3">
        <v>40</v>
      </c>
      <c r="B41" s="3">
        <v>39</v>
      </c>
      <c r="C41" s="3">
        <v>37</v>
      </c>
      <c r="D41" s="3">
        <v>41</v>
      </c>
      <c r="E41" s="3"/>
      <c r="F41" s="3"/>
      <c r="G41" s="8">
        <v>4</v>
      </c>
      <c r="H41" s="3" t="s">
        <v>470</v>
      </c>
      <c r="I41" s="3">
        <v>2022</v>
      </c>
      <c r="J41" s="3">
        <v>2022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>
        <v>1</v>
      </c>
      <c r="AH41" s="3"/>
      <c r="AI41" s="3"/>
      <c r="AJ41" s="3"/>
    </row>
    <row r="42" spans="1:36" ht="21.4" x14ac:dyDescent="1.1000000000000001">
      <c r="A42" s="3">
        <v>41</v>
      </c>
      <c r="B42" s="3">
        <v>48</v>
      </c>
      <c r="C42" s="3">
        <v>10</v>
      </c>
      <c r="D42" s="3">
        <v>70</v>
      </c>
      <c r="E42" s="3"/>
      <c r="F42" s="3"/>
      <c r="G42" s="8">
        <v>1</v>
      </c>
      <c r="H42" s="3" t="s">
        <v>475</v>
      </c>
      <c r="I42" s="3">
        <v>2023</v>
      </c>
      <c r="J42" s="3">
        <v>2024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>
        <v>1</v>
      </c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ht="21.4" x14ac:dyDescent="1.1000000000000001">
      <c r="A43" s="3">
        <v>42</v>
      </c>
      <c r="B43" s="3">
        <v>34</v>
      </c>
      <c r="C43" s="3">
        <v>15</v>
      </c>
      <c r="D43" s="3">
        <v>48</v>
      </c>
      <c r="E43" s="3"/>
      <c r="F43" s="3"/>
      <c r="G43" s="8">
        <v>4</v>
      </c>
      <c r="H43" s="3" t="s">
        <v>470</v>
      </c>
      <c r="I43" s="3">
        <v>2022</v>
      </c>
      <c r="J43" s="3">
        <v>2022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f>2788/3147</f>
        <v>0.88592310136638064</v>
      </c>
      <c r="AA43" s="3">
        <f>249/3147</f>
        <v>7.9122974261201143E-2</v>
      </c>
      <c r="AB43" s="3">
        <f>110/3147</f>
        <v>3.4953924372418177E-2</v>
      </c>
      <c r="AC43" s="3"/>
      <c r="AD43" s="3"/>
      <c r="AE43" s="3"/>
      <c r="AF43" s="3"/>
      <c r="AG43" s="3"/>
      <c r="AH43" s="3"/>
      <c r="AI43" s="3"/>
      <c r="AJ43" s="3"/>
    </row>
    <row r="44" spans="1:36" ht="21.4" x14ac:dyDescent="1.1000000000000001">
      <c r="A44" s="3">
        <v>43</v>
      </c>
      <c r="B44" s="3">
        <v>59.3</v>
      </c>
      <c r="C44" s="3">
        <v>27.3</v>
      </c>
      <c r="D44" s="3">
        <v>77.3</v>
      </c>
      <c r="E44" s="3"/>
      <c r="F44" s="3"/>
      <c r="G44" s="8">
        <v>1</v>
      </c>
      <c r="H44" s="3" t="s">
        <v>470</v>
      </c>
      <c r="I44" s="3">
        <v>2022</v>
      </c>
      <c r="J44" s="3">
        <v>2023</v>
      </c>
      <c r="K44" s="3"/>
      <c r="L44" s="3"/>
      <c r="M44" s="3"/>
      <c r="N44" s="3"/>
      <c r="O44" s="3"/>
      <c r="P44" s="3"/>
      <c r="Q44" s="3"/>
      <c r="R44" s="3"/>
      <c r="S44" s="3"/>
      <c r="T44" s="3">
        <v>1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ht="21.4" x14ac:dyDescent="1.1000000000000001">
      <c r="A45" s="3">
        <v>44</v>
      </c>
      <c r="B45" s="3">
        <v>57</v>
      </c>
      <c r="C45" s="3">
        <v>50</v>
      </c>
      <c r="D45" s="3">
        <v>63</v>
      </c>
      <c r="E45" s="3"/>
      <c r="F45" s="3"/>
      <c r="G45" s="8">
        <v>4</v>
      </c>
      <c r="H45" s="3" t="s">
        <v>470</v>
      </c>
      <c r="I45" s="3">
        <v>2022</v>
      </c>
      <c r="J45" s="3">
        <v>2023</v>
      </c>
      <c r="K45" s="3">
        <v>1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ht="21.4" x14ac:dyDescent="1.1000000000000001">
      <c r="A46" s="3">
        <v>45</v>
      </c>
      <c r="B46" s="3">
        <v>40.6</v>
      </c>
      <c r="C46" s="3">
        <v>-21.9</v>
      </c>
      <c r="D46" s="3">
        <v>71.099999999999994</v>
      </c>
      <c r="E46" s="3"/>
      <c r="F46" s="3"/>
      <c r="G46" s="8">
        <v>4</v>
      </c>
      <c r="H46" s="3" t="s">
        <v>470</v>
      </c>
      <c r="I46" s="3">
        <v>2022</v>
      </c>
      <c r="J46" s="3">
        <v>2023</v>
      </c>
      <c r="K46" s="3"/>
      <c r="L46" s="3"/>
      <c r="M46" s="3"/>
      <c r="N46" s="3"/>
      <c r="O46" s="3">
        <v>1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ht="21.4" x14ac:dyDescent="1.1000000000000001">
      <c r="A47" s="3">
        <v>46</v>
      </c>
      <c r="B47" s="3">
        <v>43</v>
      </c>
      <c r="C47" s="3">
        <v>26</v>
      </c>
      <c r="D47" s="3">
        <v>56</v>
      </c>
      <c r="E47" s="3"/>
      <c r="F47" s="3"/>
      <c r="G47" s="8">
        <v>4</v>
      </c>
      <c r="H47" s="3" t="s">
        <v>470</v>
      </c>
      <c r="I47" s="3">
        <v>2023</v>
      </c>
      <c r="J47" s="3">
        <v>2024</v>
      </c>
      <c r="K47" s="3"/>
      <c r="L47" s="3"/>
      <c r="M47" s="3"/>
      <c r="N47" s="3"/>
      <c r="O47" s="3">
        <v>1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ht="21.4" x14ac:dyDescent="1.1000000000000001">
      <c r="A48" s="3">
        <v>47</v>
      </c>
      <c r="B48" s="3">
        <v>67.5</v>
      </c>
      <c r="C48" s="3">
        <v>60.8</v>
      </c>
      <c r="D48" s="3">
        <v>73</v>
      </c>
      <c r="E48" s="3"/>
      <c r="F48" s="3"/>
      <c r="G48" s="8">
        <v>4</v>
      </c>
      <c r="H48" s="3" t="s">
        <v>470</v>
      </c>
      <c r="I48" s="3">
        <v>2023</v>
      </c>
      <c r="J48" s="3">
        <v>2023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>
        <v>1</v>
      </c>
      <c r="AH48" s="3"/>
      <c r="AI48" s="3"/>
      <c r="AJ48" s="3"/>
    </row>
    <row r="49" spans="1:36" ht="21.4" x14ac:dyDescent="1.1000000000000001">
      <c r="A49" s="3">
        <v>48</v>
      </c>
      <c r="B49" s="3">
        <v>29.3</v>
      </c>
      <c r="C49" s="3">
        <v>8.8000000000000007</v>
      </c>
      <c r="D49" s="3">
        <v>45.1</v>
      </c>
      <c r="E49" s="3"/>
      <c r="F49" s="3"/>
      <c r="G49" s="8">
        <v>4</v>
      </c>
      <c r="H49" s="3" t="s">
        <v>470</v>
      </c>
      <c r="I49" s="3">
        <v>2023</v>
      </c>
      <c r="J49" s="3">
        <v>2023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>
        <v>1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ht="21.4" x14ac:dyDescent="1.1000000000000001">
      <c r="A50" s="3">
        <v>49</v>
      </c>
      <c r="B50" s="3">
        <v>56.9</v>
      </c>
      <c r="C50" s="3">
        <v>44.8</v>
      </c>
      <c r="D50" s="3">
        <v>66.3</v>
      </c>
      <c r="E50" s="3"/>
      <c r="F50" s="3"/>
      <c r="G50" s="8">
        <v>4</v>
      </c>
      <c r="H50" s="3" t="s">
        <v>470</v>
      </c>
      <c r="I50" s="3">
        <v>2023</v>
      </c>
      <c r="J50" s="3">
        <v>2023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>
        <v>1</v>
      </c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ht="21.4" x14ac:dyDescent="1.1000000000000001">
      <c r="A51" s="3">
        <v>50</v>
      </c>
      <c r="B51" s="3">
        <v>58.8</v>
      </c>
      <c r="C51" s="3">
        <v>34.5</v>
      </c>
      <c r="D51" s="3">
        <v>74.099999999999994</v>
      </c>
      <c r="E51" s="3"/>
      <c r="F51" s="3"/>
      <c r="G51" s="8">
        <v>4</v>
      </c>
      <c r="H51" s="3" t="s">
        <v>470</v>
      </c>
      <c r="I51" s="3">
        <v>2023</v>
      </c>
      <c r="J51" s="3">
        <v>2023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>
        <v>1</v>
      </c>
      <c r="AI51" s="3"/>
      <c r="AJ51" s="3"/>
    </row>
    <row r="52" spans="1:36" ht="21.4" x14ac:dyDescent="1.1000000000000001">
      <c r="A52" s="3">
        <v>51</v>
      </c>
      <c r="B52" s="3">
        <v>38.799999999999997</v>
      </c>
      <c r="C52" s="3">
        <v>-49.1</v>
      </c>
      <c r="D52" s="3">
        <v>74.900000000000006</v>
      </c>
      <c r="E52" s="3"/>
      <c r="F52" s="3"/>
      <c r="G52" s="8">
        <v>4</v>
      </c>
      <c r="H52" s="3" t="s">
        <v>470</v>
      </c>
      <c r="I52" s="3">
        <v>2023</v>
      </c>
      <c r="J52" s="3">
        <v>2023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>
        <v>1</v>
      </c>
      <c r="AJ52" s="3"/>
    </row>
    <row r="53" spans="1:36" ht="21.4" x14ac:dyDescent="1.1000000000000001">
      <c r="A53" s="3">
        <v>52</v>
      </c>
      <c r="B53" s="3">
        <v>15.5</v>
      </c>
      <c r="C53" s="3">
        <v>-70.099999999999994</v>
      </c>
      <c r="D53" s="3">
        <v>58.1</v>
      </c>
      <c r="E53" s="3"/>
      <c r="F53" s="3"/>
      <c r="G53" s="8">
        <v>4</v>
      </c>
      <c r="H53" s="3" t="s">
        <v>470</v>
      </c>
      <c r="I53" s="3">
        <v>2023</v>
      </c>
      <c r="J53" s="3">
        <v>2023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</row>
    <row r="54" spans="1:36" ht="21.4" x14ac:dyDescent="1.1000000000000001">
      <c r="A54" s="3">
        <v>53</v>
      </c>
      <c r="B54" s="3">
        <v>48.5</v>
      </c>
      <c r="C54" s="3">
        <v>34.799999999999997</v>
      </c>
      <c r="D54" s="3">
        <v>59.5</v>
      </c>
      <c r="E54" s="3"/>
      <c r="F54" s="3"/>
      <c r="G54" s="8">
        <v>4</v>
      </c>
      <c r="H54" s="3" t="s">
        <v>470</v>
      </c>
      <c r="I54" s="3">
        <v>2024</v>
      </c>
      <c r="J54" s="3">
        <v>2025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>
        <v>1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ht="21.4" x14ac:dyDescent="1.1000000000000001">
      <c r="A55" s="3">
        <v>54</v>
      </c>
      <c r="B55" s="3">
        <v>61.50557793704894</v>
      </c>
      <c r="C55" s="3">
        <v>60.377493254553684</v>
      </c>
      <c r="D55" s="3">
        <v>62.60154513997491</v>
      </c>
      <c r="E55" s="3"/>
      <c r="F55" s="3"/>
      <c r="G55" s="8">
        <v>4</v>
      </c>
      <c r="H55" s="3" t="s">
        <v>470</v>
      </c>
      <c r="I55" s="3">
        <v>2023</v>
      </c>
      <c r="J55" s="3">
        <v>2023</v>
      </c>
      <c r="K55" s="3"/>
      <c r="L55" s="3">
        <v>1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ht="21.4" x14ac:dyDescent="1.1000000000000001">
      <c r="A56" s="3">
        <v>55</v>
      </c>
      <c r="B56" s="9">
        <v>24.3</v>
      </c>
      <c r="C56" s="8">
        <v>11.5</v>
      </c>
      <c r="D56" s="8">
        <v>35.200000000000003</v>
      </c>
      <c r="E56" s="3"/>
      <c r="F56" s="3"/>
      <c r="G56" s="8">
        <v>1</v>
      </c>
      <c r="H56" s="3" t="s">
        <v>470</v>
      </c>
      <c r="I56" s="3">
        <v>2023</v>
      </c>
      <c r="J56" s="3">
        <v>2024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>
        <v>1</v>
      </c>
    </row>
  </sheetData>
  <autoFilter ref="A1:AJ56" xr:uid="{209A0E3F-6560-4E0D-A35E-908AEC0F1F0E}"/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global</vt:lpstr>
      <vt:lpstr>country</vt:lpstr>
      <vt:lpstr>ve2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xyllan</dc:creator>
  <cp:lastModifiedBy>伊澜 夏</cp:lastModifiedBy>
  <dcterms:created xsi:type="dcterms:W3CDTF">2023-05-12T11:15:00Z</dcterms:created>
  <dcterms:modified xsi:type="dcterms:W3CDTF">2026-03-11T03:49:58Z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